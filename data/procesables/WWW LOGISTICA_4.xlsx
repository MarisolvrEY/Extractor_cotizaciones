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INDO\Desktop\CARPETA TRA SETIEMBRE 24\CARPETA DE ARCHIVO DE TRABAJO 20\01 UDAT UTP\"/>
    </mc:Choice>
  </mc:AlternateContent>
  <bookViews>
    <workbookView xWindow="-120" yWindow="-120" windowWidth="20730" windowHeight="11160" tabRatio="580"/>
  </bookViews>
  <sheets>
    <sheet name="Hoja1" sheetId="478" r:id="rId1"/>
  </sheets>
  <calcPr calcId="162913"/>
</workbook>
</file>

<file path=xl/calcChain.xml><?xml version="1.0" encoding="utf-8"?>
<calcChain xmlns="http://schemas.openxmlformats.org/spreadsheetml/2006/main">
  <c r="J30" i="478" l="1"/>
  <c r="J29" i="478"/>
  <c r="J28" i="478"/>
  <c r="J27" i="478"/>
  <c r="J26" i="478"/>
  <c r="J25" i="478"/>
  <c r="J24" i="478"/>
  <c r="J23" i="478"/>
  <c r="J22" i="478"/>
  <c r="J21" i="478"/>
  <c r="J20" i="478"/>
  <c r="J32" i="478" s="1"/>
  <c r="J19" i="478"/>
  <c r="J33" i="478" l="1"/>
  <c r="J35" i="478" s="1"/>
  <c r="J36" i="478" l="1"/>
  <c r="J37" i="478" s="1"/>
</calcChain>
</file>

<file path=xl/sharedStrings.xml><?xml version="1.0" encoding="utf-8"?>
<sst xmlns="http://schemas.openxmlformats.org/spreadsheetml/2006/main" count="73" uniqueCount="56">
  <si>
    <t>P-KALLPA SAC</t>
  </si>
  <si>
    <t>RUC: 20554473068</t>
  </si>
  <si>
    <t>Tablada de Lurin    Villa Maria del Triunfo  Lima</t>
  </si>
  <si>
    <t>De mi consideración:</t>
  </si>
  <si>
    <t>CANT</t>
  </si>
  <si>
    <t>ITEM</t>
  </si>
  <si>
    <t>TOTAL</t>
  </si>
  <si>
    <t>SUB TOTAL</t>
  </si>
  <si>
    <t>UM</t>
  </si>
  <si>
    <t xml:space="preserve">La presente es para saludarlo y en esta oportunidad es        </t>
  </si>
  <si>
    <t>PARCIAL</t>
  </si>
  <si>
    <t>IGV</t>
  </si>
  <si>
    <t>Jr  NATALIO SANCHEZ 125 LIMA</t>
  </si>
  <si>
    <t xml:space="preserve">Jr. Mariscal Caceres  sector 1 N, 270 P,j. San Francisco de </t>
  </si>
  <si>
    <t>UTP</t>
  </si>
  <si>
    <t>presentarle mi presupuesto de trabajo de CARPINTERIA</t>
  </si>
  <si>
    <t>MARIO GALINDO LUNA</t>
  </si>
  <si>
    <t>UND</t>
  </si>
  <si>
    <t xml:space="preserve">SR. </t>
  </si>
  <si>
    <t>MIGUEL VIVELA VARGAS</t>
  </si>
  <si>
    <t xml:space="preserve"> </t>
  </si>
  <si>
    <t>LIMA  29  JULIO  2025</t>
  </si>
  <si>
    <t>UBICACIÓN</t>
  </si>
  <si>
    <t>MEDIDAS</t>
  </si>
  <si>
    <t>DESCRIPCIÓN</t>
  </si>
  <si>
    <t>P/ UNT</t>
  </si>
  <si>
    <t>REPARACION DE PUERTAS</t>
  </si>
  <si>
    <t>SUMINISTRO E INSTALACION DE PIZARRA DE CORCHO DE 5mm, CON BASE DE TRIPLEY LUPUMA  6 mm,  PEGADO DEL CORCHO AL   TRIPLEY  (LAS PIESAS DE CORCHO SON DE 0.60 X 0.80 m, LAS QUE SE UNEN ALFORMATO DEL TRIPLY)  Y LUEGO PEGADO A LA PARED, NO INCLUYE MARCO, MARCO DE ALUMINIO DE 19 X 12 mm.</t>
  </si>
  <si>
    <t>PASAJES           /HOSPEDA</t>
  </si>
  <si>
    <t>FLETE</t>
  </si>
  <si>
    <t>PIURA</t>
  </si>
  <si>
    <t>6.94 X 2.85</t>
  </si>
  <si>
    <t>TRUJILLO</t>
  </si>
  <si>
    <t>6.36 X 2.35</t>
  </si>
  <si>
    <t>L SUR</t>
  </si>
  <si>
    <t>7.30 X 2.35</t>
  </si>
  <si>
    <t>L ATE</t>
  </si>
  <si>
    <t>CHICLAYO</t>
  </si>
  <si>
    <t>9.8 X 2.35</t>
  </si>
  <si>
    <t>L SJL</t>
  </si>
  <si>
    <t>8.00 X 2.35</t>
  </si>
  <si>
    <t>L NORTE</t>
  </si>
  <si>
    <t>7.50 X 2.35</t>
  </si>
  <si>
    <t>L CENTRO</t>
  </si>
  <si>
    <t>CHIMBOTE</t>
  </si>
  <si>
    <t>HUANCAYO</t>
  </si>
  <si>
    <t>ICA</t>
  </si>
  <si>
    <t>FORMA DE PAGO:</t>
  </si>
  <si>
    <t xml:space="preserve">GASTOS GENERALES </t>
  </si>
  <si>
    <t xml:space="preserve">50% INICIAL  </t>
  </si>
  <si>
    <t>50%  CANCALACION POR CADA SEDE TERMINADA CON EL SISTEMA FACTORI</t>
  </si>
  <si>
    <t xml:space="preserve">TIEMPO: </t>
  </si>
  <si>
    <t>45  DIAS UTILES</t>
  </si>
  <si>
    <t xml:space="preserve">               </t>
  </si>
  <si>
    <t>NUEVOS  SOLES</t>
  </si>
  <si>
    <t>Atentamente,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</si>
</sst>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Mistral"/>
      <family val="4"/>
    </font>
    <font>
      <sz val="18"/>
      <name val="Monotype Corsiva"/>
      <family val="4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14"/>
      <name val="Harlow Solid Italic"/>
      <family val="5"/>
    </font>
    <font>
      <sz val="10"/>
      <name val="Agency FB"/>
      <family val="2"/>
    </font>
    <font>
      <sz val="10"/>
      <name val="Calibri"/>
      <family val="2"/>
    </font>
    <font>
      <sz val="14"/>
      <name val="Goudy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left"/>
    </xf>
    <xf numFmtId="0" fontId="6" fillId="0" borderId="0" xfId="0" applyFont="1"/>
    <xf numFmtId="0" fontId="10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1" fillId="3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2" fillId="0" borderId="1" xfId="0" applyFont="1" applyBorder="1" applyAlignment="1">
      <alignment wrapText="1"/>
    </xf>
    <xf numFmtId="0" fontId="12" fillId="3" borderId="1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/>
    </xf>
    <xf numFmtId="0" fontId="14" fillId="0" borderId="0" xfId="0" applyFont="1" applyAlignment="1">
      <alignment vertical="center" wrapText="1"/>
    </xf>
    <xf numFmtId="0" fontId="10" fillId="2" borderId="8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/>
    </xf>
    <xf numFmtId="43" fontId="15" fillId="2" borderId="7" xfId="3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6" fillId="0" borderId="9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43" fontId="4" fillId="0" borderId="1" xfId="3" applyFont="1" applyBorder="1" applyAlignment="1">
      <alignment horizontal="center"/>
    </xf>
    <xf numFmtId="0" fontId="14" fillId="3" borderId="0" xfId="0" applyFont="1" applyFill="1"/>
    <xf numFmtId="0" fontId="17" fillId="3" borderId="10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wrapText="1"/>
    </xf>
    <xf numFmtId="0" fontId="10" fillId="2" borderId="1" xfId="0" applyFont="1" applyFill="1" applyBorder="1" applyAlignment="1">
      <alignment horizontal="left"/>
    </xf>
    <xf numFmtId="43" fontId="15" fillId="2" borderId="1" xfId="3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43" fontId="15" fillId="2" borderId="0" xfId="3" applyFont="1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165" fontId="20" fillId="0" borderId="0" xfId="0" applyNumberFormat="1" applyFont="1"/>
    <xf numFmtId="0" fontId="21" fillId="0" borderId="0" xfId="0" applyFont="1"/>
    <xf numFmtId="165" fontId="0" fillId="0" borderId="0" xfId="0" applyNumberFormat="1"/>
    <xf numFmtId="165" fontId="7" fillId="0" borderId="0" xfId="0" applyNumberFormat="1" applyFont="1"/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D6" sqref="D6"/>
    </sheetView>
  </sheetViews>
  <sheetFormatPr baseColWidth="10" defaultColWidth="11.5703125" defaultRowHeight="15" x14ac:dyDescent="0.25"/>
  <cols>
    <col min="1" max="1" width="4.5703125" customWidth="1"/>
    <col min="2" max="2" width="9.5703125" customWidth="1"/>
    <col min="3" max="3" width="13.140625" customWidth="1"/>
    <col min="4" max="4" width="45.140625" customWidth="1"/>
    <col min="5" max="5" width="7.140625" style="44" customWidth="1"/>
    <col min="6" max="6" width="4.5703125" style="44" customWidth="1"/>
    <col min="7" max="7" width="8.42578125" customWidth="1"/>
    <col min="8" max="9" width="10.42578125" customWidth="1"/>
    <col min="10" max="10" width="12.7109375" customWidth="1"/>
  </cols>
  <sheetData>
    <row r="1" spans="1:12" ht="23.25" customHeight="1" x14ac:dyDescent="0.5">
      <c r="A1" s="1" t="s">
        <v>0</v>
      </c>
      <c r="B1" s="1"/>
      <c r="C1" s="6"/>
      <c r="D1" s="6"/>
      <c r="E1"/>
      <c r="F1" s="5"/>
      <c r="G1" s="5"/>
      <c r="H1" s="5"/>
      <c r="I1" s="5"/>
    </row>
    <row r="2" spans="1:12" x14ac:dyDescent="0.25">
      <c r="A2" s="2" t="s">
        <v>1</v>
      </c>
      <c r="B2" s="2"/>
      <c r="E2"/>
      <c r="F2" s="3"/>
    </row>
    <row r="3" spans="1:12" x14ac:dyDescent="0.25">
      <c r="A3" s="2" t="s">
        <v>13</v>
      </c>
      <c r="B3" s="2"/>
      <c r="C3" s="7"/>
      <c r="D3" s="7"/>
      <c r="E3"/>
      <c r="F3" s="4"/>
      <c r="G3" s="4"/>
      <c r="H3" s="4"/>
      <c r="I3" s="4"/>
    </row>
    <row r="4" spans="1:12" x14ac:dyDescent="0.25">
      <c r="A4" s="2" t="s">
        <v>2</v>
      </c>
      <c r="B4" s="2"/>
      <c r="C4" s="7"/>
      <c r="D4" s="7"/>
      <c r="E4"/>
      <c r="F4" s="2"/>
      <c r="G4" s="2"/>
      <c r="H4" s="2"/>
      <c r="I4" s="2"/>
    </row>
    <row r="5" spans="1:12" x14ac:dyDescent="0.25">
      <c r="A5" s="2"/>
      <c r="B5" s="2"/>
      <c r="C5" s="7"/>
      <c r="D5" s="7"/>
      <c r="E5"/>
      <c r="F5" s="2"/>
      <c r="G5" s="2"/>
      <c r="H5" s="2"/>
      <c r="I5" s="2"/>
    </row>
    <row r="6" spans="1:12" ht="26.25" x14ac:dyDescent="0.4">
      <c r="A6" s="9" t="s">
        <v>14</v>
      </c>
      <c r="B6" s="9"/>
      <c r="C6" s="7"/>
      <c r="D6" s="7"/>
      <c r="E6"/>
      <c r="F6" s="2"/>
      <c r="G6" s="2"/>
      <c r="H6" s="2"/>
      <c r="I6" s="2"/>
    </row>
    <row r="7" spans="1:12" x14ac:dyDescent="0.25">
      <c r="A7" s="2" t="s">
        <v>12</v>
      </c>
      <c r="B7" s="2"/>
      <c r="C7" s="7"/>
      <c r="D7" s="7"/>
      <c r="E7"/>
      <c r="F7" s="2"/>
      <c r="G7" s="2"/>
      <c r="H7" s="2"/>
      <c r="I7" s="2"/>
    </row>
    <row r="8" spans="1:12" x14ac:dyDescent="0.25">
      <c r="A8" s="2"/>
      <c r="B8" s="2"/>
      <c r="C8" s="7"/>
      <c r="D8" s="7"/>
      <c r="E8"/>
      <c r="F8" s="2"/>
      <c r="G8" s="2"/>
      <c r="H8" s="2"/>
      <c r="I8" s="2"/>
    </row>
    <row r="9" spans="1:12" x14ac:dyDescent="0.25">
      <c r="A9" s="2" t="s">
        <v>18</v>
      </c>
      <c r="B9" s="2" t="s">
        <v>19</v>
      </c>
      <c r="C9" s="7"/>
      <c r="D9" s="4"/>
      <c r="E9"/>
      <c r="F9" s="2"/>
      <c r="G9" s="8"/>
      <c r="H9" s="8"/>
      <c r="I9" s="8"/>
      <c r="L9" t="s">
        <v>20</v>
      </c>
    </row>
    <row r="10" spans="1:12" x14ac:dyDescent="0.25">
      <c r="A10" s="2"/>
      <c r="B10" s="2"/>
      <c r="C10" s="7"/>
      <c r="D10" s="7"/>
      <c r="E10"/>
      <c r="F10" s="2"/>
      <c r="G10" s="2"/>
      <c r="H10" s="2"/>
      <c r="I10" s="2"/>
    </row>
    <row r="11" spans="1:12" x14ac:dyDescent="0.25">
      <c r="A11" s="2"/>
      <c r="B11" s="2"/>
      <c r="C11" s="7"/>
      <c r="D11" s="7"/>
      <c r="E11"/>
      <c r="F11" s="2" t="s">
        <v>21</v>
      </c>
      <c r="G11" s="2"/>
      <c r="H11" s="2"/>
      <c r="I11" s="2"/>
    </row>
    <row r="12" spans="1:12" x14ac:dyDescent="0.25">
      <c r="A12" s="2" t="s">
        <v>3</v>
      </c>
      <c r="B12" s="2"/>
      <c r="C12" s="7"/>
      <c r="D12" s="7"/>
      <c r="E12"/>
      <c r="F12" s="2"/>
      <c r="G12" s="2"/>
      <c r="H12" s="2"/>
      <c r="I12" s="2"/>
    </row>
    <row r="13" spans="1:12" x14ac:dyDescent="0.25">
      <c r="A13" s="2" t="s">
        <v>9</v>
      </c>
      <c r="B13" s="2"/>
      <c r="C13" s="7"/>
      <c r="D13" s="7"/>
      <c r="E13"/>
      <c r="F13" s="2"/>
      <c r="G13" s="2"/>
      <c r="H13" s="2"/>
      <c r="I13" s="2"/>
    </row>
    <row r="14" spans="1:12" x14ac:dyDescent="0.25">
      <c r="A14" s="2" t="s">
        <v>15</v>
      </c>
      <c r="B14" s="2"/>
      <c r="C14" s="7"/>
      <c r="D14" s="7"/>
      <c r="E14"/>
      <c r="F14" s="2"/>
      <c r="G14" s="2"/>
      <c r="H14" s="2"/>
      <c r="I14" s="2"/>
    </row>
    <row r="15" spans="1:12" x14ac:dyDescent="0.25">
      <c r="A15" s="2"/>
      <c r="B15" s="2"/>
      <c r="C15" s="7"/>
      <c r="D15" s="7"/>
      <c r="E15"/>
      <c r="F15" s="2"/>
      <c r="G15" s="2"/>
      <c r="H15" s="2"/>
      <c r="I15" s="2"/>
    </row>
    <row r="16" spans="1:12" x14ac:dyDescent="0.25">
      <c r="A16" s="2"/>
      <c r="B16" s="2"/>
      <c r="C16" s="2"/>
      <c r="D16" s="2"/>
      <c r="E16" s="7"/>
      <c r="F16" s="7"/>
      <c r="G16" s="10"/>
      <c r="H16" s="10"/>
      <c r="I16" s="10"/>
      <c r="J16" s="10"/>
    </row>
    <row r="17" spans="1:10" x14ac:dyDescent="0.25">
      <c r="A17" s="11" t="s">
        <v>5</v>
      </c>
      <c r="B17" s="11" t="s">
        <v>22</v>
      </c>
      <c r="C17" s="11" t="s">
        <v>23</v>
      </c>
      <c r="D17" s="11" t="s">
        <v>24</v>
      </c>
      <c r="E17" s="11" t="s">
        <v>4</v>
      </c>
      <c r="F17" s="11" t="s">
        <v>8</v>
      </c>
      <c r="G17" s="12" t="s">
        <v>25</v>
      </c>
      <c r="H17" s="12"/>
      <c r="I17" s="12"/>
      <c r="J17" s="11" t="s">
        <v>7</v>
      </c>
    </row>
    <row r="18" spans="1:10" ht="15.75" x14ac:dyDescent="0.25">
      <c r="A18" s="13"/>
      <c r="B18" s="13"/>
      <c r="C18" s="13"/>
      <c r="D18" s="14" t="s">
        <v>26</v>
      </c>
      <c r="E18" s="15"/>
      <c r="F18" s="16"/>
      <c r="G18" s="17"/>
      <c r="H18" s="18"/>
      <c r="I18" s="18"/>
      <c r="J18" s="19"/>
    </row>
    <row r="19" spans="1:10" ht="72.75" x14ac:dyDescent="0.25">
      <c r="A19" s="13"/>
      <c r="B19" s="13"/>
      <c r="C19" s="13"/>
      <c r="D19" s="20" t="s">
        <v>27</v>
      </c>
      <c r="E19" s="13"/>
      <c r="F19" s="13"/>
      <c r="G19" s="21"/>
      <c r="H19" s="22" t="s">
        <v>28</v>
      </c>
      <c r="I19" s="22" t="s">
        <v>29</v>
      </c>
      <c r="J19" s="19">
        <f>E19*G19</f>
        <v>0</v>
      </c>
    </row>
    <row r="20" spans="1:10" x14ac:dyDescent="0.25">
      <c r="A20" s="13">
        <v>1</v>
      </c>
      <c r="B20" s="13" t="s">
        <v>30</v>
      </c>
      <c r="C20" s="13" t="s">
        <v>31</v>
      </c>
      <c r="D20" s="20"/>
      <c r="E20" s="13">
        <v>1</v>
      </c>
      <c r="F20" s="13" t="s">
        <v>17</v>
      </c>
      <c r="G20" s="21">
        <v>9820</v>
      </c>
      <c r="H20" s="23">
        <v>1728</v>
      </c>
      <c r="I20" s="23">
        <v>1100</v>
      </c>
      <c r="J20" s="19">
        <f>SUM(G20:I20)</f>
        <v>12648</v>
      </c>
    </row>
    <row r="21" spans="1:10" x14ac:dyDescent="0.25">
      <c r="A21" s="13">
        <v>2</v>
      </c>
      <c r="B21" s="13" t="s">
        <v>32</v>
      </c>
      <c r="C21" s="13" t="s">
        <v>33</v>
      </c>
      <c r="D21" s="20"/>
      <c r="E21" s="13">
        <v>1</v>
      </c>
      <c r="F21" s="13" t="s">
        <v>17</v>
      </c>
      <c r="G21" s="21">
        <v>7440</v>
      </c>
      <c r="H21" s="23">
        <v>1544</v>
      </c>
      <c r="I21" s="23">
        <v>912</v>
      </c>
      <c r="J21" s="19">
        <f t="shared" ref="J21:J30" si="0">SUM(G21:I21)</f>
        <v>9896</v>
      </c>
    </row>
    <row r="22" spans="1:10" x14ac:dyDescent="0.25">
      <c r="A22" s="13">
        <v>3</v>
      </c>
      <c r="B22" s="13" t="s">
        <v>34</v>
      </c>
      <c r="C22" s="13" t="s">
        <v>35</v>
      </c>
      <c r="D22" s="20"/>
      <c r="E22" s="13">
        <v>1</v>
      </c>
      <c r="F22" s="13" t="s">
        <v>17</v>
      </c>
      <c r="G22" s="21">
        <v>8532</v>
      </c>
      <c r="H22" s="23"/>
      <c r="I22" s="23"/>
      <c r="J22" s="19">
        <f t="shared" si="0"/>
        <v>8532</v>
      </c>
    </row>
    <row r="23" spans="1:10" x14ac:dyDescent="0.25">
      <c r="A23" s="13">
        <v>4</v>
      </c>
      <c r="B23" s="13" t="s">
        <v>36</v>
      </c>
      <c r="C23" s="13" t="s">
        <v>35</v>
      </c>
      <c r="D23" s="20"/>
      <c r="E23" s="13">
        <v>1</v>
      </c>
      <c r="F23" s="13" t="s">
        <v>17</v>
      </c>
      <c r="G23" s="21">
        <v>8532</v>
      </c>
      <c r="H23" s="23"/>
      <c r="I23" s="23"/>
      <c r="J23" s="19">
        <f t="shared" si="0"/>
        <v>8532</v>
      </c>
    </row>
    <row r="24" spans="1:10" x14ac:dyDescent="0.25">
      <c r="A24" s="13">
        <v>5</v>
      </c>
      <c r="B24" s="13" t="s">
        <v>37</v>
      </c>
      <c r="C24" s="13" t="s">
        <v>38</v>
      </c>
      <c r="D24" s="20"/>
      <c r="E24" s="13">
        <v>1</v>
      </c>
      <c r="F24" s="13" t="s">
        <v>17</v>
      </c>
      <c r="G24" s="21">
        <v>11408</v>
      </c>
      <c r="H24" s="23">
        <v>1730</v>
      </c>
      <c r="I24" s="23">
        <v>1100</v>
      </c>
      <c r="J24" s="19">
        <f t="shared" si="0"/>
        <v>14238</v>
      </c>
    </row>
    <row r="25" spans="1:10" x14ac:dyDescent="0.25">
      <c r="A25" s="13">
        <v>6</v>
      </c>
      <c r="B25" s="13" t="s">
        <v>39</v>
      </c>
      <c r="C25" s="13" t="s">
        <v>40</v>
      </c>
      <c r="D25" s="20"/>
      <c r="E25" s="13">
        <v>1</v>
      </c>
      <c r="F25" s="13" t="s">
        <v>17</v>
      </c>
      <c r="G25" s="21">
        <v>9425</v>
      </c>
      <c r="H25" s="23"/>
      <c r="I25" s="23"/>
      <c r="J25" s="19">
        <f t="shared" si="0"/>
        <v>9425</v>
      </c>
    </row>
    <row r="26" spans="1:10" x14ac:dyDescent="0.25">
      <c r="A26" s="13">
        <v>7</v>
      </c>
      <c r="B26" s="13" t="s">
        <v>41</v>
      </c>
      <c r="C26" s="13" t="s">
        <v>42</v>
      </c>
      <c r="D26" s="20"/>
      <c r="E26" s="13">
        <v>1</v>
      </c>
      <c r="F26" s="13" t="s">
        <v>17</v>
      </c>
      <c r="G26" s="21">
        <v>8532</v>
      </c>
      <c r="H26" s="23"/>
      <c r="I26" s="23"/>
      <c r="J26" s="19">
        <f t="shared" si="0"/>
        <v>8532</v>
      </c>
    </row>
    <row r="27" spans="1:10" ht="15.75" customHeight="1" x14ac:dyDescent="0.25">
      <c r="A27" s="13">
        <v>8</v>
      </c>
      <c r="B27" s="13" t="s">
        <v>43</v>
      </c>
      <c r="C27" s="13" t="s">
        <v>40</v>
      </c>
      <c r="D27" s="20"/>
      <c r="E27" s="13">
        <v>1</v>
      </c>
      <c r="F27" s="13" t="s">
        <v>17</v>
      </c>
      <c r="G27" s="21">
        <v>9425</v>
      </c>
      <c r="H27" s="23"/>
      <c r="I27" s="23"/>
      <c r="J27" s="19">
        <f t="shared" si="0"/>
        <v>9425</v>
      </c>
    </row>
    <row r="28" spans="1:10" ht="15.75" customHeight="1" x14ac:dyDescent="0.25">
      <c r="A28" s="13">
        <v>9</v>
      </c>
      <c r="B28" s="13" t="s">
        <v>44</v>
      </c>
      <c r="C28" s="13" t="s">
        <v>35</v>
      </c>
      <c r="D28" s="20"/>
      <c r="E28" s="13">
        <v>1</v>
      </c>
      <c r="F28" s="13" t="s">
        <v>17</v>
      </c>
      <c r="G28" s="21">
        <v>8532</v>
      </c>
      <c r="H28" s="21">
        <v>1540</v>
      </c>
      <c r="I28" s="21">
        <v>820</v>
      </c>
      <c r="J28" s="13">
        <f t="shared" si="0"/>
        <v>10892</v>
      </c>
    </row>
    <row r="29" spans="1:10" ht="13.5" customHeight="1" x14ac:dyDescent="0.25">
      <c r="A29" s="13">
        <v>10</v>
      </c>
      <c r="B29" s="13" t="s">
        <v>45</v>
      </c>
      <c r="C29" s="13" t="s">
        <v>40</v>
      </c>
      <c r="D29" s="20"/>
      <c r="E29" s="13">
        <v>1</v>
      </c>
      <c r="F29" s="13" t="s">
        <v>17</v>
      </c>
      <c r="G29" s="21">
        <v>9425</v>
      </c>
      <c r="H29" s="21">
        <v>1668</v>
      </c>
      <c r="I29" s="21">
        <v>840</v>
      </c>
      <c r="J29" s="13">
        <f t="shared" si="0"/>
        <v>11933</v>
      </c>
    </row>
    <row r="30" spans="1:10" ht="15.75" customHeight="1" x14ac:dyDescent="0.25">
      <c r="A30" s="13">
        <v>11</v>
      </c>
      <c r="B30" s="13" t="s">
        <v>46</v>
      </c>
      <c r="C30" s="13" t="s">
        <v>42</v>
      </c>
      <c r="D30" s="20"/>
      <c r="E30" s="13">
        <v>1</v>
      </c>
      <c r="F30" s="13" t="s">
        <v>17</v>
      </c>
      <c r="G30" s="21">
        <v>8532</v>
      </c>
      <c r="H30" s="21">
        <v>1420</v>
      </c>
      <c r="I30" s="21">
        <v>790</v>
      </c>
      <c r="J30" s="13">
        <f t="shared" si="0"/>
        <v>10742</v>
      </c>
    </row>
    <row r="31" spans="1:10" ht="24.75" customHeight="1" x14ac:dyDescent="0.25">
      <c r="A31" s="13"/>
      <c r="B31" s="13"/>
      <c r="C31" s="13"/>
      <c r="D31" s="20"/>
      <c r="E31" s="13"/>
      <c r="F31" s="13"/>
      <c r="G31" s="21"/>
      <c r="H31" s="21"/>
      <c r="I31" s="21"/>
      <c r="J31" s="13"/>
    </row>
    <row r="32" spans="1:10" x14ac:dyDescent="0.25">
      <c r="D32" s="24"/>
      <c r="E32" s="25" t="s">
        <v>7</v>
      </c>
      <c r="F32" s="26"/>
      <c r="G32" s="27"/>
      <c r="H32" s="27"/>
      <c r="I32" s="27"/>
      <c r="J32" s="28">
        <f>SUM(J20:J31)</f>
        <v>114795</v>
      </c>
    </row>
    <row r="33" spans="2:10" x14ac:dyDescent="0.25">
      <c r="B33" s="29" t="s">
        <v>47</v>
      </c>
      <c r="E33" s="30" t="s">
        <v>48</v>
      </c>
      <c r="F33" s="31"/>
      <c r="G33" s="32"/>
      <c r="H33" s="32"/>
      <c r="I33" s="32"/>
      <c r="J33" s="33">
        <f>J32*0.03</f>
        <v>3443.85</v>
      </c>
    </row>
    <row r="34" spans="2:10" x14ac:dyDescent="0.25">
      <c r="C34" s="34" t="s">
        <v>49</v>
      </c>
      <c r="D34" s="35"/>
      <c r="E34" s="36"/>
      <c r="F34" s="36"/>
      <c r="G34" s="36"/>
      <c r="H34" s="36"/>
      <c r="I34" s="36"/>
      <c r="J34" s="33"/>
    </row>
    <row r="35" spans="2:10" x14ac:dyDescent="0.25">
      <c r="C35" s="37" t="s">
        <v>50</v>
      </c>
      <c r="D35" s="38"/>
      <c r="E35" s="39" t="s">
        <v>10</v>
      </c>
      <c r="F35" s="39"/>
      <c r="G35" s="39"/>
      <c r="H35" s="39"/>
      <c r="I35" s="39"/>
      <c r="J35" s="40">
        <f>SUM(J32:J34)</f>
        <v>118238.85</v>
      </c>
    </row>
    <row r="36" spans="2:10" x14ac:dyDescent="0.25">
      <c r="C36" s="37"/>
      <c r="D36" s="37"/>
      <c r="E36" s="36" t="s">
        <v>11</v>
      </c>
      <c r="F36" s="36"/>
      <c r="G36" s="36"/>
      <c r="H36" s="36"/>
      <c r="I36" s="36"/>
      <c r="J36" s="33">
        <f>J35*0.18</f>
        <v>21282.992999999999</v>
      </c>
    </row>
    <row r="37" spans="2:10" x14ac:dyDescent="0.25">
      <c r="B37" t="s">
        <v>51</v>
      </c>
      <c r="C37" s="37" t="s">
        <v>52</v>
      </c>
      <c r="D37" s="37" t="s">
        <v>53</v>
      </c>
      <c r="E37" s="39" t="s">
        <v>6</v>
      </c>
      <c r="F37" s="39"/>
      <c r="G37" s="39"/>
      <c r="H37" s="39"/>
      <c r="I37" s="39"/>
      <c r="J37" s="40">
        <f>SUM(J35:J36)</f>
        <v>139521.84299999999</v>
      </c>
    </row>
    <row r="38" spans="2:10" x14ac:dyDescent="0.25">
      <c r="C38" s="37"/>
      <c r="D38" s="37"/>
      <c r="E38" s="41" t="s">
        <v>54</v>
      </c>
      <c r="F38" s="41"/>
      <c r="G38" s="41"/>
      <c r="H38" s="41"/>
      <c r="I38" s="41"/>
      <c r="J38" s="42"/>
    </row>
    <row r="39" spans="2:10" x14ac:dyDescent="0.25">
      <c r="D39" s="43"/>
    </row>
    <row r="40" spans="2:10" x14ac:dyDescent="0.25">
      <c r="D40" s="43"/>
    </row>
    <row r="41" spans="2:10" ht="20.25" x14ac:dyDescent="0.4">
      <c r="D41" t="s">
        <v>55</v>
      </c>
      <c r="J41" s="45"/>
    </row>
    <row r="42" spans="2:10" x14ac:dyDescent="0.25">
      <c r="G42" s="46"/>
      <c r="H42" s="46"/>
      <c r="I42" s="46"/>
      <c r="J42" s="47" t="s">
        <v>20</v>
      </c>
    </row>
    <row r="43" spans="2:10" ht="18.75" x14ac:dyDescent="0.3">
      <c r="D43" s="48" t="s">
        <v>16</v>
      </c>
      <c r="J43" s="49"/>
    </row>
    <row r="44" spans="2:10" ht="15.75" x14ac:dyDescent="0.25">
      <c r="J44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GALINDO</cp:lastModifiedBy>
  <cp:lastPrinted>2024-07-02T22:30:28Z</cp:lastPrinted>
  <dcterms:created xsi:type="dcterms:W3CDTF">2011-03-15T16:08:38Z</dcterms:created>
  <dcterms:modified xsi:type="dcterms:W3CDTF">2025-07-30T11:55:32Z</dcterms:modified>
</cp:coreProperties>
</file>