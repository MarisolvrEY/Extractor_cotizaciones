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edupe-my.sharepoint.com/personal/paguilarf_utp_edu_pe/Documents/Escritorio/COMPRITAS 3.0/SC-0000098733-2025 - SERVICIO DE PRODUCTORA (VIDEOS) PARA PROVINCIAS/"/>
    </mc:Choice>
  </mc:AlternateContent>
  <xr:revisionPtr revIDLastSave="36" documentId="8_{8F81357A-B397-48AC-B446-133390796530}" xr6:coauthVersionLast="47" xr6:coauthVersionMax="47" xr10:uidLastSave="{54ECB5EE-CED2-46EC-BE7E-1CC8BBB61DD4}"/>
  <bookViews>
    <workbookView xWindow="-110" yWindow="-110" windowWidth="19420" windowHeight="10300" xr2:uid="{AF1B2568-1D9B-46A4-9C29-31DBE80BE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H6" i="1"/>
  <c r="L6" i="1"/>
  <c r="N6" i="1"/>
  <c r="M7" i="1"/>
  <c r="K7" i="1"/>
  <c r="J6" i="1"/>
  <c r="E7" i="1" l="1"/>
  <c r="I7" i="1"/>
  <c r="G7" i="1"/>
</calcChain>
</file>

<file path=xl/sharedStrings.xml><?xml version="1.0" encoding="utf-8"?>
<sst xmlns="http://schemas.openxmlformats.org/spreadsheetml/2006/main" count="22" uniqueCount="14">
  <si>
    <t>ÍTEM</t>
  </si>
  <si>
    <t>CANTIDAD</t>
  </si>
  <si>
    <t>PROVEEDOR</t>
  </si>
  <si>
    <t>PRECIO SIN IGV</t>
  </si>
  <si>
    <t>SUB TOTAL INC IGV</t>
  </si>
  <si>
    <t>TOTAL</t>
  </si>
  <si>
    <t xml:space="preserve">PRODUCCIÓN DE 10 VIDEOS (TODAS LAS PROVINCIAS DE UTP) </t>
  </si>
  <si>
    <t>AVI MULTIMEDIOS</t>
  </si>
  <si>
    <t>DAVID SANCHEZ</t>
  </si>
  <si>
    <t>WATANA</t>
  </si>
  <si>
    <t>DOERS</t>
  </si>
  <si>
    <t>TIERRA FILMS</t>
  </si>
  <si>
    <t>UM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</si>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</sst>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4" fontId="2" fillId="4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2E3E-A780-448A-A9C0-B8DA901C1E90}">
  <dimension ref="B3:N7"/>
  <sheetViews>
    <sheetView tabSelected="1" zoomScale="70" zoomScaleNormal="70" workbookViewId="0">
      <selection activeCell="E14" sqref="E14"/>
    </sheetView>
  </sheetViews>
  <sheetFormatPr baseColWidth="10" defaultRowHeight="14.5" x14ac:dyDescent="0.35"/>
  <cols>
    <col min="2" max="2" width="60.54296875" style="1" customWidth="1"/>
    <col min="5" max="10" width="12.7265625" style="2" customWidth="1"/>
    <col min="11" max="11" width="11.6328125" bestFit="1" customWidth="1"/>
    <col min="12" max="12" width="14.6328125" customWidth="1"/>
    <col min="13" max="13" width="11.6328125" bestFit="1" customWidth="1"/>
    <col min="14" max="14" width="12.6328125" bestFit="1" customWidth="1"/>
  </cols>
  <sheetData>
    <row r="3" spans="2:14" x14ac:dyDescent="0.35">
      <c r="B3" s="7" t="s">
        <v>0</v>
      </c>
      <c r="C3" s="12" t="s">
        <v>1</v>
      </c>
      <c r="D3" s="12" t="s">
        <v>12</v>
      </c>
      <c r="E3" s="8" t="s">
        <v>2</v>
      </c>
      <c r="F3" s="8"/>
      <c r="G3" s="8"/>
      <c r="H3" s="8"/>
      <c r="I3" s="8"/>
      <c r="J3" s="8"/>
      <c r="K3" s="8"/>
      <c r="L3" s="8"/>
      <c r="M3" s="8"/>
      <c r="N3" s="8"/>
    </row>
    <row r="4" spans="2:14" ht="29" customHeight="1" x14ac:dyDescent="0.35">
      <c r="B4" s="7"/>
      <c r="C4" s="13"/>
      <c r="D4" s="13"/>
      <c r="E4" s="8" t="s">
        <v>7</v>
      </c>
      <c r="F4" s="8"/>
      <c r="G4" s="8" t="s">
        <v>8</v>
      </c>
      <c r="H4" s="8"/>
      <c r="I4" s="8" t="s">
        <v>9</v>
      </c>
      <c r="J4" s="8"/>
      <c r="K4" s="8" t="s">
        <v>10</v>
      </c>
      <c r="L4" s="8"/>
      <c r="M4" s="8" t="s">
        <v>11</v>
      </c>
      <c r="N4" s="8"/>
    </row>
    <row r="5" spans="2:14" ht="29" x14ac:dyDescent="0.35">
      <c r="B5" s="7"/>
      <c r="C5" s="14"/>
      <c r="D5" s="14"/>
      <c r="E5" s="6" t="s">
        <v>3</v>
      </c>
      <c r="F5" s="6" t="s">
        <v>4</v>
      </c>
      <c r="G5" s="6" t="s">
        <v>3</v>
      </c>
      <c r="H5" s="6" t="s">
        <v>4</v>
      </c>
      <c r="I5" s="6" t="s">
        <v>3</v>
      </c>
      <c r="J5" s="6" t="s">
        <v>4</v>
      </c>
      <c r="K5" s="6" t="s">
        <v>3</v>
      </c>
      <c r="L5" s="6" t="s">
        <v>4</v>
      </c>
      <c r="M5" s="6" t="s">
        <v>3</v>
      </c>
      <c r="N5" s="6" t="s">
        <v>4</v>
      </c>
    </row>
    <row r="6" spans="2:14" x14ac:dyDescent="0.35">
      <c r="B6" s="3" t="s">
        <v>6</v>
      </c>
      <c r="C6" s="4">
        <v>1</v>
      </c>
      <c r="D6" s="4" t="s">
        <v>13</v>
      </c>
      <c r="E6" s="5">
        <f>3500*10</f>
        <v>35000</v>
      </c>
      <c r="F6" s="5">
        <f>E6*1.1*C6</f>
        <v>38500</v>
      </c>
      <c r="G6" s="5">
        <v>59000</v>
      </c>
      <c r="H6" s="5">
        <f>G6*1*C6</f>
        <v>59000</v>
      </c>
      <c r="I6" s="5">
        <v>94400</v>
      </c>
      <c r="J6" s="5">
        <f>I6*1.18*C6</f>
        <v>111392</v>
      </c>
      <c r="K6" s="5">
        <v>45000</v>
      </c>
      <c r="L6" s="5">
        <f>K6*1.18*C6</f>
        <v>53100</v>
      </c>
      <c r="M6" s="5">
        <v>94411</v>
      </c>
      <c r="N6" s="5">
        <f>M6*1.18*C6</f>
        <v>111404.98</v>
      </c>
    </row>
    <row r="7" spans="2:14" x14ac:dyDescent="0.35">
      <c r="B7" s="10" t="s">
        <v>5</v>
      </c>
      <c r="C7" s="15"/>
      <c r="D7" s="11"/>
      <c r="E7" s="9">
        <f>SUM(F6:F6)</f>
        <v>38500</v>
      </c>
      <c r="F7" s="9"/>
      <c r="G7" s="9">
        <f>SUM(H6:H6)</f>
        <v>59000</v>
      </c>
      <c r="H7" s="9"/>
      <c r="I7" s="9">
        <f>SUM(J6:J6)</f>
        <v>111392</v>
      </c>
      <c r="J7" s="9"/>
      <c r="K7" s="9">
        <f>SUM(L6:L6)</f>
        <v>53100</v>
      </c>
      <c r="L7" s="9"/>
      <c r="M7" s="9">
        <f>SUM(N6:N6)</f>
        <v>111404.98</v>
      </c>
      <c r="N7" s="9"/>
    </row>
  </sheetData>
  <mergeCells count="15">
    <mergeCell ref="K4:L4"/>
    <mergeCell ref="K7:L7"/>
    <mergeCell ref="M4:N4"/>
    <mergeCell ref="M7:N7"/>
    <mergeCell ref="E3:N3"/>
    <mergeCell ref="B3:B5"/>
    <mergeCell ref="C3:C5"/>
    <mergeCell ref="E7:F7"/>
    <mergeCell ref="G7:H7"/>
    <mergeCell ref="I7:J7"/>
    <mergeCell ref="I4:J4"/>
    <mergeCell ref="G4:H4"/>
    <mergeCell ref="E4:F4"/>
    <mergeCell ref="D3:D5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Isabel Aguilar Fernandez</dc:creator>
  <cp:lastModifiedBy>Pamela Isabel Aguilar Fernandez</cp:lastModifiedBy>
  <dcterms:created xsi:type="dcterms:W3CDTF">2025-05-21T17:55:56Z</dcterms:created>
  <dcterms:modified xsi:type="dcterms:W3CDTF">2025-09-12T22:57:13Z</dcterms:modified>
</cp:coreProperties>
</file>