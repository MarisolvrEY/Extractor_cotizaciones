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vilela\Desktop\PARED CORCHO\"/>
    </mc:Choice>
  </mc:AlternateContent>
  <xr:revisionPtr revIDLastSave="0" documentId="13_ncr:1_{93B68EAD-5C4E-4E3C-A7E3-7F6B7FE8D59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oja1" sheetId="1" r:id="rId1"/>
    <sheet name="Hoja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" i="1" l="1"/>
  <c r="P24" i="1"/>
  <c r="P23" i="1"/>
  <c r="P22" i="1"/>
  <c r="P21" i="1"/>
  <c r="P20" i="1"/>
  <c r="P19" i="1"/>
  <c r="P18" i="1"/>
  <c r="P17" i="1"/>
  <c r="P16" i="1"/>
  <c r="P15" i="1"/>
  <c r="P14" i="1"/>
  <c r="L20" i="1" l="1"/>
  <c r="L24" i="1"/>
  <c r="L23" i="1"/>
  <c r="L22" i="1"/>
  <c r="L21" i="1"/>
  <c r="L19" i="1"/>
  <c r="L18" i="1"/>
  <c r="L17" i="1"/>
  <c r="L16" i="1"/>
  <c r="L15" i="1"/>
  <c r="L14" i="1"/>
  <c r="H20" i="1" l="1"/>
  <c r="H25" i="1"/>
  <c r="H23" i="1"/>
  <c r="H22" i="1"/>
  <c r="H18" i="1"/>
  <c r="H15" i="1"/>
  <c r="H14" i="1"/>
  <c r="J14" i="1" s="1"/>
  <c r="H24" i="1"/>
  <c r="H19" i="1"/>
  <c r="I19" i="1" s="1"/>
  <c r="J19" i="1" s="1"/>
  <c r="AO7" i="1" s="1"/>
  <c r="H21" i="1"/>
  <c r="H17" i="1"/>
  <c r="H16" i="1"/>
  <c r="Q29" i="1"/>
  <c r="BD3" i="1"/>
  <c r="BC3" i="1"/>
  <c r="BB3" i="1"/>
  <c r="M29" i="1"/>
  <c r="BD2" i="1"/>
  <c r="BC2" i="1"/>
  <c r="BB2" i="1"/>
  <c r="I29" i="1"/>
  <c r="BD1" i="1"/>
  <c r="BC1" i="1"/>
  <c r="BB1" i="1"/>
  <c r="AV14" i="1"/>
  <c r="AU14" i="1"/>
  <c r="AT14" i="1"/>
  <c r="AS14" i="1"/>
  <c r="AR14" i="1"/>
  <c r="AV13" i="1"/>
  <c r="AU13" i="1"/>
  <c r="AT13" i="1"/>
  <c r="AS13" i="1"/>
  <c r="AR13" i="1"/>
  <c r="AV12" i="1"/>
  <c r="AU12" i="1"/>
  <c r="AT12" i="1"/>
  <c r="AS12" i="1"/>
  <c r="AR12" i="1"/>
  <c r="AV11" i="1"/>
  <c r="AU11" i="1"/>
  <c r="AT11" i="1"/>
  <c r="AS11" i="1"/>
  <c r="AR11" i="1"/>
  <c r="AV10" i="1"/>
  <c r="AU10" i="1"/>
  <c r="AT10" i="1"/>
  <c r="AS10" i="1"/>
  <c r="AR10" i="1"/>
  <c r="AV9" i="1"/>
  <c r="AU9" i="1"/>
  <c r="AT9" i="1"/>
  <c r="AS9" i="1"/>
  <c r="AR9" i="1"/>
  <c r="AV8" i="1"/>
  <c r="AU8" i="1"/>
  <c r="AT8" i="1"/>
  <c r="AS8" i="1"/>
  <c r="AR8" i="1"/>
  <c r="AV7" i="1"/>
  <c r="AU7" i="1"/>
  <c r="AT7" i="1"/>
  <c r="AS7" i="1"/>
  <c r="AR7" i="1"/>
  <c r="AV6" i="1"/>
  <c r="AU6" i="1"/>
  <c r="AT6" i="1"/>
  <c r="AS6" i="1"/>
  <c r="AR6" i="1"/>
  <c r="AV5" i="1"/>
  <c r="AU5" i="1"/>
  <c r="AT5" i="1"/>
  <c r="AS5" i="1"/>
  <c r="AR5" i="1"/>
  <c r="AV4" i="1"/>
  <c r="AU4" i="1"/>
  <c r="AT4" i="1"/>
  <c r="AS4" i="1"/>
  <c r="AR4" i="1"/>
  <c r="AV3" i="1"/>
  <c r="AU3" i="1"/>
  <c r="AT3" i="1"/>
  <c r="AS3" i="1"/>
  <c r="AR3" i="1"/>
  <c r="Q25" i="1"/>
  <c r="R25" i="1" s="1"/>
  <c r="AQ13" i="1" s="1"/>
  <c r="M25" i="1"/>
  <c r="N25" i="1" s="1"/>
  <c r="AP13" i="1" s="1"/>
  <c r="I25" i="1"/>
  <c r="J25" i="1" s="1"/>
  <c r="AO13" i="1" s="1"/>
  <c r="Q24" i="1"/>
  <c r="R24" i="1" s="1"/>
  <c r="AQ12" i="1" s="1"/>
  <c r="M24" i="1"/>
  <c r="N24" i="1" s="1"/>
  <c r="AP12" i="1" s="1"/>
  <c r="I24" i="1"/>
  <c r="J24" i="1" s="1"/>
  <c r="AO12" i="1" s="1"/>
  <c r="Q23" i="1"/>
  <c r="R23" i="1" s="1"/>
  <c r="AQ11" i="1" s="1"/>
  <c r="M23" i="1"/>
  <c r="N23" i="1" s="1"/>
  <c r="AP11" i="1" s="1"/>
  <c r="I23" i="1"/>
  <c r="J23" i="1" s="1"/>
  <c r="AO11" i="1" s="1"/>
  <c r="Q22" i="1"/>
  <c r="R22" i="1" s="1"/>
  <c r="AQ10" i="1" s="1"/>
  <c r="M22" i="1"/>
  <c r="N22" i="1" s="1"/>
  <c r="AP10" i="1" s="1"/>
  <c r="I22" i="1"/>
  <c r="J22" i="1" s="1"/>
  <c r="AO10" i="1" s="1"/>
  <c r="Q21" i="1"/>
  <c r="R21" i="1" s="1"/>
  <c r="AQ9" i="1" s="1"/>
  <c r="M21" i="1"/>
  <c r="N21" i="1" s="1"/>
  <c r="AP9" i="1" s="1"/>
  <c r="I21" i="1"/>
  <c r="J21" i="1" s="1"/>
  <c r="AO9" i="1" s="1"/>
  <c r="Q20" i="1"/>
  <c r="R20" i="1" s="1"/>
  <c r="AQ8" i="1" s="1"/>
  <c r="M20" i="1"/>
  <c r="N20" i="1" s="1"/>
  <c r="AP8" i="1" s="1"/>
  <c r="I20" i="1"/>
  <c r="J20" i="1" s="1"/>
  <c r="AO8" i="1" s="1"/>
  <c r="Q19" i="1"/>
  <c r="R19" i="1" s="1"/>
  <c r="AQ7" i="1" s="1"/>
  <c r="M19" i="1"/>
  <c r="N19" i="1" s="1"/>
  <c r="AP7" i="1" s="1"/>
  <c r="Q18" i="1"/>
  <c r="R18" i="1" s="1"/>
  <c r="AQ6" i="1" s="1"/>
  <c r="M18" i="1"/>
  <c r="N18" i="1" s="1"/>
  <c r="AP6" i="1" s="1"/>
  <c r="I18" i="1"/>
  <c r="J18" i="1" s="1"/>
  <c r="AO6" i="1" s="1"/>
  <c r="Q17" i="1"/>
  <c r="R17" i="1" s="1"/>
  <c r="AQ5" i="1" s="1"/>
  <c r="M17" i="1"/>
  <c r="N17" i="1" s="1"/>
  <c r="AP5" i="1" s="1"/>
  <c r="I17" i="1"/>
  <c r="J17" i="1" s="1"/>
  <c r="AO5" i="1" s="1"/>
  <c r="Q16" i="1"/>
  <c r="R16" i="1" s="1"/>
  <c r="AQ4" i="1" s="1"/>
  <c r="M16" i="1"/>
  <c r="N16" i="1" s="1"/>
  <c r="AP4" i="1" s="1"/>
  <c r="I16" i="1"/>
  <c r="J16" i="1" s="1"/>
  <c r="AO4" i="1" s="1"/>
  <c r="Q15" i="1"/>
  <c r="R15" i="1" s="1"/>
  <c r="M15" i="1"/>
  <c r="N15" i="1" s="1"/>
  <c r="AP3" i="1" s="1"/>
  <c r="I15" i="1"/>
  <c r="J15" i="1" s="1"/>
  <c r="AO3" i="1" s="1"/>
  <c r="Q14" i="1"/>
  <c r="R14" i="1" s="1"/>
  <c r="M14" i="1"/>
  <c r="N14" i="1" s="1"/>
  <c r="E34" i="1"/>
  <c r="I14" i="1"/>
  <c r="BA8" i="1"/>
  <c r="BA7" i="1"/>
  <c r="BA6" i="1"/>
  <c r="BA5" i="1"/>
  <c r="BA4" i="1"/>
  <c r="BA3" i="1"/>
  <c r="BA2" i="1"/>
  <c r="S33" i="1" l="1"/>
  <c r="Q33" i="1"/>
  <c r="M33" i="1"/>
  <c r="I33" i="1"/>
  <c r="S32" i="1"/>
  <c r="Q32" i="1" s="1"/>
  <c r="M32" i="1"/>
  <c r="I32" i="1"/>
  <c r="S31" i="1"/>
  <c r="I31" i="1" s="1"/>
  <c r="S18" i="1"/>
  <c r="S25" i="1"/>
  <c r="S24" i="1"/>
  <c r="S23" i="1"/>
  <c r="S21" i="1"/>
  <c r="S20" i="1"/>
  <c r="S19" i="1"/>
  <c r="R26" i="1"/>
  <c r="BE3" i="1" s="1"/>
  <c r="AQ3" i="1"/>
  <c r="S15" i="1" s="1"/>
  <c r="N26" i="1"/>
  <c r="AP14" i="1" s="1"/>
  <c r="J26" i="1"/>
  <c r="AO14" i="1" s="1"/>
  <c r="S22" i="1"/>
  <c r="S17" i="1"/>
  <c r="S16" i="1"/>
  <c r="AV2" i="1"/>
  <c r="AU2" i="1"/>
  <c r="Q31" i="1" l="1"/>
  <c r="M31" i="1"/>
  <c r="G30" i="1"/>
  <c r="K30" i="1"/>
  <c r="BE1" i="1"/>
  <c r="BE2" i="1"/>
  <c r="AQ14" i="1"/>
  <c r="S26" i="1" s="1"/>
  <c r="O30" i="1"/>
  <c r="AT2" i="1"/>
  <c r="AS2" i="1"/>
  <c r="AR2" i="1"/>
  <c r="AO2" i="1"/>
  <c r="AQ2" i="1"/>
  <c r="AP2" i="1"/>
  <c r="S30" i="1" l="1"/>
  <c r="Q30" i="1" s="1"/>
  <c r="Q34" i="1" s="1"/>
  <c r="AZ3" i="1" s="1"/>
  <c r="S14" i="1"/>
  <c r="BA1" i="1"/>
  <c r="I30" i="1" l="1"/>
  <c r="I34" i="1" s="1"/>
  <c r="AZ1" i="1" s="1"/>
  <c r="M30" i="1"/>
  <c r="M34" i="1" s="1"/>
  <c r="AZ2" i="1" s="1"/>
  <c r="AV1" i="1"/>
  <c r="AU1" i="1"/>
  <c r="AT1" i="1"/>
  <c r="AS1" i="1"/>
  <c r="AR1" i="1"/>
  <c r="AQ1" i="1"/>
  <c r="AP1" i="1"/>
  <c r="AO1" i="1"/>
  <c r="T34" i="1" l="1"/>
  <c r="AX2" i="1" s="1"/>
  <c r="C37" i="1" s="1"/>
  <c r="S34" i="1"/>
  <c r="T16" i="1"/>
  <c r="T21" i="1"/>
  <c r="T25" i="1"/>
  <c r="T20" i="1"/>
  <c r="T24" i="1"/>
  <c r="T18" i="1"/>
  <c r="T23" i="1"/>
  <c r="T22" i="1"/>
  <c r="T15" i="1"/>
  <c r="T17" i="1"/>
  <c r="T19" i="1"/>
  <c r="T26" i="1"/>
  <c r="AX1" i="1" s="1"/>
  <c r="T14" i="1"/>
</calcChain>
</file>

<file path=xl/sharedStrings.xml><?xml version="1.0" encoding="utf-8"?>
<sst xmlns="http://schemas.openxmlformats.org/spreadsheetml/2006/main" count="485" uniqueCount="283">
  <si>
    <t>Gerencia</t>
  </si>
  <si>
    <t>ADMINISTRACIÓN Y FINANZAS</t>
  </si>
  <si>
    <t>Departamento solicitante</t>
  </si>
  <si>
    <t>PLANIFICACION ACADEMICA</t>
  </si>
  <si>
    <t>Solicitante</t>
  </si>
  <si>
    <t>Comprador</t>
  </si>
  <si>
    <t>DELGADO CAMPOS, DAPHNE</t>
  </si>
  <si>
    <t>Moneda</t>
  </si>
  <si>
    <t>PEN</t>
  </si>
  <si>
    <t># Items</t>
  </si>
  <si>
    <t>Item</t>
  </si>
  <si>
    <t>Descripción de producto o servicio</t>
  </si>
  <si>
    <t>Sede</t>
  </si>
  <si>
    <t>Qty</t>
  </si>
  <si>
    <t>UM</t>
  </si>
  <si>
    <t>T.Entrega</t>
  </si>
  <si>
    <t>Costo unit.</t>
  </si>
  <si>
    <t>IGV</t>
  </si>
  <si>
    <t>PROVEEDOR SELECCIONADO</t>
  </si>
  <si>
    <t>JUSTIFICACIÓN DE LA ADJUDICACIÓN</t>
  </si>
  <si>
    <t>Precio</t>
  </si>
  <si>
    <t>Crédito</t>
  </si>
  <si>
    <t>Tiempo</t>
  </si>
  <si>
    <t>Postventa/Garantía</t>
  </si>
  <si>
    <t>Descr Unidad Explotación</t>
  </si>
  <si>
    <t>Descripción</t>
  </si>
  <si>
    <t>Unidad</t>
  </si>
  <si>
    <t>Descripción Departamento</t>
  </si>
  <si>
    <t>Grupo_Area</t>
  </si>
  <si>
    <t>Compradores</t>
  </si>
  <si>
    <t>Unidad de Medida</t>
  </si>
  <si>
    <t>Condicion de pago</t>
  </si>
  <si>
    <t>Vigencia</t>
  </si>
  <si>
    <t>Garantia</t>
  </si>
  <si>
    <t>UTP PARRA 201-203 -  AREQUIPA</t>
  </si>
  <si>
    <t>AREQUIPA</t>
  </si>
  <si>
    <t>AREQUIPA - PARRA 201</t>
  </si>
  <si>
    <t>ACREDITACIÓN</t>
  </si>
  <si>
    <t>ACADEMICO</t>
  </si>
  <si>
    <t>CAJ</t>
  </si>
  <si>
    <t>SI</t>
  </si>
  <si>
    <t>Al contado</t>
  </si>
  <si>
    <t>1-5 días</t>
  </si>
  <si>
    <t>UTP PARRA 205 -  AREQUIPA</t>
  </si>
  <si>
    <t>AREQUIPA - PARRA 205</t>
  </si>
  <si>
    <t>ESTUPIÑAN GONZALES, ARLETTE GUILLIANA</t>
  </si>
  <si>
    <t>USD</t>
  </si>
  <si>
    <t>CTO</t>
  </si>
  <si>
    <t>NO</t>
  </si>
  <si>
    <t>15 días</t>
  </si>
  <si>
    <t>5-10 días</t>
  </si>
  <si>
    <t>UTP PARRA WASHINGT 217-219 ARQUIPA</t>
  </si>
  <si>
    <t>AREQUIPA - PARRA 217</t>
  </si>
  <si>
    <t>ALMACEN - ABASTECIMIENTO</t>
  </si>
  <si>
    <t>GAMARRA SUCA, YOSELIN PILAR</t>
  </si>
  <si>
    <t>EUR</t>
  </si>
  <si>
    <t>GLN</t>
  </si>
  <si>
    <t>30 días</t>
  </si>
  <si>
    <t>10-15 días</t>
  </si>
  <si>
    <t>UTP TACNA-ARICA 158-160-162 - AREQUIPA</t>
  </si>
  <si>
    <t>AREQUIPA - TACNA 158</t>
  </si>
  <si>
    <t>BIBLIOTECA CENTRAL UTP</t>
  </si>
  <si>
    <t>MARTINEZ RIVAS, ANGELO</t>
  </si>
  <si>
    <t>JGO</t>
  </si>
  <si>
    <t>45 días</t>
  </si>
  <si>
    <t>15-20 días</t>
  </si>
  <si>
    <t>UTP N.AYLLON KM11.60 LOTE 96ATE -LIMA</t>
  </si>
  <si>
    <t>ATE</t>
  </si>
  <si>
    <t>ATE - N.AYLLON</t>
  </si>
  <si>
    <t>BIENESTAR UNIVERSITARIO</t>
  </si>
  <si>
    <t>OTINIANO YUPANQUI, JULIA ALEJANDRA</t>
  </si>
  <si>
    <t>KGR</t>
  </si>
  <si>
    <t>60 días</t>
  </si>
  <si>
    <t>20-25 días</t>
  </si>
  <si>
    <t>UTP AV. PROGRESO CON AV. EVITAMIENTO S/N  - CHICLAYO</t>
  </si>
  <si>
    <t>CHICLAYO</t>
  </si>
  <si>
    <t>CHICLAYO - PROGRESO</t>
  </si>
  <si>
    <t>CALEDU ACREDITACIÓN</t>
  </si>
  <si>
    <t>PAREDES MONTALVA , RONY JAIR</t>
  </si>
  <si>
    <t>LIT</t>
  </si>
  <si>
    <t>75 días</t>
  </si>
  <si>
    <t>25-30 días</t>
  </si>
  <si>
    <t>UTP PASERO DEL MAR MZ C9- LT2 - CHIMBOTE</t>
  </si>
  <si>
    <t>CHIMBOTE</t>
  </si>
  <si>
    <t>CHIMBOTE - PASERO DEL MAR</t>
  </si>
  <si>
    <t>CALIDAD EDUCATIVA UTP</t>
  </si>
  <si>
    <t>PEREZ DELGADO, SANNY SHAINNEL</t>
  </si>
  <si>
    <t>MIL</t>
  </si>
  <si>
    <t>90 días</t>
  </si>
  <si>
    <t>6 meses</t>
  </si>
  <si>
    <t>UTP  10B DIST.SAN JERONIM - CUSCO</t>
  </si>
  <si>
    <t>CUSCO</t>
  </si>
  <si>
    <t>CUSCO - SAN JERONIMO</t>
  </si>
  <si>
    <t>CENTR ATENCION Y SERV AL ESTUD</t>
  </si>
  <si>
    <t>REBATTA PEÑA, CHRISTIAN ADOLFO</t>
  </si>
  <si>
    <t>SER</t>
  </si>
  <si>
    <t>UTP AV.CIRCUNVALACIÓN 449 - HUANCAYO</t>
  </si>
  <si>
    <t>HUANCAYO</t>
  </si>
  <si>
    <t>HUANCAYO - CIRCUNVALACION 449</t>
  </si>
  <si>
    <t>COMERCIAL - VENTAS</t>
  </si>
  <si>
    <t>GERENCIA COMERCIAL UTP</t>
  </si>
  <si>
    <t>SOLANO MARINGOTA, ELBA LUCILA</t>
  </si>
  <si>
    <t>UND</t>
  </si>
  <si>
    <t>UTP SUB EUB-5 SAN JOSE - ICA</t>
  </si>
  <si>
    <t>ICA</t>
  </si>
  <si>
    <t>ICA - SUB EUB 5</t>
  </si>
  <si>
    <t>DIREC APOYO Y CONSEJ AL ESTUDI</t>
  </si>
  <si>
    <t>VALENTIN RIVERA , ERNESTO LEONARDO</t>
  </si>
  <si>
    <t>UTP ASISCLO VILLARÁN 376 - LIMA</t>
  </si>
  <si>
    <t>LIMA CENTRO</t>
  </si>
  <si>
    <t>LIMA CENTRO - A.VILLARAN 376</t>
  </si>
  <si>
    <t>DIREC TECNOLOG PARA APRENDIZ</t>
  </si>
  <si>
    <t>VASQUEZ SANCHEZ , ARTURO DAVID</t>
  </si>
  <si>
    <t>UTP AV. AREQUIPA 265-279 - LIMA</t>
  </si>
  <si>
    <t>LIMA CENTRO - AQP 265</t>
  </si>
  <si>
    <t>DIRECCIÓN ACADÉMIC GENERAL UTP</t>
  </si>
  <si>
    <t>VEGA MARIN , ANDREA ALEJANDRA</t>
  </si>
  <si>
    <t>UTP AREQUIPA 660- 670 - LIMA</t>
  </si>
  <si>
    <t>LIMA CENTRO - AQP 660</t>
  </si>
  <si>
    <t>DIRECCIÓN DE CIENCIAS</t>
  </si>
  <si>
    <t>VILLANUEVA QUEVEDO, ELVIS SANTIAGO</t>
  </si>
  <si>
    <t>12 meses</t>
  </si>
  <si>
    <t>UTP AREQUIPA 772-790 -  LIMA</t>
  </si>
  <si>
    <t>LIMA CENTRO - AQP 772</t>
  </si>
  <si>
    <t>DIRECCIÓN DE EMPLEABILIDAD</t>
  </si>
  <si>
    <t>18 meses</t>
  </si>
  <si>
    <t>UTP GUZMÁN BLANCO 280 -LIMA</t>
  </si>
  <si>
    <t>LIMA CENTRO - G.BLANCO 280</t>
  </si>
  <si>
    <t>DIRECCIÓN DE HUMANIDADES</t>
  </si>
  <si>
    <t>24 meses</t>
  </si>
  <si>
    <t>UTP HERNÁN VELARDE 143-151 - LIMA</t>
  </si>
  <si>
    <t>LIMA CENTRO - H.VEL. 143</t>
  </si>
  <si>
    <t>DIRECCION DE INVESTIGACION</t>
  </si>
  <si>
    <t>UTP HERNÁN VELARDE 67-69 - LIMA</t>
  </si>
  <si>
    <t>LIMA CENTRO - H.VEL. 67</t>
  </si>
  <si>
    <t>DIRECCIÓN DE OPERACIONES Y SER</t>
  </si>
  <si>
    <t>UTP HERNÁN VELARDE 76-80  - LIMA</t>
  </si>
  <si>
    <t>LIMA CENTRO - H.VEL. 76</t>
  </si>
  <si>
    <t>EPG</t>
  </si>
  <si>
    <t>UTP HERNÁN VELARDE 91-93 -LIMA</t>
  </si>
  <si>
    <t>LIMA CENTRO - H.VEL. 91</t>
  </si>
  <si>
    <t>EPG COMERCIAL</t>
  </si>
  <si>
    <t>UTP JOSÉ DÍAZ 226-230  - LIMA</t>
  </si>
  <si>
    <t>LIMA CENTRO - J.DIAZ 226</t>
  </si>
  <si>
    <t>ESCUELA DE ARQUITECTURA</t>
  </si>
  <si>
    <t>UTP JR.MANUEL CORPANCHO 358-360 - LIMA</t>
  </si>
  <si>
    <t>LIMA CENTRO - M.CORP. 358</t>
  </si>
  <si>
    <t>ESCUELA DE ING. DE SISTEMAS</t>
  </si>
  <si>
    <t>UTP PETITTHOURS 116 -  LIMA</t>
  </si>
  <si>
    <t>LIMA CENTRO - PETIT. 116</t>
  </si>
  <si>
    <t>ESCUELA DE ING. ELECTRÓNICA</t>
  </si>
  <si>
    <t>SEDE VIRTUAL - PETITTOHUARS 116</t>
  </si>
  <si>
    <t>ESCUELA DE ING. INDUSTRIAL</t>
  </si>
  <si>
    <t>UTP PETIT THOURS 170-180 - LIMA</t>
  </si>
  <si>
    <t>LIMA CENTRO - PETIT. 170</t>
  </si>
  <si>
    <t>ESCUELA DE ING. MARÍTIMA</t>
  </si>
  <si>
    <t>UTP PETIT THOURS 188-198 - LIMA</t>
  </si>
  <si>
    <t>LIMA CENTRO - PETIT. 188</t>
  </si>
  <si>
    <t>ESCUELA DE ING. MECÁNICA</t>
  </si>
  <si>
    <t>IDAT PETIT THOU355 - LIMA</t>
  </si>
  <si>
    <t>LIMA CENTRO - PETIT. 355</t>
  </si>
  <si>
    <t>ESCUELA ING. CIVIL</t>
  </si>
  <si>
    <t>UTP PETIT THOU383-385-TORRE II - LIMA</t>
  </si>
  <si>
    <t>LIMA CENTRO - PETIT. 383</t>
  </si>
  <si>
    <t>FACULTAD HUM Y CC SOC</t>
  </si>
  <si>
    <t>UTP SACO OLIVEROS 163 - LIMA</t>
  </si>
  <si>
    <t>LIMA CENTRO - SACO 163</t>
  </si>
  <si>
    <t>FCTAD ADMIN Y NEGOCIOS</t>
  </si>
  <si>
    <t>UTP SACO OLIVEROS 189-191 - LIMA</t>
  </si>
  <si>
    <t>LIMA CENTRO - SACO 189</t>
  </si>
  <si>
    <t>FCTAD CIENCIAS DE LA COMUNIC</t>
  </si>
  <si>
    <t>EPG SALAVERRY 2443 - 2447 -  LIMA</t>
  </si>
  <si>
    <t>LIMA CENTRO - SALAVERRY 2443</t>
  </si>
  <si>
    <t>FCTAD DERECHO, C.POLIT Y RRII</t>
  </si>
  <si>
    <t>UTP WASHINGTON 1909 CON JR.YAUYOS 177-181-185 -LIMA</t>
  </si>
  <si>
    <t>LIMA CENTRO - WASHING. 1909</t>
  </si>
  <si>
    <t>FCTAD ING. DE SIST. Y ELECTRÓ.</t>
  </si>
  <si>
    <t>UTP AV.EL SOL MZ.G LTE.14 SJL - LIMA</t>
  </si>
  <si>
    <t>LIMA ESTE</t>
  </si>
  <si>
    <t>LIMA ESTE - EL SOL SJL</t>
  </si>
  <si>
    <t>FCTAD ING. INDUSTRIAL Y MECÁN</t>
  </si>
  <si>
    <t>UTP AV.SOL SUB LT 13B MZG SJL - LIMA</t>
  </si>
  <si>
    <t>LIMA ESTE - SOL SUB SJL</t>
  </si>
  <si>
    <t>FCTAD. CIENCIAS DE LA SALUD</t>
  </si>
  <si>
    <t>UTP AV.MENDIOLA 6377- LIMA</t>
  </si>
  <si>
    <t>LIMA NORTE</t>
  </si>
  <si>
    <t>LIMA NORTE - MENDIOLA 6377</t>
  </si>
  <si>
    <t>GENERICO</t>
  </si>
  <si>
    <t>UTP EL TRIUNFO S/N-VILLA SALVA - LIMA</t>
  </si>
  <si>
    <t>LIMA SUR</t>
  </si>
  <si>
    <t>LIMA SUR - EL TRIUNFO VES</t>
  </si>
  <si>
    <t>UTP NATALIO SANCHEZ 125 -  LIMA</t>
  </si>
  <si>
    <t>NATALIO SANCHEZ</t>
  </si>
  <si>
    <t>GERENCIA DE ASUNTOS REGULATORI</t>
  </si>
  <si>
    <t>UTP AV.PANAMERICANA 234 -PIURA</t>
  </si>
  <si>
    <t>PIURA</t>
  </si>
  <si>
    <t>PIURA - PANAMERICANA 234</t>
  </si>
  <si>
    <t>GERENCIA GENERAL</t>
  </si>
  <si>
    <t>UTP AV. BILLINGHURTS 800 - TACNA</t>
  </si>
  <si>
    <t>TACNA</t>
  </si>
  <si>
    <t>TACNA - BILLINGHURTS 800</t>
  </si>
  <si>
    <t>GESTIÓN Y DESARROLLO HUMANO</t>
  </si>
  <si>
    <t>UTP NICOLAS PIEROLA - TRUJILLO</t>
  </si>
  <si>
    <t>TRUJILLO</t>
  </si>
  <si>
    <t>TRUJILLO - NICOLAS PIEROLA</t>
  </si>
  <si>
    <t>GRADOS Y TITULOS</t>
  </si>
  <si>
    <t>IMAGEN INSTITUCIONAL UTP</t>
  </si>
  <si>
    <t>INFRAESTRUCTURA</t>
  </si>
  <si>
    <t>LEGAL</t>
  </si>
  <si>
    <t>LOGÍSTICA</t>
  </si>
  <si>
    <t>MANTENIMIENTO</t>
  </si>
  <si>
    <t>OFICINA DE ADMISIÓN</t>
  </si>
  <si>
    <t>OFICINA DE RELACIONES INTERNAC</t>
  </si>
  <si>
    <t>OPERACIONES FINANCIERAS</t>
  </si>
  <si>
    <t>PLANEAMIENTO</t>
  </si>
  <si>
    <t>POD ENGAGEMENT</t>
  </si>
  <si>
    <t>PROYECTOS DE INVESTIGACION</t>
  </si>
  <si>
    <t>RECTORADO</t>
  </si>
  <si>
    <t>RESPONSABILIDAD SOCIAL</t>
  </si>
  <si>
    <t>SAE UTP</t>
  </si>
  <si>
    <t>SECRETARÍA ACADÉMICA UTP</t>
  </si>
  <si>
    <t>SEGURIDAD</t>
  </si>
  <si>
    <t>SERVICIO MÉDICO</t>
  </si>
  <si>
    <t>SERVICIOS COMPLEMENTARIOS</t>
  </si>
  <si>
    <t>SERVICIOS CULTURALES</t>
  </si>
  <si>
    <t>SERVICIOS DEPORTIVOS</t>
  </si>
  <si>
    <t>SERVICIOS UNIVERSITARIOS</t>
  </si>
  <si>
    <t>SISTEMAS</t>
  </si>
  <si>
    <t>UTP AREQUIPA COMERCIAL</t>
  </si>
  <si>
    <t>UTP SECRETARIA GENERAL</t>
  </si>
  <si>
    <t>Forma de pago, el más conveniente para UTP</t>
  </si>
  <si>
    <t>Garantía, servicio post venta, soporte técnico y capacitación</t>
  </si>
  <si>
    <t>RESULTADO DE CRITERIOS</t>
  </si>
  <si>
    <t>Total</t>
  </si>
  <si>
    <t>Deficiente</t>
  </si>
  <si>
    <t>La propuesta no se ajusta a las exigencias planteadas en las bases</t>
  </si>
  <si>
    <t>Insuficiente</t>
  </si>
  <si>
    <t>La propuesta presenta debilidades significativas respecto de las exigencias planteadas en las bases</t>
  </si>
  <si>
    <t>Regular</t>
  </si>
  <si>
    <t>La propuesta se ajusta pero presenta debilidades  que dificultan la ejecución satisfactoria del servicio</t>
  </si>
  <si>
    <t>Bueno</t>
  </si>
  <si>
    <t>La propuesta siempre satisface y a veces supera las exigencias planteadas en las bases</t>
  </si>
  <si>
    <t>Excelente</t>
  </si>
  <si>
    <t>La propuesta siempre satisface y la mayoría de las veces supera las exigencias planteadas en las bases</t>
  </si>
  <si>
    <t>Asignación de puntaje</t>
  </si>
  <si>
    <t>Criterio para evaluar</t>
  </si>
  <si>
    <t>Calidad</t>
  </si>
  <si>
    <t>Trayectoria, tiempo de experiencia, especificaciones técnicas, certificaciones, homologaciones</t>
  </si>
  <si>
    <t>Peso</t>
  </si>
  <si>
    <t>5 días</t>
  </si>
  <si>
    <t>7 días</t>
  </si>
  <si>
    <t>10 días</t>
  </si>
  <si>
    <t>20 días</t>
  </si>
  <si>
    <t>No Incluye</t>
  </si>
  <si>
    <t>30 meses</t>
  </si>
  <si>
    <t>36 meses</t>
  </si>
  <si>
    <t>48 meses</t>
  </si>
  <si>
    <t>60 meses</t>
  </si>
  <si>
    <t>Puntaje</t>
  </si>
  <si>
    <t>Detalle / Puntaje (1-5)</t>
  </si>
  <si>
    <t>VARIOS</t>
  </si>
  <si>
    <t>Tiempo de ejecución del servicio</t>
  </si>
  <si>
    <t>Precio total</t>
  </si>
  <si>
    <t>Mas de 60 meses</t>
  </si>
  <si>
    <t>Mas de 90 dias</t>
  </si>
  <si>
    <t>Cumple</t>
  </si>
  <si>
    <t>No cumple</t>
  </si>
  <si>
    <t>Criterios de evaluación</t>
  </si>
  <si>
    <t>Plazo entrega</t>
  </si>
  <si>
    <t>CUADRO COMPARATIVO DE PRECIOS</t>
  </si>
  <si>
    <t>VILELA VARGAS MIGUEL ANGEL</t>
  </si>
  <si>
    <t>PARED DE CORCHO 6.94X2.85 PEGADO A MURO HASTA ALTURA DE FCR</t>
  </si>
  <si>
    <t>PARED DE CORCHO 6.36X2.35 PEGADO HASTA ALTURA DE FCR</t>
  </si>
  <si>
    <t>PARED DE CORCHO 7.30X2.35 PEGADO A MURO HASTA ALTURA DE FCR</t>
  </si>
  <si>
    <t>PARED DE CORCHO 9.48X2.35 PEGADO A MURO HASTA ALTURA DE 2.50 MEDIDO DESDE EL NVEL DE PISO</t>
  </si>
  <si>
    <t>PARED DE CORCHO 8.00X2.35M -</t>
  </si>
  <si>
    <t>PARED DE CORCHO 7.50X2.35 PEGADO A MURO HASTA ALTURA DE FCR</t>
  </si>
  <si>
    <t>8.00X2.35M PEGADO EN MURO HASTA LA ALTURA DE FALSO CIELO</t>
  </si>
  <si>
    <t>PARED DE CORCHO 7.30X2.35 PEGADO A PARED HASTA ALTURA DE FCR</t>
  </si>
  <si>
    <t>PARED DE CORCHO 8.00X2.35 PEGADO A MURO HASTA NIVEL DE FCR</t>
  </si>
  <si>
    <t>EGOLARTE</t>
  </si>
  <si>
    <t>KALPPA</t>
  </si>
  <si>
    <t>RUSVEN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</si>
</sst>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6052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/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medium">
        <color theme="3" tint="0.599993896298104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  <xf numFmtId="0" fontId="8" fillId="0" borderId="0"/>
  </cellStyleXfs>
  <cellXfs count="59">
    <xf numFmtId="0" fontId="0" fillId="0" borderId="0" xfId="0"/>
    <xf numFmtId="0" fontId="4" fillId="0" borderId="0" xfId="0" applyFont="1"/>
    <xf numFmtId="43" fontId="4" fillId="0" borderId="0" xfId="0" applyNumberFormat="1" applyFont="1"/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3" fillId="0" borderId="0" xfId="0" applyFont="1"/>
    <xf numFmtId="43" fontId="0" fillId="0" borderId="0" xfId="1" applyFont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43" fontId="0" fillId="0" borderId="10" xfId="1" applyFont="1" applyBorder="1" applyAlignment="1">
      <alignment horizontal="center"/>
    </xf>
    <xf numFmtId="0" fontId="9" fillId="3" borderId="10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9" fillId="3" borderId="10" xfId="3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/>
    </xf>
    <xf numFmtId="43" fontId="4" fillId="0" borderId="0" xfId="1" applyFont="1"/>
    <xf numFmtId="0" fontId="10" fillId="0" borderId="4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9" fillId="3" borderId="10" xfId="3" applyFont="1" applyFill="1" applyBorder="1" applyAlignment="1" applyProtection="1">
      <alignment horizontal="center" vertical="center" wrapText="1"/>
      <protection locked="0"/>
    </xf>
    <xf numFmtId="0" fontId="5" fillId="2" borderId="4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4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0" xfId="2" applyNumberFormat="1" applyFont="1" applyBorder="1" applyAlignment="1">
      <alignment horizontal="center"/>
    </xf>
    <xf numFmtId="164" fontId="0" fillId="0" borderId="0" xfId="2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1" fillId="4" borderId="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43" fontId="0" fillId="0" borderId="0" xfId="0" applyNumberFormat="1"/>
    <xf numFmtId="43" fontId="0" fillId="0" borderId="13" xfId="1" applyFont="1" applyBorder="1" applyAlignment="1">
      <alignment horizontal="center"/>
    </xf>
    <xf numFmtId="43" fontId="3" fillId="0" borderId="0" xfId="0" applyNumberFormat="1" applyFont="1"/>
    <xf numFmtId="0" fontId="0" fillId="5" borderId="4" xfId="0" applyFill="1" applyBorder="1"/>
    <xf numFmtId="0" fontId="0" fillId="6" borderId="4" xfId="0" applyFill="1" applyBorder="1"/>
    <xf numFmtId="0" fontId="14" fillId="6" borderId="4" xfId="0" applyFont="1" applyFill="1" applyBorder="1"/>
    <xf numFmtId="0" fontId="0" fillId="0" borderId="10" xfId="0" applyBorder="1" applyAlignment="1">
      <alignment horizontal="left"/>
    </xf>
    <xf numFmtId="0" fontId="0" fillId="7" borderId="10" xfId="0" applyFill="1" applyBorder="1" applyAlignment="1">
      <alignment horizontal="center"/>
    </xf>
    <xf numFmtId="43" fontId="0" fillId="7" borderId="10" xfId="1" applyFont="1" applyFill="1" applyBorder="1" applyAlignment="1">
      <alignment horizontal="center"/>
    </xf>
    <xf numFmtId="43" fontId="0" fillId="7" borderId="13" xfId="1" applyFont="1" applyFill="1" applyBorder="1" applyAlignment="1">
      <alignment horizontal="center"/>
    </xf>
    <xf numFmtId="0" fontId="0" fillId="7" borderId="0" xfId="0" applyFill="1"/>
    <xf numFmtId="43" fontId="0" fillId="7" borderId="0" xfId="0" applyNumberFormat="1" applyFill="1"/>
  </cellXfs>
  <cellStyles count="5">
    <cellStyle name="Excel Built-in Normal" xfId="4" xr:uid="{00000000-0005-0000-0000-000000000000}"/>
    <cellStyle name="Millares" xfId="1" builtinId="3"/>
    <cellStyle name="Normal" xfId="0" builtinId="0"/>
    <cellStyle name="Normal 2" xfId="3" xr:uid="{00000000-0005-0000-0000-000003000000}"/>
    <cellStyle name="Porcentaje" xfId="2" builtinId="5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595959"/>
      <color rgb="FFDDDDDD"/>
      <color rgb="FFD46666"/>
      <color rgb="FFCE4E4E"/>
      <color rgb="FFF77578"/>
      <color rgb="FFF4B0AE"/>
      <color rgb="FFEA6764"/>
      <color rgb="FF1C1C1C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500668</xdr:colOff>
      <xdr:row>3</xdr:row>
      <xdr:rowOff>41665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1E2A27-E1A5-449A-8604-CF514B4AB5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17" b="32274"/>
        <a:stretch/>
      </xdr:blipFill>
      <xdr:spPr>
        <a:xfrm>
          <a:off x="0" y="0"/>
          <a:ext cx="1880593" cy="613165"/>
        </a:xfrm>
        <a:prstGeom prst="rect">
          <a:avLst/>
        </a:prstGeom>
      </xdr:spPr>
    </xdr:pic>
    <xdr:clientData/>
  </xdr:twoCellAnchor>
  <xdr:twoCellAnchor editAs="oneCell">
    <xdr:from>
      <xdr:col>8</xdr:col>
      <xdr:colOff>233569</xdr:colOff>
      <xdr:row>0</xdr:row>
      <xdr:rowOff>13607</xdr:rowOff>
    </xdr:from>
    <xdr:to>
      <xdr:col>8</xdr:col>
      <xdr:colOff>808424</xdr:colOff>
      <xdr:row>3</xdr:row>
      <xdr:rowOff>2883</xdr:rowOff>
    </xdr:to>
    <xdr:pic macro="[0]!Mostrar">
      <xdr:nvPicPr>
        <xdr:cNvPr id="8" name="Picture 16" descr="43,632 Tomar Apuntes Imágenes y Fotos - 123RF">
          <a:extLst>
            <a:ext uri="{FF2B5EF4-FFF2-40B4-BE49-F238E27FC236}">
              <a16:creationId xmlns:a16="http://schemas.microsoft.com/office/drawing/2014/main" id="{FF6A377B-2ECA-5BA2-7B6A-1753DAB49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2283" y="13607"/>
          <a:ext cx="574855" cy="560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40</xdr:col>
      <xdr:colOff>108857</xdr:colOff>
      <xdr:row>0</xdr:row>
      <xdr:rowOff>0</xdr:rowOff>
    </xdr:from>
    <xdr:to>
      <xdr:col>60</xdr:col>
      <xdr:colOff>340179</xdr:colOff>
      <xdr:row>119</xdr:row>
      <xdr:rowOff>108857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D45F85B-006B-3515-58B4-4D5CDD83269F}"/>
            </a:ext>
          </a:extLst>
        </xdr:cNvPr>
        <xdr:cNvSpPr/>
      </xdr:nvSpPr>
      <xdr:spPr>
        <a:xfrm>
          <a:off x="37814250" y="0"/>
          <a:ext cx="15471322" cy="221932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108858</xdr:colOff>
      <xdr:row>0</xdr:row>
      <xdr:rowOff>0</xdr:rowOff>
    </xdr:from>
    <xdr:to>
      <xdr:col>11</xdr:col>
      <xdr:colOff>81643</xdr:colOff>
      <xdr:row>2</xdr:row>
      <xdr:rowOff>95250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658C98F1-32D9-7046-74B8-F3AF3518E394}"/>
            </a:ext>
          </a:extLst>
        </xdr:cNvPr>
        <xdr:cNvSpPr/>
      </xdr:nvSpPr>
      <xdr:spPr>
        <a:xfrm>
          <a:off x="13035644" y="0"/>
          <a:ext cx="1986642" cy="4762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40" totalsRowShown="0" headerRowDxfId="7">
  <autoFilter ref="A1:D40" xr:uid="{00000000-0009-0000-0100-000001000000}"/>
  <sortState xmlns:xlrd2="http://schemas.microsoft.com/office/spreadsheetml/2017/richdata2" ref="A2:D40">
    <sortCondition ref="C1:C40"/>
  </sortState>
  <tableColumns count="4">
    <tableColumn id="1" xr3:uid="{00000000-0010-0000-0000-000001000000}" name="Descr Unidad Explotación"/>
    <tableColumn id="2" xr3:uid="{00000000-0010-0000-0000-000002000000}" name="Descripción"/>
    <tableColumn id="4" xr3:uid="{00000000-0010-0000-0000-000004000000}" name="Sede" dataDxfId="6"/>
    <tableColumn id="3" xr3:uid="{00000000-0010-0000-0000-000003000000}" name="Unidad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F1:G66" totalsRowShown="0" headerRowDxfId="4">
  <autoFilter ref="F1:G66" xr:uid="{00000000-0009-0000-0100-000002000000}"/>
  <sortState xmlns:xlrd2="http://schemas.microsoft.com/office/spreadsheetml/2017/richdata2" ref="F2:G65">
    <sortCondition ref="F1:F65"/>
  </sortState>
  <tableColumns count="2">
    <tableColumn id="1" xr3:uid="{00000000-0010-0000-0100-000001000000}" name="Descripción Departamento"/>
    <tableColumn id="2" xr3:uid="{00000000-0010-0000-0100-000002000000}" name="Grupo_Are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I1:I14" totalsRowShown="0" headerRowDxfId="3">
  <autoFilter ref="I1:I14" xr:uid="{00000000-0009-0000-0100-000003000000}"/>
  <sortState xmlns:xlrd2="http://schemas.microsoft.com/office/spreadsheetml/2017/richdata2" ref="I2:I14">
    <sortCondition ref="I1:I14"/>
  </sortState>
  <tableColumns count="1">
    <tableColumn id="1" xr3:uid="{00000000-0010-0000-0200-000001000000}" name="Comprado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K1:K4" totalsRowShown="0">
  <autoFilter ref="K1:K4" xr:uid="{00000000-0009-0000-0100-000004000000}"/>
  <tableColumns count="1">
    <tableColumn id="1" xr3:uid="{00000000-0010-0000-0300-000001000000}" name="Mon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6" displayName="Tabla6" ref="M1:M10" totalsRowShown="0">
  <autoFilter ref="M1:M10" xr:uid="{00000000-0009-0000-0100-000005000000}"/>
  <sortState xmlns:xlrd2="http://schemas.microsoft.com/office/spreadsheetml/2017/richdata2" ref="M2:M10">
    <sortCondition ref="M1:M10"/>
  </sortState>
  <tableColumns count="1">
    <tableColumn id="1" xr3:uid="{00000000-0010-0000-0400-000001000000}" name="Unidad de Medi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7" displayName="Tabla7" ref="O1:O3" totalsRowShown="0">
  <autoFilter ref="O1:O3" xr:uid="{00000000-0009-0000-0100-000006000000}"/>
  <tableColumns count="1">
    <tableColumn id="1" xr3:uid="{00000000-0010-0000-0500-000001000000}" name="IG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8" displayName="Tabla8" ref="Q1:Q9" totalsRowShown="0" headerRowDxfId="2" dataDxfId="1">
  <autoFilter ref="Q1:Q9" xr:uid="{00000000-0009-0000-0100-000007000000}"/>
  <tableColumns count="1">
    <tableColumn id="1" xr3:uid="{00000000-0010-0000-0600-000001000000}" name="Condicion de pago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9" displayName="Tabla9" ref="S1:S11" totalsRowShown="0">
  <autoFilter ref="S1:S11" xr:uid="{00000000-0009-0000-0100-000008000000}"/>
  <tableColumns count="1">
    <tableColumn id="1" xr3:uid="{00000000-0010-0000-0700-000001000000}" name="T.Entreg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10" displayName="Tabla10" ref="U1:U7" totalsRowShown="0">
  <autoFilter ref="U1:U7" xr:uid="{00000000-0009-0000-0100-000009000000}"/>
  <tableColumns count="1">
    <tableColumn id="1" xr3:uid="{00000000-0010-0000-0800-000001000000}" name="Vigenci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1" displayName="Tabla11" ref="W1:W11" totalsRowShown="0">
  <autoFilter ref="W1:W11" xr:uid="{00000000-0009-0000-0100-00000A000000}"/>
  <tableColumns count="1">
    <tableColumn id="1" xr3:uid="{00000000-0010-0000-0900-000001000000}" name="Garanti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2" displayName="Tabla12" ref="Y1:Y6" totalsRowShown="0">
  <autoFilter ref="Y1:Y6" xr:uid="{00000000-0009-0000-0100-00000B000000}"/>
  <tableColumns count="1">
    <tableColumn id="1" xr3:uid="{00000000-0010-0000-0A00-000001000000}" name="Puntaj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3" displayName="Tabla13" ref="AA1:AA3" totalsRowShown="0">
  <autoFilter ref="AA1:AA3" xr:uid="{00000000-0009-0000-0100-00000C000000}"/>
  <tableColumns count="1">
    <tableColumn id="1" xr3:uid="{00000000-0010-0000-0B00-000001000000}" name="Calida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M10005"/>
  <sheetViews>
    <sheetView showGridLines="0" tabSelected="1" topLeftCell="A6" zoomScale="60" zoomScaleNormal="60" workbookViewId="0">
      <selection activeCell="H9" sqref="H9"/>
    </sheetView>
  </sheetViews>
  <sheetFormatPr baseColWidth="10" defaultRowHeight="14.5" x14ac:dyDescent="0.35"/>
  <cols>
    <col min="1" max="1" width="8.54296875" customWidth="1"/>
    <col min="2" max="2" width="12.1796875" customWidth="1"/>
    <col min="3" max="3" width="33.26953125" customWidth="1"/>
    <col min="4" max="4" width="22.1796875" customWidth="1"/>
    <col min="5" max="6" width="8.36328125" customWidth="1"/>
    <col min="7" max="7" width="13.7265625" customWidth="1"/>
    <col min="8" max="8" width="12.81640625" customWidth="1"/>
    <col min="9" max="9" width="13.453125" customWidth="1"/>
    <col min="10" max="10" width="15" customWidth="1"/>
    <col min="11" max="11" width="15.1796875" customWidth="1"/>
    <col min="12" max="12" width="12.453125" customWidth="1"/>
    <col min="14" max="14" width="12.7265625" customWidth="1"/>
    <col min="15" max="15" width="14.1796875" customWidth="1"/>
    <col min="16" max="16" width="11.81640625" bestFit="1" customWidth="1"/>
    <col min="18" max="18" width="13.81640625" customWidth="1"/>
    <col min="19" max="19" width="14.54296875" customWidth="1"/>
    <col min="25" max="25" width="11.81640625" bestFit="1" customWidth="1"/>
    <col min="41" max="64" width="11.453125" style="1"/>
  </cols>
  <sheetData>
    <row r="1" spans="1:65" x14ac:dyDescent="0.35">
      <c r="I1" s="1" t="s">
        <v>9</v>
      </c>
      <c r="J1" s="1">
        <v>12</v>
      </c>
      <c r="K1" s="1" t="s">
        <v>40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O1" s="1" t="str">
        <f>G12</f>
        <v>EGOLARTE</v>
      </c>
      <c r="AP1" s="1" t="str">
        <f>K12</f>
        <v>KALPPA</v>
      </c>
      <c r="AQ1" s="1" t="str">
        <f>O12</f>
        <v>RUSVEN</v>
      </c>
      <c r="AR1" s="1">
        <f>S12</f>
        <v>0</v>
      </c>
      <c r="AS1" s="1">
        <f>W12</f>
        <v>0</v>
      </c>
      <c r="AT1" s="1">
        <f>AA12</f>
        <v>0</v>
      </c>
      <c r="AU1" s="1">
        <f>AE12</f>
        <v>0</v>
      </c>
      <c r="AV1" s="1">
        <f>AI12</f>
        <v>0</v>
      </c>
      <c r="AX1" s="1" t="str">
        <f>$T$26</f>
        <v>EGOLARTE</v>
      </c>
      <c r="AZ1" s="1">
        <f>$I$34</f>
        <v>5</v>
      </c>
      <c r="BA1" s="1" t="str">
        <f>G12</f>
        <v>EGOLARTE</v>
      </c>
      <c r="BB1" s="1">
        <f>IFERROR(LEFT($G$31,2)*1,"")</f>
        <v>30</v>
      </c>
      <c r="BC1" s="1">
        <f>IFERROR(LEFT($G$32,2)*1,"")</f>
        <v>15</v>
      </c>
      <c r="BD1" s="1">
        <f>IFERROR(LEFT($G$33,2)*1,"")</f>
        <v>12</v>
      </c>
      <c r="BE1" s="1">
        <f>IF($J$26=0,"",$J$26)</f>
        <v>114129</v>
      </c>
      <c r="BM1" s="1"/>
    </row>
    <row r="2" spans="1:65" x14ac:dyDescent="0.35">
      <c r="I2" s="1"/>
      <c r="J2" s="1">
        <v>3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O2" s="15">
        <f>IF(J14="","",J14)</f>
        <v>12145</v>
      </c>
      <c r="AP2" s="15">
        <f>IF(N14="","",N14)</f>
        <v>15294.071178599999</v>
      </c>
      <c r="AQ2" s="15">
        <f>IF(R14="","",R14)</f>
        <v>14134.1816</v>
      </c>
      <c r="AR2" s="15" t="str">
        <f>IF(V14="","",V14)</f>
        <v/>
      </c>
      <c r="AS2" s="15" t="str">
        <f>IF(Z14="","",Z14)</f>
        <v/>
      </c>
      <c r="AT2" s="15" t="str">
        <f>IF(AD14="","",AD14)</f>
        <v/>
      </c>
      <c r="AU2" s="15" t="str">
        <f>IF(AH14="","",AH14)</f>
        <v/>
      </c>
      <c r="AV2" s="15" t="str">
        <f>IF(AL14="","",AL14)</f>
        <v/>
      </c>
      <c r="AX2" s="1" t="str">
        <f>$T$34</f>
        <v>EGOLARTE</v>
      </c>
      <c r="AZ2" s="1">
        <f>$M$34</f>
        <v>4.57</v>
      </c>
      <c r="BA2" s="1" t="str">
        <f>K12</f>
        <v>KALPPA</v>
      </c>
      <c r="BB2" s="1">
        <f>IFERROR(LEFT($K$31,2)*1,"")</f>
        <v>30</v>
      </c>
      <c r="BC2" s="1">
        <f>IFERROR(LEFT($K$32,2)*1,"")</f>
        <v>30</v>
      </c>
      <c r="BD2" s="1">
        <f>IFERROR(LEFT($K$33,2)*1,"")</f>
        <v>12</v>
      </c>
      <c r="BE2" s="1">
        <f>IF($N$26=0,"",$N$26)</f>
        <v>139521.84296459999</v>
      </c>
      <c r="BM2" s="1"/>
    </row>
    <row r="3" spans="1:65" ht="15" customHeight="1" x14ac:dyDescent="0.35">
      <c r="C3" s="12"/>
      <c r="D3" s="12"/>
      <c r="E3" s="12"/>
      <c r="F3" s="12"/>
      <c r="G3" s="12"/>
      <c r="H3" s="12"/>
      <c r="I3" s="12"/>
      <c r="J3" s="1"/>
      <c r="K3" s="1"/>
      <c r="L3" s="12"/>
      <c r="M3" s="12"/>
      <c r="N3" s="12"/>
      <c r="O3" s="2"/>
      <c r="P3" s="2"/>
      <c r="Q3" s="2"/>
      <c r="R3" s="2"/>
      <c r="S3" s="1"/>
      <c r="T3" s="1"/>
      <c r="U3" s="1"/>
      <c r="V3" s="1"/>
      <c r="W3" s="1"/>
      <c r="X3" s="1"/>
      <c r="Y3" s="1"/>
      <c r="Z3" s="1"/>
      <c r="AJ3" s="2"/>
      <c r="AK3" s="2"/>
      <c r="AL3" s="2"/>
      <c r="AM3" s="2"/>
      <c r="AN3" s="2"/>
      <c r="AO3" s="15">
        <f t="shared" ref="AO3:AO14" si="0">IF(J15="","",J15)</f>
        <v>9858</v>
      </c>
      <c r="AP3" s="15">
        <f t="shared" ref="AP3:AP14" si="1">IF(N15="","",N15)</f>
        <v>12046.711178599999</v>
      </c>
      <c r="AQ3" s="15">
        <f t="shared" ref="AQ3:AQ14" si="2">IF(R15="","",R15)</f>
        <v>11225.682200000001</v>
      </c>
      <c r="AR3" s="15" t="str">
        <f t="shared" ref="AR3:AR14" si="3">IF(V15="","",V15)</f>
        <v/>
      </c>
      <c r="AS3" s="15" t="str">
        <f t="shared" ref="AS3:AS14" si="4">IF(Z15="","",Z15)</f>
        <v/>
      </c>
      <c r="AT3" s="15" t="str">
        <f t="shared" ref="AT3:AT14" si="5">IF(AD15="","",AD15)</f>
        <v/>
      </c>
      <c r="AU3" s="15" t="str">
        <f t="shared" ref="AU3:AU14" si="6">IF(AH15="","",AH15)</f>
        <v/>
      </c>
      <c r="AV3" s="15" t="str">
        <f t="shared" ref="AV3:AV14" si="7">IF(AL15="","",AL15)</f>
        <v/>
      </c>
      <c r="AZ3" s="1">
        <f>$Q$34</f>
        <v>4.3899999999999997</v>
      </c>
      <c r="BA3" s="1" t="str">
        <f>O12</f>
        <v>RUSVEN</v>
      </c>
      <c r="BB3" s="1">
        <f>IFERROR(LEFT($O$31,2)*1,"")</f>
        <v>30</v>
      </c>
      <c r="BC3" s="1">
        <f>IFERROR(LEFT($O$32,2)*1,"")</f>
        <v>30</v>
      </c>
      <c r="BD3" s="1">
        <f>IFERROR(LEFT($O$33,2)*1,"")</f>
        <v>12</v>
      </c>
      <c r="BE3" s="1">
        <f>IF($R$26=0,"",$R$26)</f>
        <v>157104.7752</v>
      </c>
      <c r="BM3" s="1"/>
    </row>
    <row r="4" spans="1:65" ht="15" customHeight="1" x14ac:dyDescent="0.35">
      <c r="C4" s="17" t="s">
        <v>269</v>
      </c>
      <c r="D4" s="17"/>
      <c r="E4" s="17"/>
      <c r="F4" s="17"/>
      <c r="G4" s="17"/>
      <c r="H4" s="17"/>
      <c r="I4" s="17"/>
      <c r="J4" s="17"/>
      <c r="K4" s="17"/>
      <c r="L4" s="17"/>
      <c r="M4" s="12"/>
      <c r="N4" s="12"/>
      <c r="O4" s="2"/>
      <c r="P4" s="2"/>
      <c r="Q4" s="2"/>
      <c r="R4" s="2"/>
      <c r="S4" s="1"/>
      <c r="T4" s="1"/>
      <c r="U4" s="1"/>
      <c r="V4" s="1"/>
      <c r="W4" s="1"/>
      <c r="X4" s="1"/>
      <c r="Y4" s="1"/>
      <c r="Z4" s="1"/>
      <c r="AO4" s="15">
        <f t="shared" si="0"/>
        <v>5986</v>
      </c>
      <c r="AP4" s="15">
        <f t="shared" si="1"/>
        <v>10437.1911786</v>
      </c>
      <c r="AQ4" s="15">
        <f t="shared" si="2"/>
        <v>12555.058399999998</v>
      </c>
      <c r="AR4" s="15" t="str">
        <f t="shared" si="3"/>
        <v/>
      </c>
      <c r="AS4" s="15" t="str">
        <f t="shared" si="4"/>
        <v/>
      </c>
      <c r="AT4" s="15" t="str">
        <f t="shared" si="5"/>
        <v/>
      </c>
      <c r="AU4" s="15" t="str">
        <f t="shared" si="6"/>
        <v/>
      </c>
      <c r="AV4" s="15" t="str">
        <f t="shared" si="7"/>
        <v/>
      </c>
      <c r="BA4" s="1">
        <f>S12</f>
        <v>0</v>
      </c>
      <c r="BM4" s="1"/>
    </row>
    <row r="5" spans="1:65" x14ac:dyDescent="0.35">
      <c r="I5" s="1"/>
      <c r="J5" s="1"/>
      <c r="K5" s="2"/>
      <c r="L5" s="2"/>
      <c r="M5" s="2"/>
      <c r="N5" s="2"/>
      <c r="O5" s="2"/>
      <c r="P5" s="2"/>
      <c r="Q5" s="2"/>
      <c r="R5" s="2"/>
      <c r="AO5" s="15">
        <f t="shared" si="0"/>
        <v>5986</v>
      </c>
      <c r="AP5" s="15">
        <f t="shared" si="1"/>
        <v>10437.1911786</v>
      </c>
      <c r="AQ5" s="15">
        <f t="shared" si="2"/>
        <v>12555.058399999998</v>
      </c>
      <c r="AR5" s="15" t="str">
        <f t="shared" si="3"/>
        <v/>
      </c>
      <c r="AS5" s="15" t="str">
        <f t="shared" si="4"/>
        <v/>
      </c>
      <c r="AT5" s="15" t="str">
        <f t="shared" si="5"/>
        <v/>
      </c>
      <c r="AU5" s="15" t="str">
        <f t="shared" si="6"/>
        <v/>
      </c>
      <c r="AV5" s="15" t="str">
        <f t="shared" si="7"/>
        <v/>
      </c>
      <c r="BA5" s="1">
        <f>W12</f>
        <v>0</v>
      </c>
      <c r="BM5" s="1"/>
    </row>
    <row r="6" spans="1:65" ht="15.5" x14ac:dyDescent="0.35">
      <c r="A6" s="25" t="s">
        <v>0</v>
      </c>
      <c r="B6" s="25"/>
      <c r="C6" s="8" t="s">
        <v>1</v>
      </c>
      <c r="K6" s="2"/>
      <c r="L6" s="2"/>
      <c r="M6" s="2"/>
      <c r="N6" s="2"/>
      <c r="O6" s="2"/>
      <c r="P6" s="2"/>
      <c r="Q6" s="2"/>
      <c r="R6" s="2"/>
      <c r="AO6" s="15">
        <f t="shared" si="0"/>
        <v>14694</v>
      </c>
      <c r="AP6" s="15">
        <f t="shared" si="1"/>
        <v>17170.2711786</v>
      </c>
      <c r="AQ6" s="15">
        <f t="shared" si="2"/>
        <v>15638.0798</v>
      </c>
      <c r="AR6" s="15" t="str">
        <f t="shared" si="3"/>
        <v/>
      </c>
      <c r="AS6" s="15" t="str">
        <f t="shared" si="4"/>
        <v/>
      </c>
      <c r="AT6" s="15" t="str">
        <f t="shared" si="5"/>
        <v/>
      </c>
      <c r="AU6" s="15" t="str">
        <f t="shared" si="6"/>
        <v/>
      </c>
      <c r="AV6" s="15" t="str">
        <f t="shared" si="7"/>
        <v/>
      </c>
      <c r="BA6" s="1">
        <f>AA12</f>
        <v>0</v>
      </c>
      <c r="BM6" s="1"/>
    </row>
    <row r="7" spans="1:65" ht="15.5" x14ac:dyDescent="0.35">
      <c r="A7" s="22" t="s">
        <v>2</v>
      </c>
      <c r="B7" s="23"/>
      <c r="C7" s="8" t="s">
        <v>3</v>
      </c>
      <c r="K7" s="2"/>
      <c r="L7" s="2"/>
      <c r="M7" s="2"/>
      <c r="N7" s="2"/>
      <c r="O7" s="2"/>
      <c r="P7" s="2"/>
      <c r="Q7" s="2"/>
      <c r="R7" s="2"/>
      <c r="AO7" s="15">
        <f t="shared" si="0"/>
        <v>6560.0000000000009</v>
      </c>
      <c r="AP7" s="15">
        <f t="shared" si="1"/>
        <v>11490.9311786</v>
      </c>
      <c r="AQ7" s="15">
        <f t="shared" si="2"/>
        <v>13545.019399999999</v>
      </c>
      <c r="AR7" s="15" t="str">
        <f t="shared" si="3"/>
        <v/>
      </c>
      <c r="AS7" s="15" t="str">
        <f t="shared" si="4"/>
        <v/>
      </c>
      <c r="AT7" s="15" t="str">
        <f t="shared" si="5"/>
        <v/>
      </c>
      <c r="AU7" s="15" t="str">
        <f t="shared" si="6"/>
        <v/>
      </c>
      <c r="AV7" s="15" t="str">
        <f t="shared" si="7"/>
        <v/>
      </c>
      <c r="BA7" s="1">
        <f>AE12</f>
        <v>0</v>
      </c>
      <c r="BM7" s="1"/>
    </row>
    <row r="8" spans="1:65" ht="15.5" x14ac:dyDescent="0.35">
      <c r="A8" s="22" t="s">
        <v>4</v>
      </c>
      <c r="B8" s="23"/>
      <c r="C8" s="8" t="s">
        <v>270</v>
      </c>
      <c r="K8" s="2"/>
      <c r="L8" s="2"/>
      <c r="M8" s="2"/>
      <c r="N8" s="2"/>
      <c r="O8" s="2"/>
      <c r="P8" s="2"/>
      <c r="Q8" s="2"/>
      <c r="R8" s="2"/>
      <c r="AO8" s="15">
        <f t="shared" si="0"/>
        <v>6150</v>
      </c>
      <c r="AP8" s="15">
        <f t="shared" si="1"/>
        <v>10437.1911786</v>
      </c>
      <c r="AQ8" s="15">
        <f t="shared" si="2"/>
        <v>12837.904399999999</v>
      </c>
      <c r="AR8" s="15" t="str">
        <f t="shared" si="3"/>
        <v/>
      </c>
      <c r="AS8" s="15" t="str">
        <f t="shared" si="4"/>
        <v/>
      </c>
      <c r="AT8" s="15" t="str">
        <f t="shared" si="5"/>
        <v/>
      </c>
      <c r="AU8" s="15" t="str">
        <f t="shared" si="6"/>
        <v/>
      </c>
      <c r="AV8" s="15" t="str">
        <f t="shared" si="7"/>
        <v/>
      </c>
      <c r="BA8" s="1">
        <f>AL12</f>
        <v>0</v>
      </c>
      <c r="BM8" s="1"/>
    </row>
    <row r="9" spans="1:65" ht="15.5" x14ac:dyDescent="0.35">
      <c r="A9" s="22" t="s">
        <v>5</v>
      </c>
      <c r="B9" s="23"/>
      <c r="C9" s="8" t="s">
        <v>270</v>
      </c>
      <c r="K9" s="2"/>
      <c r="L9" s="2"/>
      <c r="M9" s="2"/>
      <c r="N9" s="2"/>
      <c r="O9" s="2"/>
      <c r="P9" s="2"/>
      <c r="Q9" s="2"/>
      <c r="R9" s="2"/>
      <c r="AO9" s="15">
        <f t="shared" si="0"/>
        <v>6560.0000000000009</v>
      </c>
      <c r="AP9" s="15">
        <f t="shared" si="1"/>
        <v>11490.9311786</v>
      </c>
      <c r="AQ9" s="15">
        <f t="shared" si="2"/>
        <v>13545.019399999999</v>
      </c>
      <c r="AR9" s="15" t="str">
        <f t="shared" si="3"/>
        <v/>
      </c>
      <c r="AS9" s="15" t="str">
        <f t="shared" si="4"/>
        <v/>
      </c>
      <c r="AT9" s="15" t="str">
        <f t="shared" si="5"/>
        <v/>
      </c>
      <c r="AU9" s="15" t="str">
        <f t="shared" si="6"/>
        <v/>
      </c>
      <c r="AV9" s="15" t="str">
        <f t="shared" si="7"/>
        <v/>
      </c>
      <c r="BM9" s="1"/>
    </row>
    <row r="10" spans="1:65" ht="15.5" x14ac:dyDescent="0.35">
      <c r="A10" s="22" t="s">
        <v>7</v>
      </c>
      <c r="B10" s="23"/>
      <c r="C10" s="8" t="s">
        <v>8</v>
      </c>
      <c r="K10" s="2"/>
      <c r="L10" s="2"/>
      <c r="M10" s="2"/>
      <c r="N10" s="2"/>
      <c r="O10" s="2"/>
      <c r="P10" s="2"/>
      <c r="Q10" s="2"/>
      <c r="R10" s="2"/>
      <c r="AO10" s="15">
        <f t="shared" si="0"/>
        <v>11315.000000000002</v>
      </c>
      <c r="AP10" s="15">
        <f t="shared" si="1"/>
        <v>13221.991178599999</v>
      </c>
      <c r="AQ10" s="15">
        <f t="shared" si="2"/>
        <v>12555.058399999998</v>
      </c>
      <c r="AR10" s="15" t="str">
        <f t="shared" si="3"/>
        <v/>
      </c>
      <c r="AS10" s="15" t="str">
        <f t="shared" si="4"/>
        <v/>
      </c>
      <c r="AT10" s="15" t="str">
        <f t="shared" si="5"/>
        <v/>
      </c>
      <c r="AU10" s="15" t="str">
        <f t="shared" si="6"/>
        <v/>
      </c>
      <c r="AV10" s="15" t="str">
        <f t="shared" si="7"/>
        <v/>
      </c>
      <c r="BM10" s="1"/>
    </row>
    <row r="11" spans="1:65" x14ac:dyDescent="0.35">
      <c r="AO11" s="15">
        <f t="shared" si="0"/>
        <v>12400</v>
      </c>
      <c r="AP11" s="15">
        <f t="shared" si="1"/>
        <v>14450.371178599999</v>
      </c>
      <c r="AQ11" s="15">
        <f t="shared" si="2"/>
        <v>13545.019399999999</v>
      </c>
      <c r="AR11" s="15" t="str">
        <f t="shared" si="3"/>
        <v/>
      </c>
      <c r="AS11" s="15" t="str">
        <f t="shared" si="4"/>
        <v/>
      </c>
      <c r="AT11" s="15" t="str">
        <f t="shared" si="5"/>
        <v/>
      </c>
      <c r="AU11" s="15" t="str">
        <f t="shared" si="6"/>
        <v/>
      </c>
      <c r="AV11" s="15" t="str">
        <f t="shared" si="7"/>
        <v/>
      </c>
      <c r="BM11" s="1"/>
    </row>
    <row r="12" spans="1:65" x14ac:dyDescent="0.35">
      <c r="A12" s="39"/>
      <c r="B12" s="39"/>
      <c r="C12" s="39"/>
      <c r="D12" s="39"/>
      <c r="E12" s="39"/>
      <c r="F12" s="39"/>
      <c r="G12" s="26" t="s">
        <v>280</v>
      </c>
      <c r="H12" s="26"/>
      <c r="I12" s="26"/>
      <c r="J12" s="26"/>
      <c r="K12" s="26" t="s">
        <v>281</v>
      </c>
      <c r="L12" s="26"/>
      <c r="M12" s="26"/>
      <c r="N12" s="26"/>
      <c r="O12" s="26" t="s">
        <v>282</v>
      </c>
      <c r="P12" s="26"/>
      <c r="Q12" s="26"/>
      <c r="R12" s="26"/>
      <c r="AO12" s="15">
        <f t="shared" si="0"/>
        <v>11625.000000000002</v>
      </c>
      <c r="AP12" s="15">
        <f t="shared" si="1"/>
        <v>13044.991178599999</v>
      </c>
      <c r="AQ12" s="15">
        <f t="shared" si="2"/>
        <v>12837.904399999999</v>
      </c>
      <c r="AR12" s="15" t="str">
        <f t="shared" si="3"/>
        <v/>
      </c>
      <c r="AS12" s="15" t="str">
        <f t="shared" si="4"/>
        <v/>
      </c>
      <c r="AT12" s="15" t="str">
        <f t="shared" si="5"/>
        <v/>
      </c>
      <c r="AU12" s="15" t="str">
        <f t="shared" si="6"/>
        <v/>
      </c>
      <c r="AV12" s="15" t="str">
        <f t="shared" si="7"/>
        <v/>
      </c>
    </row>
    <row r="13" spans="1:65" ht="27" customHeight="1" x14ac:dyDescent="0.35">
      <c r="A13" s="13" t="s">
        <v>10</v>
      </c>
      <c r="B13" s="24" t="s">
        <v>11</v>
      </c>
      <c r="C13" s="24"/>
      <c r="D13" s="13" t="s">
        <v>12</v>
      </c>
      <c r="E13" s="13" t="s">
        <v>13</v>
      </c>
      <c r="F13" s="13" t="s">
        <v>14</v>
      </c>
      <c r="G13" s="10" t="s">
        <v>268</v>
      </c>
      <c r="H13" s="11" t="s">
        <v>16</v>
      </c>
      <c r="I13" s="11" t="s">
        <v>17</v>
      </c>
      <c r="J13" s="11" t="s">
        <v>233</v>
      </c>
      <c r="K13" s="10" t="s">
        <v>268</v>
      </c>
      <c r="L13" s="11" t="s">
        <v>16</v>
      </c>
      <c r="M13" s="11" t="s">
        <v>17</v>
      </c>
      <c r="N13" s="11" t="s">
        <v>233</v>
      </c>
      <c r="O13" s="10" t="s">
        <v>268</v>
      </c>
      <c r="P13" s="11" t="s">
        <v>16</v>
      </c>
      <c r="Q13" s="11" t="s">
        <v>17</v>
      </c>
      <c r="R13" s="11" t="s">
        <v>233</v>
      </c>
      <c r="AO13" s="15">
        <f t="shared" si="0"/>
        <v>10850</v>
      </c>
      <c r="AP13" s="15">
        <f t="shared" si="1"/>
        <v>0</v>
      </c>
      <c r="AQ13" s="15">
        <f t="shared" si="2"/>
        <v>12130.7894</v>
      </c>
      <c r="AR13" s="15" t="str">
        <f t="shared" si="3"/>
        <v/>
      </c>
      <c r="AS13" s="15" t="str">
        <f t="shared" si="4"/>
        <v/>
      </c>
      <c r="AT13" s="15" t="str">
        <f t="shared" si="5"/>
        <v/>
      </c>
      <c r="AU13" s="15" t="str">
        <f t="shared" si="6"/>
        <v/>
      </c>
      <c r="AV13" s="15" t="str">
        <f t="shared" si="7"/>
        <v/>
      </c>
    </row>
    <row r="14" spans="1:65" ht="15" customHeight="1" x14ac:dyDescent="0.35">
      <c r="A14" s="14">
        <v>1</v>
      </c>
      <c r="B14" s="50" t="s">
        <v>271</v>
      </c>
      <c r="C14" s="50" t="s">
        <v>271</v>
      </c>
      <c r="D14" s="50" t="s">
        <v>196</v>
      </c>
      <c r="E14" s="14">
        <v>1</v>
      </c>
      <c r="F14" s="14" t="s">
        <v>102</v>
      </c>
      <c r="G14" s="54" t="s">
        <v>49</v>
      </c>
      <c r="H14" s="55">
        <f>12145/1.18</f>
        <v>10292.372881355932</v>
      </c>
      <c r="I14" s="55">
        <f>IF($K$1="SI",$E14*H14*0.18,0)</f>
        <v>1852.6271186440677</v>
      </c>
      <c r="J14" s="55">
        <f>$E14*H14+I14</f>
        <v>12145</v>
      </c>
      <c r="K14" s="14" t="s">
        <v>64</v>
      </c>
      <c r="L14" s="9">
        <f>12648+313.07727</f>
        <v>12961.07727</v>
      </c>
      <c r="M14" s="9">
        <f>IF($K$1="SI",$E14*L14*0.18,0)</f>
        <v>2332.9939085999999</v>
      </c>
      <c r="N14" s="9">
        <f>$E14*L14+M14</f>
        <v>15294.071178599999</v>
      </c>
      <c r="O14" s="14" t="s">
        <v>57</v>
      </c>
      <c r="P14" s="9">
        <f>10087.29+1890.83</f>
        <v>11978.12</v>
      </c>
      <c r="Q14" s="9">
        <f>IF($K$1="SI",$E14*P14*0.18,0)</f>
        <v>2156.0616</v>
      </c>
      <c r="R14" s="9">
        <f>$E14*P14+Q14</f>
        <v>14134.1816</v>
      </c>
      <c r="S14" s="49">
        <f>MIN(AO2:AV2)</f>
        <v>12145</v>
      </c>
      <c r="T14" s="5" t="str">
        <f>INDEX($AO$1:$AV$1,MATCH(MIN(AO2:AV2),AO2:AV2,0))</f>
        <v>EGOLARTE</v>
      </c>
      <c r="AO14" s="15">
        <f t="shared" si="0"/>
        <v>114129</v>
      </c>
      <c r="AP14" s="15">
        <f t="shared" si="1"/>
        <v>139521.84296459999</v>
      </c>
      <c r="AQ14" s="15">
        <f t="shared" si="2"/>
        <v>157104.7752</v>
      </c>
      <c r="AR14" s="15" t="str">
        <f t="shared" si="3"/>
        <v/>
      </c>
      <c r="AS14" s="15" t="str">
        <f t="shared" si="4"/>
        <v/>
      </c>
      <c r="AT14" s="15" t="str">
        <f t="shared" si="5"/>
        <v/>
      </c>
      <c r="AU14" s="15" t="str">
        <f t="shared" si="6"/>
        <v/>
      </c>
      <c r="AV14" s="15" t="str">
        <f t="shared" si="7"/>
        <v/>
      </c>
    </row>
    <row r="15" spans="1:65" ht="15" customHeight="1" x14ac:dyDescent="0.35">
      <c r="A15" s="14">
        <v>2</v>
      </c>
      <c r="B15" s="51" t="s">
        <v>272</v>
      </c>
      <c r="C15" s="51" t="s">
        <v>272</v>
      </c>
      <c r="D15" s="51" t="s">
        <v>204</v>
      </c>
      <c r="E15" s="14">
        <v>1</v>
      </c>
      <c r="F15" s="14" t="s">
        <v>102</v>
      </c>
      <c r="G15" s="54" t="s">
        <v>49</v>
      </c>
      <c r="H15" s="55">
        <f>9858/1.18</f>
        <v>8354.2372881355932</v>
      </c>
      <c r="I15" s="55">
        <f t="shared" ref="I15:I25" si="8">IF($K$1="SI",$E15*H15*0.18,0)</f>
        <v>1503.7627118644068</v>
      </c>
      <c r="J15" s="55">
        <f t="shared" ref="J15:J25" si="9">$E15*H15+I15</f>
        <v>9858</v>
      </c>
      <c r="K15" s="14" t="s">
        <v>64</v>
      </c>
      <c r="L15" s="9">
        <f>9896+313.07727</f>
        <v>10209.07727</v>
      </c>
      <c r="M15" s="9">
        <f t="shared" ref="M15:M25" si="10">IF($K$1="SI",$E15*L15*0.18,0)</f>
        <v>1837.6339085999998</v>
      </c>
      <c r="N15" s="9">
        <f t="shared" ref="N15:N25" si="11">$E15*L15+M15</f>
        <v>12046.711178599999</v>
      </c>
      <c r="O15" s="14" t="s">
        <v>57</v>
      </c>
      <c r="P15" s="9">
        <f>7622.46+1890.83</f>
        <v>9513.2900000000009</v>
      </c>
      <c r="Q15" s="9">
        <f t="shared" ref="Q15:Q25" si="12">IF($K$1="SI",$E15*P15*0.18,0)</f>
        <v>1712.3922</v>
      </c>
      <c r="R15" s="9">
        <f t="shared" ref="R15:R25" si="13">$E15*P15+Q15</f>
        <v>11225.682200000001</v>
      </c>
      <c r="S15" s="49">
        <f t="shared" ref="S15:S26" si="14">MIN(AO3:AV3)</f>
        <v>9858</v>
      </c>
      <c r="T15" s="5" t="str">
        <f t="shared" ref="T15:T26" si="15">INDEX($AO$1:$AV$1,MATCH(MIN(AO3:AV3),AO3:AV3,0))</f>
        <v>EGOLARTE</v>
      </c>
      <c r="AO15" s="15"/>
      <c r="AP15" s="15"/>
      <c r="AQ15" s="15"/>
      <c r="AR15" s="15"/>
      <c r="AS15" s="15"/>
      <c r="AT15" s="15"/>
      <c r="AU15" s="15"/>
      <c r="AV15" s="15"/>
    </row>
    <row r="16" spans="1:65" ht="15" customHeight="1" x14ac:dyDescent="0.35">
      <c r="A16" s="14">
        <v>3</v>
      </c>
      <c r="B16" s="50" t="s">
        <v>273</v>
      </c>
      <c r="C16" s="50" t="s">
        <v>273</v>
      </c>
      <c r="D16" s="50" t="s">
        <v>190</v>
      </c>
      <c r="E16" s="14">
        <v>1</v>
      </c>
      <c r="F16" s="14" t="s">
        <v>102</v>
      </c>
      <c r="G16" s="54" t="s">
        <v>49</v>
      </c>
      <c r="H16" s="55">
        <f>5986/1.18</f>
        <v>5072.8813559322034</v>
      </c>
      <c r="I16" s="55">
        <f t="shared" si="8"/>
        <v>913.11864406779659</v>
      </c>
      <c r="J16" s="55">
        <f t="shared" si="9"/>
        <v>5986</v>
      </c>
      <c r="K16" s="14" t="s">
        <v>64</v>
      </c>
      <c r="L16" s="9">
        <f>8532+313.07727</f>
        <v>8845.0772699999998</v>
      </c>
      <c r="M16" s="9">
        <f t="shared" si="10"/>
        <v>1592.1139085999998</v>
      </c>
      <c r="N16" s="9">
        <f t="shared" si="11"/>
        <v>10437.1911786</v>
      </c>
      <c r="O16" s="14" t="s">
        <v>57</v>
      </c>
      <c r="P16" s="9">
        <f>8749.05+1890.83</f>
        <v>10639.88</v>
      </c>
      <c r="Q16" s="9">
        <f t="shared" si="12"/>
        <v>1915.1783999999998</v>
      </c>
      <c r="R16" s="9">
        <f t="shared" si="13"/>
        <v>12555.058399999998</v>
      </c>
      <c r="S16" s="49">
        <f t="shared" si="14"/>
        <v>5986</v>
      </c>
      <c r="T16" s="5" t="str">
        <f t="shared" si="15"/>
        <v>EGOLARTE</v>
      </c>
      <c r="AO16" s="15"/>
      <c r="AP16" s="15"/>
      <c r="AQ16" s="15"/>
      <c r="AR16" s="15"/>
      <c r="AS16" s="15"/>
      <c r="AT16" s="15"/>
      <c r="AU16" s="15"/>
      <c r="AV16" s="15"/>
    </row>
    <row r="17" spans="1:48" ht="15" customHeight="1" x14ac:dyDescent="0.35">
      <c r="A17" s="14">
        <v>4</v>
      </c>
      <c r="B17" s="51" t="s">
        <v>273</v>
      </c>
      <c r="C17" s="51" t="s">
        <v>273</v>
      </c>
      <c r="D17" s="51" t="s">
        <v>68</v>
      </c>
      <c r="E17" s="14">
        <v>1</v>
      </c>
      <c r="F17" s="14" t="s">
        <v>102</v>
      </c>
      <c r="G17" s="54" t="s">
        <v>49</v>
      </c>
      <c r="H17" s="55">
        <f>5986/1.18</f>
        <v>5072.8813559322034</v>
      </c>
      <c r="I17" s="55">
        <f t="shared" si="8"/>
        <v>913.11864406779659</v>
      </c>
      <c r="J17" s="55">
        <f t="shared" si="9"/>
        <v>5986</v>
      </c>
      <c r="K17" s="14" t="s">
        <v>64</v>
      </c>
      <c r="L17" s="9">
        <f>8532+313.07727</f>
        <v>8845.0772699999998</v>
      </c>
      <c r="M17" s="9">
        <f t="shared" si="10"/>
        <v>1592.1139085999998</v>
      </c>
      <c r="N17" s="9">
        <f t="shared" si="11"/>
        <v>10437.1911786</v>
      </c>
      <c r="O17" s="14" t="s">
        <v>57</v>
      </c>
      <c r="P17" s="9">
        <f>8749.05+1890.83</f>
        <v>10639.88</v>
      </c>
      <c r="Q17" s="9">
        <f t="shared" si="12"/>
        <v>1915.1783999999998</v>
      </c>
      <c r="R17" s="9">
        <f t="shared" si="13"/>
        <v>12555.058399999998</v>
      </c>
      <c r="S17" s="49">
        <f t="shared" si="14"/>
        <v>5986</v>
      </c>
      <c r="T17" s="5" t="str">
        <f t="shared" si="15"/>
        <v>EGOLARTE</v>
      </c>
      <c r="AO17" s="15"/>
      <c r="AP17" s="15"/>
      <c r="AQ17" s="15"/>
      <c r="AR17" s="15"/>
      <c r="AS17" s="15"/>
      <c r="AT17" s="15"/>
      <c r="AU17" s="15"/>
      <c r="AV17" s="15"/>
    </row>
    <row r="18" spans="1:48" ht="15" customHeight="1" x14ac:dyDescent="0.35">
      <c r="A18" s="14">
        <v>5</v>
      </c>
      <c r="B18" s="50" t="s">
        <v>274</v>
      </c>
      <c r="C18" s="50" t="s">
        <v>274</v>
      </c>
      <c r="D18" s="50" t="s">
        <v>76</v>
      </c>
      <c r="E18" s="14">
        <v>1</v>
      </c>
      <c r="F18" s="14" t="s">
        <v>102</v>
      </c>
      <c r="G18" s="54" t="s">
        <v>49</v>
      </c>
      <c r="H18" s="55">
        <f>14694/1.18</f>
        <v>12452.542372881357</v>
      </c>
      <c r="I18" s="55">
        <f t="shared" si="8"/>
        <v>2241.4576271186443</v>
      </c>
      <c r="J18" s="55">
        <f t="shared" si="9"/>
        <v>14694</v>
      </c>
      <c r="K18" s="14" t="s">
        <v>64</v>
      </c>
      <c r="L18" s="9">
        <f>14238+313.07727</f>
        <v>14551.07727</v>
      </c>
      <c r="M18" s="9">
        <f t="shared" si="10"/>
        <v>2619.1939085999998</v>
      </c>
      <c r="N18" s="9">
        <f t="shared" si="11"/>
        <v>17170.2711786</v>
      </c>
      <c r="O18" s="14" t="s">
        <v>57</v>
      </c>
      <c r="P18" s="9">
        <f>11361.78+1890.83</f>
        <v>13252.61</v>
      </c>
      <c r="Q18" s="9">
        <f t="shared" si="12"/>
        <v>2385.4697999999999</v>
      </c>
      <c r="R18" s="9">
        <f t="shared" si="13"/>
        <v>15638.0798</v>
      </c>
      <c r="S18" s="49">
        <f t="shared" si="14"/>
        <v>14694</v>
      </c>
      <c r="T18" s="5" t="str">
        <f t="shared" si="15"/>
        <v>EGOLARTE</v>
      </c>
      <c r="AO18" s="15"/>
      <c r="AP18" s="15"/>
      <c r="AQ18" s="15"/>
      <c r="AR18" s="15"/>
      <c r="AS18" s="15"/>
      <c r="AT18" s="15"/>
      <c r="AU18" s="15"/>
      <c r="AV18" s="15"/>
    </row>
    <row r="19" spans="1:48" ht="15" customHeight="1" x14ac:dyDescent="0.35">
      <c r="A19" s="14">
        <v>6</v>
      </c>
      <c r="B19" s="51" t="s">
        <v>275</v>
      </c>
      <c r="C19" s="51" t="s">
        <v>275</v>
      </c>
      <c r="D19" s="51" t="s">
        <v>179</v>
      </c>
      <c r="E19" s="14">
        <v>1</v>
      </c>
      <c r="F19" s="14" t="s">
        <v>102</v>
      </c>
      <c r="G19" s="54" t="s">
        <v>49</v>
      </c>
      <c r="H19" s="55">
        <f>6560/1.18</f>
        <v>5559.3220338983056</v>
      </c>
      <c r="I19" s="55">
        <f t="shared" si="8"/>
        <v>1000.677966101695</v>
      </c>
      <c r="J19" s="55">
        <f t="shared" si="9"/>
        <v>6560.0000000000009</v>
      </c>
      <c r="K19" s="14" t="s">
        <v>64</v>
      </c>
      <c r="L19" s="9">
        <f>9425+313.07727</f>
        <v>9738.0772699999998</v>
      </c>
      <c r="M19" s="9">
        <f t="shared" si="10"/>
        <v>1752.8539085999998</v>
      </c>
      <c r="N19" s="9">
        <f t="shared" si="11"/>
        <v>11490.9311786</v>
      </c>
      <c r="O19" s="14" t="s">
        <v>57</v>
      </c>
      <c r="P19" s="9">
        <f>9588+1890.83</f>
        <v>11478.83</v>
      </c>
      <c r="Q19" s="9">
        <f t="shared" si="12"/>
        <v>2066.1893999999998</v>
      </c>
      <c r="R19" s="9">
        <f t="shared" si="13"/>
        <v>13545.019399999999</v>
      </c>
      <c r="S19" s="49">
        <f t="shared" si="14"/>
        <v>6560.0000000000009</v>
      </c>
      <c r="T19" s="5" t="str">
        <f t="shared" si="15"/>
        <v>EGOLARTE</v>
      </c>
      <c r="AO19" s="15"/>
      <c r="AP19" s="15"/>
      <c r="AQ19" s="15"/>
      <c r="AR19" s="15"/>
      <c r="AS19" s="15"/>
      <c r="AT19" s="15"/>
      <c r="AU19" s="15"/>
      <c r="AV19" s="15"/>
    </row>
    <row r="20" spans="1:48" ht="15" customHeight="1" x14ac:dyDescent="0.35">
      <c r="A20" s="14">
        <v>7</v>
      </c>
      <c r="B20" s="50" t="s">
        <v>276</v>
      </c>
      <c r="C20" s="50" t="s">
        <v>276</v>
      </c>
      <c r="D20" s="50" t="s">
        <v>186</v>
      </c>
      <c r="E20" s="14">
        <v>1</v>
      </c>
      <c r="F20" s="14" t="s">
        <v>102</v>
      </c>
      <c r="G20" s="54" t="s">
        <v>49</v>
      </c>
      <c r="H20" s="55">
        <f>6150/1.18</f>
        <v>5211.8644067796613</v>
      </c>
      <c r="I20" s="55">
        <f t="shared" si="8"/>
        <v>938.13559322033905</v>
      </c>
      <c r="J20" s="55">
        <f t="shared" si="9"/>
        <v>6150</v>
      </c>
      <c r="K20" s="14" t="s">
        <v>64</v>
      </c>
      <c r="L20" s="9">
        <f>8532+313.07727</f>
        <v>8845.0772699999998</v>
      </c>
      <c r="M20" s="9">
        <f t="shared" si="10"/>
        <v>1592.1139085999998</v>
      </c>
      <c r="N20" s="9">
        <f t="shared" si="11"/>
        <v>10437.1911786</v>
      </c>
      <c r="O20" s="14" t="s">
        <v>57</v>
      </c>
      <c r="P20" s="9">
        <f>8988.75+1890.83</f>
        <v>10879.58</v>
      </c>
      <c r="Q20" s="9">
        <f t="shared" si="12"/>
        <v>1958.3244</v>
      </c>
      <c r="R20" s="9">
        <f t="shared" si="13"/>
        <v>12837.904399999999</v>
      </c>
      <c r="S20" s="49">
        <f t="shared" si="14"/>
        <v>6150</v>
      </c>
      <c r="T20" s="5" t="str">
        <f t="shared" si="15"/>
        <v>EGOLARTE</v>
      </c>
      <c r="AO20" s="15"/>
      <c r="AP20" s="15"/>
      <c r="AQ20" s="15"/>
      <c r="AR20" s="15"/>
      <c r="AS20" s="15"/>
      <c r="AT20" s="15"/>
      <c r="AU20" s="15"/>
      <c r="AV20" s="15"/>
    </row>
    <row r="21" spans="1:48" ht="15" customHeight="1" x14ac:dyDescent="0.35">
      <c r="A21" s="14">
        <v>8</v>
      </c>
      <c r="B21" s="51" t="s">
        <v>277</v>
      </c>
      <c r="C21" s="51" t="s">
        <v>277</v>
      </c>
      <c r="D21" s="52" t="s">
        <v>149</v>
      </c>
      <c r="E21" s="14">
        <v>1</v>
      </c>
      <c r="F21" s="14" t="s">
        <v>102</v>
      </c>
      <c r="G21" s="54" t="s">
        <v>49</v>
      </c>
      <c r="H21" s="55">
        <f>6560/1.18</f>
        <v>5559.3220338983056</v>
      </c>
      <c r="I21" s="55">
        <f t="shared" si="8"/>
        <v>1000.677966101695</v>
      </c>
      <c r="J21" s="55">
        <f t="shared" si="9"/>
        <v>6560.0000000000009</v>
      </c>
      <c r="K21" s="14" t="s">
        <v>64</v>
      </c>
      <c r="L21" s="9">
        <f>9425+313.07727</f>
        <v>9738.0772699999998</v>
      </c>
      <c r="M21" s="9">
        <f t="shared" si="10"/>
        <v>1752.8539085999998</v>
      </c>
      <c r="N21" s="9">
        <f t="shared" si="11"/>
        <v>11490.9311786</v>
      </c>
      <c r="O21" s="14" t="s">
        <v>57</v>
      </c>
      <c r="P21" s="9">
        <f>9588+1890.83</f>
        <v>11478.83</v>
      </c>
      <c r="Q21" s="9">
        <f t="shared" si="12"/>
        <v>2066.1893999999998</v>
      </c>
      <c r="R21" s="9">
        <f t="shared" si="13"/>
        <v>13545.019399999999</v>
      </c>
      <c r="S21" s="49">
        <f t="shared" si="14"/>
        <v>6560.0000000000009</v>
      </c>
      <c r="T21" s="5" t="str">
        <f t="shared" si="15"/>
        <v>EGOLARTE</v>
      </c>
      <c r="AO21" s="15"/>
      <c r="AP21" s="15"/>
      <c r="AQ21" s="15"/>
      <c r="AR21" s="15"/>
      <c r="AS21" s="15"/>
      <c r="AT21" s="15"/>
      <c r="AU21" s="15"/>
      <c r="AV21" s="15"/>
    </row>
    <row r="22" spans="1:48" ht="15" customHeight="1" x14ac:dyDescent="0.35">
      <c r="A22" s="14">
        <v>9</v>
      </c>
      <c r="B22" s="51" t="s">
        <v>278</v>
      </c>
      <c r="C22" s="51" t="s">
        <v>278</v>
      </c>
      <c r="D22" s="52" t="s">
        <v>84</v>
      </c>
      <c r="E22" s="14">
        <v>1</v>
      </c>
      <c r="F22" s="14" t="s">
        <v>102</v>
      </c>
      <c r="G22" s="54" t="s">
        <v>49</v>
      </c>
      <c r="H22" s="55">
        <f>11315/1.18</f>
        <v>9588.9830508474588</v>
      </c>
      <c r="I22" s="55">
        <f t="shared" si="8"/>
        <v>1726.0169491525426</v>
      </c>
      <c r="J22" s="55">
        <f t="shared" si="9"/>
        <v>11315.000000000002</v>
      </c>
      <c r="K22" s="14" t="s">
        <v>64</v>
      </c>
      <c r="L22" s="9">
        <f>10892+313.07727</f>
        <v>11205.07727</v>
      </c>
      <c r="M22" s="9">
        <f t="shared" si="10"/>
        <v>2016.9139085999998</v>
      </c>
      <c r="N22" s="9">
        <f t="shared" si="11"/>
        <v>13221.991178599999</v>
      </c>
      <c r="O22" s="14" t="s">
        <v>57</v>
      </c>
      <c r="P22" s="9">
        <f>8749.05+1890.83</f>
        <v>10639.88</v>
      </c>
      <c r="Q22" s="9">
        <f t="shared" si="12"/>
        <v>1915.1783999999998</v>
      </c>
      <c r="R22" s="9">
        <f t="shared" si="13"/>
        <v>12555.058399999998</v>
      </c>
      <c r="S22" s="49">
        <f t="shared" si="14"/>
        <v>11315.000000000002</v>
      </c>
      <c r="T22" s="5" t="str">
        <f t="shared" si="15"/>
        <v>EGOLARTE</v>
      </c>
      <c r="AO22" s="15"/>
      <c r="AP22" s="15"/>
      <c r="AQ22" s="15"/>
      <c r="AR22" s="15"/>
      <c r="AS22" s="15"/>
      <c r="AT22" s="15"/>
      <c r="AU22" s="15"/>
      <c r="AV22" s="15"/>
    </row>
    <row r="23" spans="1:48" ht="15" customHeight="1" x14ac:dyDescent="0.35">
      <c r="A23" s="14">
        <v>10</v>
      </c>
      <c r="B23" s="50" t="s">
        <v>279</v>
      </c>
      <c r="C23" s="50" t="s">
        <v>279</v>
      </c>
      <c r="D23" s="52" t="s">
        <v>98</v>
      </c>
      <c r="E23" s="14">
        <v>1</v>
      </c>
      <c r="F23" s="14" t="s">
        <v>102</v>
      </c>
      <c r="G23" s="54" t="s">
        <v>49</v>
      </c>
      <c r="H23" s="55">
        <f>12400/1.18</f>
        <v>10508.474576271186</v>
      </c>
      <c r="I23" s="55">
        <f t="shared" si="8"/>
        <v>1891.5254237288134</v>
      </c>
      <c r="J23" s="55">
        <f t="shared" si="9"/>
        <v>12400</v>
      </c>
      <c r="K23" s="14" t="s">
        <v>64</v>
      </c>
      <c r="L23" s="9">
        <f>11933+313.07727</f>
        <v>12246.07727</v>
      </c>
      <c r="M23" s="9">
        <f t="shared" si="10"/>
        <v>2204.2939085999997</v>
      </c>
      <c r="N23" s="9">
        <f t="shared" si="11"/>
        <v>14450.371178599999</v>
      </c>
      <c r="O23" s="14" t="s">
        <v>57</v>
      </c>
      <c r="P23" s="9">
        <f>9588+1890.83</f>
        <v>11478.83</v>
      </c>
      <c r="Q23" s="9">
        <f t="shared" si="12"/>
        <v>2066.1893999999998</v>
      </c>
      <c r="R23" s="9">
        <f t="shared" si="13"/>
        <v>13545.019399999999</v>
      </c>
      <c r="S23" s="49">
        <f t="shared" si="14"/>
        <v>12400</v>
      </c>
      <c r="T23" s="5" t="str">
        <f t="shared" si="15"/>
        <v>EGOLARTE</v>
      </c>
      <c r="AO23" s="15"/>
      <c r="AP23" s="15"/>
      <c r="AQ23" s="15"/>
      <c r="AR23" s="15"/>
      <c r="AS23" s="15"/>
      <c r="AT23" s="15"/>
      <c r="AU23" s="15"/>
      <c r="AV23" s="15"/>
    </row>
    <row r="24" spans="1:48" ht="15" customHeight="1" x14ac:dyDescent="0.35">
      <c r="A24" s="14">
        <v>11</v>
      </c>
      <c r="B24" s="51" t="s">
        <v>276</v>
      </c>
      <c r="C24" s="51" t="s">
        <v>276</v>
      </c>
      <c r="D24" s="52" t="s">
        <v>105</v>
      </c>
      <c r="E24" s="14">
        <v>1</v>
      </c>
      <c r="F24" s="14" t="s">
        <v>102</v>
      </c>
      <c r="G24" s="54" t="s">
        <v>49</v>
      </c>
      <c r="H24" s="55">
        <f>11625/1.18</f>
        <v>9851.6949152542384</v>
      </c>
      <c r="I24" s="55">
        <f t="shared" si="8"/>
        <v>1773.3050847457628</v>
      </c>
      <c r="J24" s="55">
        <f t="shared" si="9"/>
        <v>11625.000000000002</v>
      </c>
      <c r="K24" s="14" t="s">
        <v>64</v>
      </c>
      <c r="L24" s="9">
        <f>10742+313.07727</f>
        <v>11055.07727</v>
      </c>
      <c r="M24" s="9">
        <f t="shared" si="10"/>
        <v>1989.9139085999998</v>
      </c>
      <c r="N24" s="9">
        <f t="shared" si="11"/>
        <v>13044.991178599999</v>
      </c>
      <c r="O24" s="14" t="s">
        <v>57</v>
      </c>
      <c r="P24" s="9">
        <f>8988.75+1890.83</f>
        <v>10879.58</v>
      </c>
      <c r="Q24" s="9">
        <f t="shared" si="12"/>
        <v>1958.3244</v>
      </c>
      <c r="R24" s="9">
        <f t="shared" si="13"/>
        <v>12837.904399999999</v>
      </c>
      <c r="S24" s="49">
        <f t="shared" si="14"/>
        <v>11625.000000000002</v>
      </c>
      <c r="T24" s="5" t="str">
        <f t="shared" si="15"/>
        <v>EGOLARTE</v>
      </c>
      <c r="AO24" s="15"/>
      <c r="AP24" s="15"/>
      <c r="AQ24" s="15"/>
      <c r="AR24" s="15"/>
      <c r="AS24" s="15"/>
      <c r="AT24" s="15"/>
      <c r="AU24" s="15"/>
      <c r="AV24" s="15"/>
    </row>
    <row r="25" spans="1:48" ht="15" customHeight="1" thickBot="1" x14ac:dyDescent="0.4">
      <c r="A25" s="14">
        <v>12</v>
      </c>
      <c r="B25" s="51" t="s">
        <v>276</v>
      </c>
      <c r="C25" s="51" t="s">
        <v>276</v>
      </c>
      <c r="D25" s="53" t="s">
        <v>36</v>
      </c>
      <c r="E25" s="14">
        <v>1</v>
      </c>
      <c r="F25" s="14" t="s">
        <v>102</v>
      </c>
      <c r="G25" s="54" t="s">
        <v>49</v>
      </c>
      <c r="H25" s="56">
        <f>10850/1.18</f>
        <v>9194.9152542372885</v>
      </c>
      <c r="I25" s="56">
        <f t="shared" si="8"/>
        <v>1655.0847457627119</v>
      </c>
      <c r="J25" s="56">
        <f t="shared" si="9"/>
        <v>10850</v>
      </c>
      <c r="K25" s="14" t="s">
        <v>64</v>
      </c>
      <c r="L25" s="48"/>
      <c r="M25" s="48">
        <f t="shared" si="10"/>
        <v>0</v>
      </c>
      <c r="N25" s="48">
        <f t="shared" si="11"/>
        <v>0</v>
      </c>
      <c r="O25" s="14" t="s">
        <v>57</v>
      </c>
      <c r="P25" s="9">
        <f>8389.5+1890.83</f>
        <v>10280.33</v>
      </c>
      <c r="Q25" s="48">
        <f t="shared" si="12"/>
        <v>1850.4594</v>
      </c>
      <c r="R25" s="48">
        <f t="shared" si="13"/>
        <v>12130.7894</v>
      </c>
      <c r="S25" s="49">
        <f t="shared" si="14"/>
        <v>0</v>
      </c>
      <c r="T25" s="5" t="str">
        <f t="shared" si="15"/>
        <v>KALPPA</v>
      </c>
      <c r="AO25" s="15"/>
      <c r="AP25" s="15"/>
      <c r="AQ25" s="15"/>
      <c r="AR25" s="15"/>
      <c r="AS25" s="15"/>
      <c r="AT25" s="15"/>
      <c r="AU25" s="15"/>
      <c r="AV25" s="15"/>
    </row>
    <row r="26" spans="1:48" ht="15" customHeight="1" x14ac:dyDescent="0.35">
      <c r="G26" s="57"/>
      <c r="H26" s="57"/>
      <c r="I26" s="57"/>
      <c r="J26" s="58">
        <f>SUM(J14:J25)</f>
        <v>114129</v>
      </c>
      <c r="N26" s="47">
        <f>SUM(N14:N25)</f>
        <v>139521.84296459999</v>
      </c>
      <c r="R26" s="47">
        <f>SUM(R14:R25)</f>
        <v>157104.7752</v>
      </c>
      <c r="S26" s="49">
        <f t="shared" si="14"/>
        <v>114129</v>
      </c>
      <c r="T26" s="5" t="str">
        <f t="shared" si="15"/>
        <v>EGOLARTE</v>
      </c>
      <c r="AO26"/>
      <c r="AP26"/>
      <c r="AQ26"/>
      <c r="AR26"/>
      <c r="AS26"/>
      <c r="AT26"/>
      <c r="AU26"/>
      <c r="AV26"/>
    </row>
    <row r="27" spans="1:48" ht="15" customHeight="1" x14ac:dyDescent="0.35">
      <c r="A27" s="3"/>
      <c r="B27" s="3"/>
      <c r="C27" s="3"/>
      <c r="D27" s="3"/>
      <c r="E27" s="3"/>
      <c r="H27" s="6"/>
      <c r="I27" s="6"/>
      <c r="J27" s="6"/>
      <c r="AO27"/>
      <c r="AP27"/>
      <c r="AQ27"/>
      <c r="AR27"/>
      <c r="AS27"/>
      <c r="AT27"/>
      <c r="AU27"/>
      <c r="AV27"/>
    </row>
    <row r="28" spans="1:48" ht="15" customHeight="1" x14ac:dyDescent="0.35">
      <c r="A28" s="24" t="s">
        <v>267</v>
      </c>
      <c r="B28" s="24"/>
      <c r="C28" s="24"/>
      <c r="D28" s="24"/>
      <c r="E28" s="24" t="s">
        <v>248</v>
      </c>
      <c r="F28" s="24"/>
      <c r="G28" s="26" t="s">
        <v>259</v>
      </c>
      <c r="H28" s="26"/>
      <c r="I28" s="26"/>
      <c r="J28" s="26"/>
      <c r="K28" s="26" t="s">
        <v>259</v>
      </c>
      <c r="L28" s="26"/>
      <c r="M28" s="26"/>
      <c r="N28" s="26"/>
      <c r="O28" s="26" t="s">
        <v>259</v>
      </c>
      <c r="P28" s="26"/>
      <c r="Q28" s="26"/>
      <c r="R28" s="26"/>
      <c r="AO28"/>
      <c r="AP28"/>
      <c r="AQ28"/>
      <c r="AR28"/>
      <c r="AS28"/>
      <c r="AT28"/>
      <c r="AU28"/>
      <c r="AV28"/>
    </row>
    <row r="29" spans="1:48" ht="15" customHeight="1" x14ac:dyDescent="0.35">
      <c r="A29" s="18" t="s">
        <v>246</v>
      </c>
      <c r="B29" s="19"/>
      <c r="C29" s="20" t="s">
        <v>247</v>
      </c>
      <c r="D29" s="21"/>
      <c r="E29" s="40">
        <v>0.5</v>
      </c>
      <c r="F29" s="40"/>
      <c r="G29" s="27" t="s">
        <v>265</v>
      </c>
      <c r="H29" s="27"/>
      <c r="I29" s="29">
        <f>IF($G$29="","",IF($G$29="Cumple",5,1))</f>
        <v>5</v>
      </c>
      <c r="J29" s="29"/>
      <c r="K29" s="27" t="s">
        <v>265</v>
      </c>
      <c r="L29" s="27"/>
      <c r="M29" s="29">
        <f>IF($K$29="","",IF($K$29="Cumple",5,1))</f>
        <v>5</v>
      </c>
      <c r="N29" s="29"/>
      <c r="O29" s="27" t="s">
        <v>265</v>
      </c>
      <c r="P29" s="27"/>
      <c r="Q29" s="29">
        <f>IF($O$29="","",IF($O$29="Cumple",5,1))</f>
        <v>5</v>
      </c>
      <c r="R29" s="29"/>
      <c r="AO29"/>
      <c r="AP29"/>
      <c r="AQ29"/>
      <c r="AR29"/>
      <c r="AS29"/>
      <c r="AT29"/>
      <c r="AU29"/>
      <c r="AV29"/>
    </row>
    <row r="30" spans="1:48" ht="15" customHeight="1" x14ac:dyDescent="0.35">
      <c r="A30" s="18" t="s">
        <v>20</v>
      </c>
      <c r="B30" s="19"/>
      <c r="C30" s="20" t="s">
        <v>262</v>
      </c>
      <c r="D30" s="21"/>
      <c r="E30" s="40">
        <v>0.4</v>
      </c>
      <c r="F30" s="40"/>
      <c r="G30" s="28">
        <f>IF($J$26=0,"",$J$26)</f>
        <v>114129</v>
      </c>
      <c r="H30" s="28"/>
      <c r="I30" s="29">
        <f>IFERROR(ROUND(5*$S$30/$BE$1,2),"")</f>
        <v>5</v>
      </c>
      <c r="J30" s="29"/>
      <c r="K30" s="28">
        <f>IF($N$26=0,"",$N$26)</f>
        <v>139521.84296459999</v>
      </c>
      <c r="L30" s="28"/>
      <c r="M30" s="29">
        <f>IFERROR(ROUND(5*$S$30/$BE$2,2),"")</f>
        <v>4.09</v>
      </c>
      <c r="N30" s="29"/>
      <c r="O30" s="28">
        <f>IF($R$26=0,"",$R$26)</f>
        <v>157104.7752</v>
      </c>
      <c r="P30" s="28"/>
      <c r="Q30" s="29">
        <f>IFERROR(ROUND(5*$S$30/$BE$3,2),"")</f>
        <v>3.63</v>
      </c>
      <c r="R30" s="29"/>
      <c r="S30">
        <f>IFERROR(MIN(BE1:BE3),"")</f>
        <v>114129</v>
      </c>
      <c r="AO30"/>
      <c r="AP30"/>
      <c r="AQ30"/>
      <c r="AR30"/>
      <c r="AS30"/>
      <c r="AT30"/>
      <c r="AU30"/>
      <c r="AV30"/>
    </row>
    <row r="31" spans="1:48" ht="15" customHeight="1" x14ac:dyDescent="0.35">
      <c r="A31" s="18" t="s">
        <v>21</v>
      </c>
      <c r="B31" s="19"/>
      <c r="C31" s="20" t="s">
        <v>230</v>
      </c>
      <c r="D31" s="21"/>
      <c r="E31" s="40">
        <v>0.05</v>
      </c>
      <c r="F31" s="40"/>
      <c r="G31" s="27" t="s">
        <v>57</v>
      </c>
      <c r="H31" s="27"/>
      <c r="I31" s="29">
        <f>IFERROR(IF($G$31="","",IF($G$31="Al contado",1,IF($BB$1&gt;=60,5,ROUND(5*$BB$1/$S$31,2)))),"")</f>
        <v>5</v>
      </c>
      <c r="J31" s="29"/>
      <c r="K31" s="27" t="s">
        <v>57</v>
      </c>
      <c r="L31" s="27"/>
      <c r="M31" s="29">
        <f>IFERROR(IF($K$31="","",IF($K$31="Al contado",1,IF($BB$2&gt;=60,5,ROUND(5*$BB$2/$S$31,2)))),"")</f>
        <v>5</v>
      </c>
      <c r="N31" s="29"/>
      <c r="O31" s="27" t="s">
        <v>57</v>
      </c>
      <c r="P31" s="27"/>
      <c r="Q31" s="29">
        <f>IFERROR(IF($O$31="","",IF($O$31="Al contado",1,IF($BB$3&gt;=60,5,ROUND(5*$BB$3/$S$31,2)))),"")</f>
        <v>5</v>
      </c>
      <c r="R31" s="29"/>
      <c r="S31">
        <f>IFERROR(MAX(BB1:BB3),"")</f>
        <v>30</v>
      </c>
      <c r="AO31"/>
      <c r="AP31"/>
      <c r="AQ31"/>
      <c r="AR31"/>
      <c r="AS31"/>
      <c r="AT31"/>
      <c r="AU31"/>
      <c r="AV31"/>
    </row>
    <row r="32" spans="1:48" ht="15" customHeight="1" x14ac:dyDescent="0.35">
      <c r="A32" s="18" t="s">
        <v>22</v>
      </c>
      <c r="B32" s="19"/>
      <c r="C32" s="20" t="s">
        <v>261</v>
      </c>
      <c r="D32" s="21"/>
      <c r="E32" s="40">
        <v>2.5000000000000001E-2</v>
      </c>
      <c r="F32" s="40"/>
      <c r="G32" s="29" t="s">
        <v>49</v>
      </c>
      <c r="H32" s="29"/>
      <c r="I32" s="29">
        <f>IFERROR(IF($G$32="Mas de 90 dias",1,ROUND(5*$S$32/$BC$1,2)),"")</f>
        <v>5</v>
      </c>
      <c r="J32" s="29"/>
      <c r="K32" s="29" t="s">
        <v>57</v>
      </c>
      <c r="L32" s="29"/>
      <c r="M32" s="29">
        <f>IFERROR(IF($K$32="Mas de 90 dias",1,ROUND(5*$S$32/$BC$2,2)),"")</f>
        <v>2.5</v>
      </c>
      <c r="N32" s="29"/>
      <c r="O32" s="29" t="s">
        <v>57</v>
      </c>
      <c r="P32" s="29"/>
      <c r="Q32" s="29">
        <f>IFERROR(IF($O$32="Mas de 90 dias",1,ROUND(5*$S$32/$BC$3,2)),"")</f>
        <v>2.5</v>
      </c>
      <c r="R32" s="29"/>
      <c r="S32">
        <f>IFERROR(MIN(BC1:BC3),"")</f>
        <v>15</v>
      </c>
      <c r="AO32"/>
      <c r="AP32"/>
      <c r="AQ32"/>
      <c r="AR32"/>
      <c r="AS32"/>
      <c r="AT32"/>
      <c r="AU32"/>
      <c r="AV32"/>
    </row>
    <row r="33" spans="1:48" ht="15" customHeight="1" x14ac:dyDescent="0.35">
      <c r="A33" s="18" t="s">
        <v>23</v>
      </c>
      <c r="B33" s="19"/>
      <c r="C33" s="20" t="s">
        <v>231</v>
      </c>
      <c r="D33" s="21"/>
      <c r="E33" s="40">
        <v>2.5000000000000001E-2</v>
      </c>
      <c r="F33" s="40"/>
      <c r="G33" s="27" t="s">
        <v>121</v>
      </c>
      <c r="H33" s="27"/>
      <c r="I33" s="29">
        <f>IFERROR(IF($G$33="No incluye",1,ROUND(5*$BD$1/$S$33,2)),"")</f>
        <v>5</v>
      </c>
      <c r="J33" s="29"/>
      <c r="K33" s="27" t="s">
        <v>121</v>
      </c>
      <c r="L33" s="27"/>
      <c r="M33" s="29">
        <f>IFERROR(IF($K$33="No incluye",1,ROUND(5*$BD$2/$S$33,2)),"")</f>
        <v>5</v>
      </c>
      <c r="N33" s="29"/>
      <c r="O33" s="27" t="s">
        <v>121</v>
      </c>
      <c r="P33" s="27"/>
      <c r="Q33" s="29">
        <f>IFERROR(IF($O$33="No incluye",1,ROUND(5*$BD$3/$S$33,2)),"")</f>
        <v>5</v>
      </c>
      <c r="R33" s="29"/>
      <c r="S33">
        <f>IFERROR(MAX(BD1:BD3),"")</f>
        <v>12</v>
      </c>
      <c r="AO33"/>
      <c r="AP33"/>
      <c r="AQ33"/>
      <c r="AR33"/>
      <c r="AS33"/>
      <c r="AT33"/>
      <c r="AU33"/>
      <c r="AV33"/>
    </row>
    <row r="34" spans="1:48" x14ac:dyDescent="0.35">
      <c r="E34" s="41">
        <f>SUM(E29:F33)</f>
        <v>1</v>
      </c>
      <c r="F34" s="41"/>
      <c r="G34" s="39"/>
      <c r="H34" s="39"/>
      <c r="I34" s="39">
        <f>ROUND(SUMPRODUCT($E29:$F33,I29:J33),2)</f>
        <v>5</v>
      </c>
      <c r="J34" s="39"/>
      <c r="K34" s="39"/>
      <c r="L34" s="39"/>
      <c r="M34" s="39">
        <f>ROUND(SUMPRODUCT($E29:$F33,M29:N33),2)</f>
        <v>4.57</v>
      </c>
      <c r="N34" s="39"/>
      <c r="O34" s="39"/>
      <c r="P34" s="39"/>
      <c r="Q34" s="39">
        <f>ROUND(SUMPRODUCT($E29:$F33,Q29:R33),2)</f>
        <v>4.3899999999999997</v>
      </c>
      <c r="R34" s="39"/>
      <c r="S34" s="5">
        <f>MAX(AZ1:AZ3)</f>
        <v>5</v>
      </c>
      <c r="T34" s="5" t="str">
        <f>INDEX($BA$1:$BA$8,MATCH(MAX(AZ1:AZ3),AZ1:AZ3,0))</f>
        <v>EGOLARTE</v>
      </c>
      <c r="AO34"/>
      <c r="AP34"/>
      <c r="AQ34"/>
      <c r="AR34"/>
      <c r="AS34"/>
      <c r="AT34"/>
      <c r="AU34"/>
      <c r="AV34"/>
    </row>
    <row r="35" spans="1:48" x14ac:dyDescent="0.35">
      <c r="AO35"/>
      <c r="AP35"/>
      <c r="AQ35"/>
      <c r="AR35"/>
      <c r="AS35"/>
      <c r="AT35"/>
      <c r="AU35"/>
      <c r="AV35"/>
    </row>
    <row r="36" spans="1:48" x14ac:dyDescent="0.35">
      <c r="C36" s="7" t="s">
        <v>232</v>
      </c>
      <c r="E36" s="30" t="s">
        <v>18</v>
      </c>
      <c r="F36" s="31"/>
      <c r="G36" s="32"/>
      <c r="J36" s="30" t="s">
        <v>19</v>
      </c>
      <c r="K36" s="31"/>
      <c r="L36" s="31"/>
      <c r="M36" s="32"/>
      <c r="AO36"/>
      <c r="AP36"/>
      <c r="AQ36"/>
      <c r="AR36"/>
      <c r="AS36"/>
      <c r="AT36"/>
      <c r="AU36"/>
      <c r="AV36"/>
    </row>
    <row r="37" spans="1:48" ht="57" customHeight="1" x14ac:dyDescent="0.35">
      <c r="C37" s="4" t="str">
        <f>CONCATENATE("El proveedor que cuenta con el mejor resultado para los criterios establecidos es "&amp;UPPER(AX2))</f>
        <v>El proveedor que cuenta con el mejor resultado para los criterios establecidos es EGOLARTE</v>
      </c>
      <c r="E37" s="33"/>
      <c r="F37" s="34"/>
      <c r="G37" s="35"/>
      <c r="J37" s="36"/>
      <c r="K37" s="37"/>
      <c r="L37" s="37"/>
      <c r="M37" s="38"/>
      <c r="AO37"/>
      <c r="AP37"/>
      <c r="AQ37"/>
      <c r="AR37"/>
      <c r="AS37"/>
      <c r="AT37"/>
      <c r="AU37"/>
      <c r="AV37"/>
    </row>
    <row r="38" spans="1:48" x14ac:dyDescent="0.35">
      <c r="AO38"/>
      <c r="AP38"/>
      <c r="AQ38"/>
      <c r="AR38"/>
      <c r="AS38"/>
      <c r="AT38"/>
      <c r="AU38"/>
      <c r="AV38"/>
    </row>
    <row r="39" spans="1:48" x14ac:dyDescent="0.35">
      <c r="AO39"/>
      <c r="AP39"/>
      <c r="AQ39"/>
      <c r="AR39"/>
      <c r="AS39"/>
      <c r="AT39"/>
      <c r="AU39"/>
      <c r="AV39"/>
    </row>
    <row r="40" spans="1:48" x14ac:dyDescent="0.35">
      <c r="AO40"/>
      <c r="AP40"/>
      <c r="AQ40"/>
      <c r="AR40"/>
      <c r="AS40"/>
      <c r="AT40"/>
      <c r="AU40"/>
      <c r="AV40"/>
    </row>
    <row r="41" spans="1:48" x14ac:dyDescent="0.35">
      <c r="A41" s="44" t="s">
        <v>244</v>
      </c>
      <c r="B41" s="44"/>
      <c r="C41" s="45" t="s">
        <v>245</v>
      </c>
      <c r="D41" s="46"/>
      <c r="AO41"/>
      <c r="AP41"/>
      <c r="AQ41"/>
      <c r="AR41"/>
      <c r="AS41"/>
      <c r="AT41"/>
      <c r="AU41"/>
      <c r="AV41"/>
    </row>
    <row r="42" spans="1:48" x14ac:dyDescent="0.35">
      <c r="A42" s="16">
        <v>1</v>
      </c>
      <c r="B42" s="16" t="s">
        <v>234</v>
      </c>
      <c r="C42" s="42" t="s">
        <v>235</v>
      </c>
      <c r="D42" s="43"/>
      <c r="AO42"/>
      <c r="AP42"/>
      <c r="AQ42"/>
      <c r="AR42"/>
      <c r="AS42"/>
      <c r="AT42"/>
      <c r="AU42"/>
      <c r="AV42"/>
    </row>
    <row r="43" spans="1:48" x14ac:dyDescent="0.35">
      <c r="A43" s="16">
        <v>2</v>
      </c>
      <c r="B43" s="16" t="s">
        <v>236</v>
      </c>
      <c r="C43" s="42" t="s">
        <v>237</v>
      </c>
      <c r="D43" s="43"/>
      <c r="AO43"/>
      <c r="AP43"/>
      <c r="AQ43"/>
      <c r="AR43"/>
      <c r="AS43"/>
      <c r="AT43"/>
      <c r="AU43"/>
      <c r="AV43"/>
    </row>
    <row r="44" spans="1:48" x14ac:dyDescent="0.35">
      <c r="A44" s="16">
        <v>3</v>
      </c>
      <c r="B44" s="16" t="s">
        <v>238</v>
      </c>
      <c r="C44" s="42" t="s">
        <v>239</v>
      </c>
      <c r="D44" s="43"/>
      <c r="AO44"/>
      <c r="AP44"/>
      <c r="AQ44"/>
      <c r="AR44"/>
      <c r="AS44"/>
      <c r="AT44"/>
      <c r="AU44"/>
      <c r="AV44"/>
    </row>
    <row r="45" spans="1:48" x14ac:dyDescent="0.35">
      <c r="A45" s="16">
        <v>4</v>
      </c>
      <c r="B45" s="16" t="s">
        <v>240</v>
      </c>
      <c r="C45" s="42" t="s">
        <v>241</v>
      </c>
      <c r="D45" s="43"/>
      <c r="AO45"/>
      <c r="AP45"/>
      <c r="AQ45"/>
      <c r="AR45"/>
      <c r="AS45"/>
      <c r="AT45"/>
      <c r="AU45"/>
      <c r="AV45"/>
    </row>
    <row r="46" spans="1:48" x14ac:dyDescent="0.35">
      <c r="A46" s="16">
        <v>5</v>
      </c>
      <c r="B46" s="16" t="s">
        <v>242</v>
      </c>
      <c r="C46" s="42" t="s">
        <v>243</v>
      </c>
      <c r="D46" s="43"/>
      <c r="AO46"/>
      <c r="AP46"/>
      <c r="AQ46"/>
      <c r="AR46"/>
      <c r="AS46"/>
      <c r="AT46"/>
      <c r="AU46"/>
      <c r="AV46"/>
    </row>
    <row r="47" spans="1:48" x14ac:dyDescent="0.35">
      <c r="AO47"/>
      <c r="AP47"/>
      <c r="AQ47"/>
      <c r="AR47"/>
      <c r="AS47"/>
      <c r="AT47"/>
      <c r="AU47"/>
      <c r="AV47"/>
    </row>
    <row r="48" spans="1:48" x14ac:dyDescent="0.35">
      <c r="AO48"/>
      <c r="AP48"/>
      <c r="AQ48"/>
      <c r="AR48"/>
      <c r="AS48"/>
      <c r="AT48"/>
      <c r="AU48"/>
      <c r="AV48"/>
    </row>
    <row r="49" spans="41:48" x14ac:dyDescent="0.35">
      <c r="AO49"/>
      <c r="AP49"/>
      <c r="AQ49"/>
      <c r="AR49"/>
      <c r="AS49"/>
      <c r="AT49"/>
      <c r="AU49"/>
      <c r="AV49"/>
    </row>
    <row r="50" spans="41:48" x14ac:dyDescent="0.35">
      <c r="AO50"/>
      <c r="AP50"/>
      <c r="AQ50"/>
      <c r="AR50"/>
      <c r="AS50"/>
      <c r="AT50"/>
      <c r="AU50"/>
      <c r="AV50"/>
    </row>
    <row r="51" spans="41:48" x14ac:dyDescent="0.35">
      <c r="AO51"/>
      <c r="AP51"/>
      <c r="AQ51"/>
      <c r="AR51"/>
      <c r="AS51"/>
      <c r="AT51"/>
      <c r="AU51"/>
      <c r="AV51"/>
    </row>
    <row r="52" spans="41:48" x14ac:dyDescent="0.35">
      <c r="AO52"/>
      <c r="AP52"/>
      <c r="AQ52"/>
      <c r="AR52"/>
      <c r="AS52"/>
      <c r="AT52"/>
      <c r="AU52"/>
      <c r="AV52"/>
    </row>
    <row r="53" spans="41:48" x14ac:dyDescent="0.35">
      <c r="AO53"/>
      <c r="AP53"/>
      <c r="AQ53"/>
      <c r="AR53"/>
      <c r="AS53"/>
      <c r="AT53"/>
      <c r="AU53"/>
      <c r="AV53"/>
    </row>
    <row r="54" spans="41:48" x14ac:dyDescent="0.35">
      <c r="AO54"/>
      <c r="AP54"/>
      <c r="AQ54"/>
      <c r="AR54"/>
      <c r="AS54"/>
      <c r="AT54"/>
      <c r="AU54"/>
      <c r="AV54"/>
    </row>
    <row r="55" spans="41:48" x14ac:dyDescent="0.35">
      <c r="AO55"/>
      <c r="AP55"/>
      <c r="AQ55"/>
      <c r="AR55"/>
      <c r="AS55"/>
      <c r="AT55"/>
      <c r="AU55"/>
      <c r="AV55"/>
    </row>
    <row r="56" spans="41:48" x14ac:dyDescent="0.35">
      <c r="AO56"/>
      <c r="AP56"/>
      <c r="AQ56"/>
      <c r="AR56"/>
      <c r="AS56"/>
      <c r="AT56"/>
      <c r="AU56"/>
      <c r="AV56"/>
    </row>
    <row r="57" spans="41:48" x14ac:dyDescent="0.35">
      <c r="AO57"/>
      <c r="AP57"/>
      <c r="AQ57"/>
      <c r="AR57"/>
      <c r="AS57"/>
      <c r="AT57"/>
      <c r="AU57"/>
      <c r="AV57"/>
    </row>
    <row r="58" spans="41:48" x14ac:dyDescent="0.35">
      <c r="AO58"/>
      <c r="AP58"/>
      <c r="AQ58"/>
      <c r="AR58"/>
      <c r="AS58"/>
      <c r="AT58"/>
      <c r="AU58"/>
      <c r="AV58"/>
    </row>
    <row r="59" spans="41:48" x14ac:dyDescent="0.35">
      <c r="AO59"/>
      <c r="AP59"/>
      <c r="AQ59"/>
      <c r="AR59"/>
      <c r="AS59"/>
      <c r="AT59"/>
      <c r="AU59"/>
      <c r="AV59"/>
    </row>
    <row r="60" spans="41:48" x14ac:dyDescent="0.35">
      <c r="AO60"/>
      <c r="AP60"/>
      <c r="AQ60"/>
      <c r="AR60"/>
      <c r="AS60"/>
      <c r="AT60"/>
      <c r="AU60"/>
      <c r="AV60"/>
    </row>
    <row r="61" spans="41:48" x14ac:dyDescent="0.35">
      <c r="AO61"/>
      <c r="AP61"/>
      <c r="AQ61"/>
      <c r="AR61"/>
      <c r="AS61"/>
      <c r="AT61"/>
      <c r="AU61"/>
      <c r="AV61"/>
    </row>
    <row r="62" spans="41:48" x14ac:dyDescent="0.35">
      <c r="AO62"/>
      <c r="AP62"/>
      <c r="AQ62"/>
      <c r="AR62"/>
      <c r="AS62"/>
      <c r="AT62"/>
      <c r="AU62"/>
      <c r="AV62"/>
    </row>
    <row r="63" spans="41:48" x14ac:dyDescent="0.35">
      <c r="AO63"/>
      <c r="AP63"/>
      <c r="AQ63"/>
      <c r="AR63"/>
      <c r="AS63"/>
      <c r="AT63"/>
      <c r="AU63"/>
      <c r="AV63"/>
    </row>
    <row r="64" spans="41:48" x14ac:dyDescent="0.35">
      <c r="AO64"/>
      <c r="AP64"/>
      <c r="AQ64"/>
      <c r="AR64"/>
      <c r="AS64"/>
      <c r="AT64"/>
      <c r="AU64"/>
      <c r="AV64"/>
    </row>
    <row r="65" spans="41:48" x14ac:dyDescent="0.35">
      <c r="AO65"/>
      <c r="AP65"/>
      <c r="AQ65"/>
      <c r="AR65"/>
      <c r="AS65"/>
      <c r="AT65"/>
      <c r="AU65"/>
      <c r="AV65"/>
    </row>
    <row r="66" spans="41:48" x14ac:dyDescent="0.35">
      <c r="AO66"/>
      <c r="AP66"/>
      <c r="AQ66"/>
      <c r="AR66"/>
      <c r="AS66"/>
      <c r="AT66"/>
      <c r="AU66"/>
      <c r="AV66"/>
    </row>
    <row r="67" spans="41:48" x14ac:dyDescent="0.35">
      <c r="AO67"/>
      <c r="AP67"/>
      <c r="AQ67"/>
      <c r="AR67"/>
      <c r="AS67"/>
      <c r="AT67"/>
      <c r="AU67"/>
      <c r="AV67"/>
    </row>
    <row r="68" spans="41:48" x14ac:dyDescent="0.35">
      <c r="AO68"/>
      <c r="AP68"/>
      <c r="AQ68"/>
      <c r="AR68"/>
      <c r="AS68"/>
      <c r="AT68"/>
      <c r="AU68"/>
      <c r="AV68"/>
    </row>
    <row r="69" spans="41:48" x14ac:dyDescent="0.35">
      <c r="AO69"/>
      <c r="AP69"/>
      <c r="AQ69"/>
      <c r="AR69"/>
      <c r="AS69"/>
      <c r="AT69"/>
      <c r="AU69"/>
      <c r="AV69"/>
    </row>
    <row r="70" spans="41:48" x14ac:dyDescent="0.35">
      <c r="AO70"/>
      <c r="AP70"/>
      <c r="AQ70"/>
      <c r="AR70"/>
      <c r="AS70"/>
      <c r="AT70"/>
      <c r="AU70"/>
      <c r="AV70"/>
    </row>
    <row r="71" spans="41:48" x14ac:dyDescent="0.35">
      <c r="AO71"/>
      <c r="AP71"/>
      <c r="AQ71"/>
      <c r="AR71"/>
      <c r="AS71"/>
      <c r="AT71"/>
      <c r="AU71"/>
      <c r="AV71"/>
    </row>
    <row r="72" spans="41:48" x14ac:dyDescent="0.35">
      <c r="AO72"/>
      <c r="AP72"/>
      <c r="AQ72"/>
      <c r="AR72"/>
      <c r="AS72"/>
      <c r="AT72"/>
      <c r="AU72"/>
      <c r="AV72"/>
    </row>
    <row r="73" spans="41:48" x14ac:dyDescent="0.35">
      <c r="AO73"/>
      <c r="AP73"/>
      <c r="AQ73"/>
      <c r="AR73"/>
      <c r="AS73"/>
      <c r="AT73"/>
      <c r="AU73"/>
      <c r="AV73"/>
    </row>
    <row r="74" spans="41:48" x14ac:dyDescent="0.35">
      <c r="AO74"/>
      <c r="AP74"/>
      <c r="AQ74"/>
      <c r="AR74"/>
      <c r="AS74"/>
      <c r="AT74"/>
      <c r="AU74"/>
      <c r="AV74"/>
    </row>
    <row r="75" spans="41:48" x14ac:dyDescent="0.35">
      <c r="AO75"/>
      <c r="AP75"/>
      <c r="AQ75"/>
      <c r="AR75"/>
      <c r="AS75"/>
      <c r="AT75"/>
      <c r="AU75"/>
      <c r="AV75"/>
    </row>
    <row r="76" spans="41:48" x14ac:dyDescent="0.35">
      <c r="AO76"/>
      <c r="AP76"/>
      <c r="AQ76"/>
      <c r="AR76"/>
      <c r="AS76"/>
      <c r="AT76"/>
      <c r="AU76"/>
      <c r="AV76"/>
    </row>
    <row r="77" spans="41:48" x14ac:dyDescent="0.35">
      <c r="AO77"/>
      <c r="AP77"/>
      <c r="AQ77"/>
      <c r="AR77"/>
      <c r="AS77"/>
      <c r="AT77"/>
      <c r="AU77"/>
      <c r="AV77"/>
    </row>
    <row r="78" spans="41:48" x14ac:dyDescent="0.35">
      <c r="AO78"/>
      <c r="AP78"/>
      <c r="AQ78"/>
      <c r="AR78"/>
      <c r="AS78"/>
      <c r="AT78"/>
      <c r="AU78"/>
      <c r="AV78"/>
    </row>
    <row r="79" spans="41:48" x14ac:dyDescent="0.35">
      <c r="AO79"/>
      <c r="AP79"/>
      <c r="AQ79"/>
      <c r="AR79"/>
      <c r="AS79"/>
      <c r="AT79"/>
      <c r="AU79"/>
      <c r="AV79"/>
    </row>
    <row r="80" spans="41:48" x14ac:dyDescent="0.35">
      <c r="AO80"/>
      <c r="AP80"/>
      <c r="AQ80"/>
      <c r="AR80"/>
      <c r="AS80"/>
      <c r="AT80"/>
      <c r="AU80"/>
      <c r="AV80"/>
    </row>
    <row r="81" spans="41:48" x14ac:dyDescent="0.35">
      <c r="AO81"/>
      <c r="AP81"/>
      <c r="AQ81"/>
      <c r="AR81"/>
      <c r="AS81"/>
      <c r="AT81"/>
      <c r="AU81"/>
      <c r="AV81"/>
    </row>
    <row r="82" spans="41:48" x14ac:dyDescent="0.35">
      <c r="AO82"/>
      <c r="AP82"/>
      <c r="AQ82"/>
      <c r="AR82"/>
      <c r="AS82"/>
      <c r="AT82"/>
      <c r="AU82"/>
      <c r="AV82"/>
    </row>
    <row r="83" spans="41:48" x14ac:dyDescent="0.35">
      <c r="AO83"/>
      <c r="AP83"/>
      <c r="AQ83"/>
      <c r="AR83"/>
      <c r="AS83"/>
      <c r="AT83"/>
      <c r="AU83"/>
      <c r="AV83"/>
    </row>
    <row r="84" spans="41:48" x14ac:dyDescent="0.35">
      <c r="AO84"/>
      <c r="AP84"/>
      <c r="AQ84"/>
      <c r="AR84"/>
      <c r="AS84"/>
      <c r="AT84"/>
      <c r="AU84"/>
      <c r="AV84"/>
    </row>
    <row r="85" spans="41:48" x14ac:dyDescent="0.35">
      <c r="AO85"/>
      <c r="AP85"/>
      <c r="AQ85"/>
      <c r="AR85"/>
      <c r="AS85"/>
      <c r="AT85"/>
      <c r="AU85"/>
      <c r="AV85"/>
    </row>
    <row r="86" spans="41:48" x14ac:dyDescent="0.35">
      <c r="AO86"/>
      <c r="AP86"/>
      <c r="AQ86"/>
      <c r="AR86"/>
      <c r="AS86"/>
      <c r="AT86"/>
      <c r="AU86"/>
      <c r="AV86"/>
    </row>
    <row r="87" spans="41:48" x14ac:dyDescent="0.35">
      <c r="AO87"/>
      <c r="AP87"/>
      <c r="AQ87"/>
      <c r="AR87"/>
      <c r="AS87"/>
      <c r="AT87"/>
      <c r="AU87"/>
      <c r="AV87"/>
    </row>
    <row r="88" spans="41:48" x14ac:dyDescent="0.35">
      <c r="AO88"/>
      <c r="AP88"/>
      <c r="AQ88"/>
      <c r="AR88"/>
      <c r="AS88"/>
      <c r="AT88"/>
      <c r="AU88"/>
      <c r="AV88"/>
    </row>
    <row r="89" spans="41:48" x14ac:dyDescent="0.35">
      <c r="AO89"/>
      <c r="AP89"/>
      <c r="AQ89"/>
      <c r="AR89"/>
      <c r="AS89"/>
      <c r="AT89"/>
      <c r="AU89"/>
      <c r="AV89"/>
    </row>
    <row r="90" spans="41:48" x14ac:dyDescent="0.35">
      <c r="AO90"/>
      <c r="AP90"/>
      <c r="AQ90"/>
      <c r="AR90"/>
      <c r="AS90"/>
      <c r="AT90"/>
      <c r="AU90"/>
      <c r="AV90"/>
    </row>
    <row r="91" spans="41:48" x14ac:dyDescent="0.35">
      <c r="AO91"/>
      <c r="AP91"/>
      <c r="AQ91"/>
      <c r="AR91"/>
      <c r="AS91"/>
      <c r="AT91"/>
      <c r="AU91"/>
      <c r="AV91"/>
    </row>
    <row r="92" spans="41:48" x14ac:dyDescent="0.35">
      <c r="AO92"/>
      <c r="AP92"/>
      <c r="AQ92"/>
      <c r="AR92"/>
      <c r="AS92"/>
      <c r="AT92"/>
      <c r="AU92"/>
      <c r="AV92"/>
    </row>
    <row r="93" spans="41:48" x14ac:dyDescent="0.35">
      <c r="AO93"/>
      <c r="AP93"/>
      <c r="AQ93"/>
      <c r="AR93"/>
      <c r="AS93"/>
      <c r="AT93"/>
      <c r="AU93"/>
      <c r="AV93"/>
    </row>
    <row r="94" spans="41:48" x14ac:dyDescent="0.35">
      <c r="AO94"/>
      <c r="AP94"/>
      <c r="AQ94"/>
      <c r="AR94"/>
      <c r="AS94"/>
      <c r="AT94"/>
      <c r="AU94"/>
      <c r="AV94"/>
    </row>
    <row r="95" spans="41:48" x14ac:dyDescent="0.35">
      <c r="AO95"/>
      <c r="AP95"/>
      <c r="AQ95"/>
      <c r="AR95"/>
      <c r="AS95"/>
      <c r="AT95"/>
      <c r="AU95"/>
      <c r="AV95"/>
    </row>
    <row r="96" spans="41:48" x14ac:dyDescent="0.35">
      <c r="AO96"/>
      <c r="AP96"/>
      <c r="AQ96"/>
      <c r="AR96"/>
      <c r="AS96"/>
      <c r="AT96"/>
      <c r="AU96"/>
      <c r="AV96"/>
    </row>
    <row r="97" spans="41:48" x14ac:dyDescent="0.35">
      <c r="AO97"/>
      <c r="AP97"/>
      <c r="AQ97"/>
      <c r="AR97"/>
      <c r="AS97"/>
      <c r="AT97"/>
      <c r="AU97"/>
      <c r="AV97"/>
    </row>
    <row r="98" spans="41:48" x14ac:dyDescent="0.35">
      <c r="AO98"/>
      <c r="AP98"/>
      <c r="AQ98"/>
      <c r="AR98"/>
      <c r="AS98"/>
      <c r="AT98"/>
      <c r="AU98"/>
      <c r="AV98"/>
    </row>
    <row r="99" spans="41:48" x14ac:dyDescent="0.35">
      <c r="AO99"/>
      <c r="AP99"/>
      <c r="AQ99"/>
      <c r="AR99"/>
      <c r="AS99"/>
      <c r="AT99"/>
      <c r="AU99"/>
      <c r="AV99"/>
    </row>
    <row r="100" spans="41:48" x14ac:dyDescent="0.35">
      <c r="AO100"/>
      <c r="AP100"/>
      <c r="AQ100"/>
      <c r="AR100"/>
      <c r="AS100"/>
      <c r="AT100"/>
      <c r="AU100"/>
      <c r="AV100"/>
    </row>
    <row r="101" spans="41:48" x14ac:dyDescent="0.35">
      <c r="AO101"/>
      <c r="AP101"/>
      <c r="AQ101"/>
      <c r="AR101"/>
      <c r="AS101"/>
      <c r="AT101"/>
      <c r="AU101"/>
      <c r="AV101"/>
    </row>
    <row r="102" spans="41:48" x14ac:dyDescent="0.35">
      <c r="AO102"/>
      <c r="AP102"/>
      <c r="AQ102"/>
      <c r="AR102"/>
      <c r="AS102"/>
      <c r="AT102"/>
      <c r="AU102"/>
      <c r="AV102"/>
    </row>
    <row r="103" spans="41:48" x14ac:dyDescent="0.35">
      <c r="AO103"/>
      <c r="AP103"/>
      <c r="AQ103"/>
      <c r="AR103"/>
      <c r="AS103"/>
      <c r="AT103"/>
      <c r="AU103"/>
      <c r="AV103"/>
    </row>
    <row r="104" spans="41:48" x14ac:dyDescent="0.35">
      <c r="AO104"/>
      <c r="AP104"/>
      <c r="AQ104"/>
      <c r="AR104"/>
      <c r="AS104"/>
      <c r="AT104"/>
      <c r="AU104"/>
      <c r="AV104"/>
    </row>
    <row r="105" spans="41:48" x14ac:dyDescent="0.35">
      <c r="AO105"/>
      <c r="AP105"/>
      <c r="AQ105"/>
      <c r="AR105"/>
      <c r="AS105"/>
      <c r="AT105"/>
      <c r="AU105"/>
      <c r="AV105"/>
    </row>
    <row r="106" spans="41:48" x14ac:dyDescent="0.35">
      <c r="AO106"/>
      <c r="AP106"/>
      <c r="AQ106"/>
      <c r="AR106"/>
      <c r="AS106"/>
      <c r="AT106"/>
      <c r="AU106"/>
      <c r="AV106"/>
    </row>
    <row r="107" spans="41:48" x14ac:dyDescent="0.35">
      <c r="AO107"/>
      <c r="AP107"/>
      <c r="AQ107"/>
      <c r="AR107"/>
      <c r="AS107"/>
      <c r="AT107"/>
      <c r="AU107"/>
      <c r="AV107"/>
    </row>
    <row r="108" spans="41:48" x14ac:dyDescent="0.35">
      <c r="AO108"/>
      <c r="AP108"/>
      <c r="AQ108"/>
      <c r="AR108"/>
      <c r="AS108"/>
      <c r="AT108"/>
      <c r="AU108"/>
      <c r="AV108"/>
    </row>
    <row r="109" spans="41:48" x14ac:dyDescent="0.35">
      <c r="AO109"/>
      <c r="AP109"/>
      <c r="AQ109"/>
      <c r="AR109"/>
      <c r="AS109"/>
      <c r="AT109"/>
      <c r="AU109"/>
      <c r="AV109"/>
    </row>
    <row r="110" spans="41:48" x14ac:dyDescent="0.35">
      <c r="AO110"/>
      <c r="AP110"/>
      <c r="AQ110"/>
      <c r="AR110"/>
      <c r="AS110"/>
      <c r="AT110"/>
      <c r="AU110"/>
      <c r="AV110"/>
    </row>
    <row r="111" spans="41:48" x14ac:dyDescent="0.35">
      <c r="AO111"/>
      <c r="AP111"/>
      <c r="AQ111"/>
      <c r="AR111"/>
      <c r="AS111"/>
      <c r="AT111"/>
      <c r="AU111"/>
      <c r="AV111"/>
    </row>
    <row r="112" spans="41:48" x14ac:dyDescent="0.35">
      <c r="AO112"/>
      <c r="AP112"/>
      <c r="AQ112"/>
      <c r="AR112"/>
      <c r="AS112"/>
      <c r="AT112"/>
      <c r="AU112"/>
      <c r="AV112"/>
    </row>
    <row r="113" spans="41:48" x14ac:dyDescent="0.35">
      <c r="AO113"/>
      <c r="AP113"/>
      <c r="AQ113"/>
      <c r="AR113"/>
      <c r="AS113"/>
      <c r="AT113"/>
      <c r="AU113"/>
      <c r="AV113"/>
    </row>
    <row r="114" spans="41:48" x14ac:dyDescent="0.35">
      <c r="AO114"/>
      <c r="AP114"/>
      <c r="AQ114"/>
      <c r="AR114"/>
      <c r="AS114"/>
      <c r="AT114"/>
      <c r="AU114"/>
      <c r="AV114"/>
    </row>
    <row r="115" spans="41:48" x14ac:dyDescent="0.35">
      <c r="AO115"/>
      <c r="AP115"/>
      <c r="AQ115"/>
      <c r="AR115"/>
      <c r="AS115"/>
      <c r="AT115"/>
      <c r="AU115"/>
      <c r="AV115"/>
    </row>
    <row r="116" spans="41:48" x14ac:dyDescent="0.35">
      <c r="AO116"/>
      <c r="AP116"/>
      <c r="AQ116"/>
      <c r="AR116"/>
      <c r="AS116"/>
      <c r="AT116"/>
      <c r="AU116"/>
      <c r="AV116"/>
    </row>
    <row r="117" spans="41:48" x14ac:dyDescent="0.35">
      <c r="AO117"/>
      <c r="AP117"/>
      <c r="AQ117"/>
      <c r="AR117"/>
      <c r="AS117"/>
      <c r="AT117"/>
      <c r="AU117"/>
      <c r="AV117"/>
    </row>
    <row r="118" spans="41:48" x14ac:dyDescent="0.35">
      <c r="AO118"/>
      <c r="AP118"/>
      <c r="AQ118"/>
      <c r="AR118"/>
      <c r="AS118"/>
      <c r="AT118"/>
      <c r="AU118"/>
      <c r="AV118"/>
    </row>
    <row r="119" spans="41:48" x14ac:dyDescent="0.35">
      <c r="AO119"/>
      <c r="AP119"/>
      <c r="AQ119"/>
      <c r="AR119"/>
      <c r="AS119"/>
      <c r="AT119"/>
      <c r="AU119"/>
      <c r="AV119"/>
    </row>
    <row r="120" spans="41:48" x14ac:dyDescent="0.35">
      <c r="AO120"/>
      <c r="AP120"/>
      <c r="AQ120"/>
      <c r="AR120"/>
      <c r="AS120"/>
      <c r="AT120"/>
      <c r="AU120"/>
      <c r="AV120"/>
    </row>
    <row r="121" spans="41:48" x14ac:dyDescent="0.35">
      <c r="AO121"/>
      <c r="AP121"/>
      <c r="AQ121"/>
      <c r="AR121"/>
      <c r="AS121"/>
      <c r="AT121"/>
      <c r="AU121"/>
      <c r="AV121"/>
    </row>
    <row r="122" spans="41:48" x14ac:dyDescent="0.35">
      <c r="AO122"/>
      <c r="AP122"/>
      <c r="AQ122"/>
      <c r="AR122"/>
      <c r="AS122"/>
      <c r="AT122"/>
      <c r="AU122"/>
      <c r="AV122"/>
    </row>
    <row r="123" spans="41:48" x14ac:dyDescent="0.35">
      <c r="AO123"/>
      <c r="AP123"/>
      <c r="AQ123"/>
      <c r="AR123"/>
      <c r="AS123"/>
      <c r="AT123"/>
      <c r="AU123"/>
      <c r="AV123"/>
    </row>
    <row r="124" spans="41:48" x14ac:dyDescent="0.35">
      <c r="AO124"/>
      <c r="AP124"/>
      <c r="AQ124"/>
      <c r="AR124"/>
      <c r="AS124"/>
      <c r="AT124"/>
      <c r="AU124"/>
      <c r="AV124"/>
    </row>
    <row r="125" spans="41:48" x14ac:dyDescent="0.35">
      <c r="AO125"/>
      <c r="AP125"/>
      <c r="AQ125"/>
      <c r="AR125"/>
      <c r="AS125"/>
      <c r="AT125"/>
      <c r="AU125"/>
      <c r="AV125"/>
    </row>
    <row r="126" spans="41:48" x14ac:dyDescent="0.35">
      <c r="AO126"/>
      <c r="AP126"/>
      <c r="AQ126"/>
      <c r="AR126"/>
      <c r="AS126"/>
      <c r="AT126"/>
      <c r="AU126"/>
      <c r="AV126"/>
    </row>
    <row r="127" spans="41:48" x14ac:dyDescent="0.35">
      <c r="AO127"/>
      <c r="AP127"/>
      <c r="AQ127"/>
      <c r="AR127"/>
      <c r="AS127"/>
      <c r="AT127"/>
      <c r="AU127"/>
      <c r="AV127"/>
    </row>
    <row r="128" spans="41:48" x14ac:dyDescent="0.35">
      <c r="AO128"/>
      <c r="AP128"/>
      <c r="AQ128"/>
      <c r="AR128"/>
      <c r="AS128"/>
      <c r="AT128"/>
      <c r="AU128"/>
      <c r="AV128"/>
    </row>
    <row r="129" spans="41:48" x14ac:dyDescent="0.35">
      <c r="AO129"/>
      <c r="AP129"/>
      <c r="AQ129"/>
      <c r="AR129"/>
      <c r="AS129"/>
      <c r="AT129"/>
      <c r="AU129"/>
      <c r="AV129"/>
    </row>
    <row r="130" spans="41:48" x14ac:dyDescent="0.35">
      <c r="AO130"/>
      <c r="AP130"/>
      <c r="AQ130"/>
      <c r="AR130"/>
      <c r="AS130"/>
      <c r="AT130"/>
      <c r="AU130"/>
      <c r="AV130"/>
    </row>
    <row r="131" spans="41:48" x14ac:dyDescent="0.35">
      <c r="AO131"/>
      <c r="AP131"/>
      <c r="AQ131"/>
      <c r="AR131"/>
      <c r="AS131"/>
      <c r="AT131"/>
      <c r="AU131"/>
      <c r="AV131"/>
    </row>
    <row r="132" spans="41:48" x14ac:dyDescent="0.35">
      <c r="AO132"/>
      <c r="AP132"/>
      <c r="AQ132"/>
      <c r="AR132"/>
      <c r="AS132"/>
      <c r="AT132"/>
      <c r="AU132"/>
      <c r="AV132"/>
    </row>
    <row r="133" spans="41:48" x14ac:dyDescent="0.35">
      <c r="AO133"/>
      <c r="AP133"/>
      <c r="AQ133"/>
      <c r="AR133"/>
      <c r="AS133"/>
      <c r="AT133"/>
      <c r="AU133"/>
      <c r="AV133"/>
    </row>
    <row r="134" spans="41:48" x14ac:dyDescent="0.35">
      <c r="AO134"/>
      <c r="AP134"/>
      <c r="AQ134"/>
      <c r="AR134"/>
      <c r="AS134"/>
      <c r="AT134"/>
      <c r="AU134"/>
      <c r="AV134"/>
    </row>
    <row r="135" spans="41:48" x14ac:dyDescent="0.35">
      <c r="AO135"/>
      <c r="AP135"/>
      <c r="AQ135"/>
      <c r="AR135"/>
      <c r="AS135"/>
      <c r="AT135"/>
      <c r="AU135"/>
      <c r="AV135"/>
    </row>
    <row r="136" spans="41:48" x14ac:dyDescent="0.35">
      <c r="AO136"/>
      <c r="AP136"/>
      <c r="AQ136"/>
      <c r="AR136"/>
      <c r="AS136"/>
      <c r="AT136"/>
      <c r="AU136"/>
      <c r="AV136"/>
    </row>
    <row r="137" spans="41:48" x14ac:dyDescent="0.35">
      <c r="AO137"/>
      <c r="AP137"/>
      <c r="AQ137"/>
      <c r="AR137"/>
      <c r="AS137"/>
      <c r="AT137"/>
      <c r="AU137"/>
      <c r="AV137"/>
    </row>
    <row r="138" spans="41:48" x14ac:dyDescent="0.35">
      <c r="AO138"/>
      <c r="AP138"/>
      <c r="AQ138"/>
      <c r="AR138"/>
      <c r="AS138"/>
      <c r="AT138"/>
      <c r="AU138"/>
      <c r="AV138"/>
    </row>
    <row r="139" spans="41:48" x14ac:dyDescent="0.35">
      <c r="AO139"/>
      <c r="AP139"/>
      <c r="AQ139"/>
      <c r="AR139"/>
      <c r="AS139"/>
      <c r="AT139"/>
      <c r="AU139"/>
      <c r="AV139"/>
    </row>
    <row r="140" spans="41:48" x14ac:dyDescent="0.35">
      <c r="AO140"/>
      <c r="AP140"/>
      <c r="AQ140"/>
      <c r="AR140"/>
      <c r="AS140"/>
      <c r="AT140"/>
      <c r="AU140"/>
      <c r="AV140"/>
    </row>
    <row r="141" spans="41:48" x14ac:dyDescent="0.35">
      <c r="AO141"/>
      <c r="AP141"/>
      <c r="AQ141"/>
      <c r="AR141"/>
      <c r="AS141"/>
      <c r="AT141"/>
      <c r="AU141"/>
      <c r="AV141"/>
    </row>
    <row r="142" spans="41:48" x14ac:dyDescent="0.35">
      <c r="AO142"/>
      <c r="AP142"/>
      <c r="AQ142"/>
      <c r="AR142"/>
      <c r="AS142"/>
      <c r="AT142"/>
      <c r="AU142"/>
      <c r="AV142"/>
    </row>
    <row r="143" spans="41:48" x14ac:dyDescent="0.35">
      <c r="AO143"/>
      <c r="AP143"/>
      <c r="AQ143"/>
      <c r="AR143"/>
      <c r="AS143"/>
      <c r="AT143"/>
      <c r="AU143"/>
      <c r="AV143"/>
    </row>
    <row r="144" spans="41:48" x14ac:dyDescent="0.35">
      <c r="AO144"/>
      <c r="AP144"/>
      <c r="AQ144"/>
      <c r="AR144"/>
      <c r="AS144"/>
      <c r="AT144"/>
      <c r="AU144"/>
      <c r="AV144"/>
    </row>
    <row r="145" spans="41:48" x14ac:dyDescent="0.35">
      <c r="AO145"/>
      <c r="AP145"/>
      <c r="AQ145"/>
      <c r="AR145"/>
      <c r="AS145"/>
      <c r="AT145"/>
      <c r="AU145"/>
      <c r="AV145"/>
    </row>
    <row r="146" spans="41:48" x14ac:dyDescent="0.35">
      <c r="AO146"/>
      <c r="AP146"/>
      <c r="AQ146"/>
      <c r="AR146"/>
      <c r="AS146"/>
      <c r="AT146"/>
      <c r="AU146"/>
      <c r="AV146"/>
    </row>
    <row r="147" spans="41:48" x14ac:dyDescent="0.35">
      <c r="AO147"/>
      <c r="AP147"/>
      <c r="AQ147"/>
      <c r="AR147"/>
      <c r="AS147"/>
      <c r="AT147"/>
      <c r="AU147"/>
      <c r="AV147"/>
    </row>
    <row r="148" spans="41:48" x14ac:dyDescent="0.35">
      <c r="AO148"/>
      <c r="AP148"/>
      <c r="AQ148"/>
      <c r="AR148"/>
      <c r="AS148"/>
      <c r="AT148"/>
      <c r="AU148"/>
      <c r="AV148"/>
    </row>
    <row r="149" spans="41:48" x14ac:dyDescent="0.35">
      <c r="AO149"/>
      <c r="AP149"/>
      <c r="AQ149"/>
      <c r="AR149"/>
      <c r="AS149"/>
      <c r="AT149"/>
      <c r="AU149"/>
      <c r="AV149"/>
    </row>
    <row r="150" spans="41:48" x14ac:dyDescent="0.35">
      <c r="AO150"/>
      <c r="AP150"/>
      <c r="AQ150"/>
      <c r="AR150"/>
      <c r="AS150"/>
      <c r="AT150"/>
      <c r="AU150"/>
      <c r="AV150"/>
    </row>
    <row r="151" spans="41:48" x14ac:dyDescent="0.35">
      <c r="AO151"/>
      <c r="AP151"/>
      <c r="AQ151"/>
      <c r="AR151"/>
      <c r="AS151"/>
      <c r="AT151"/>
      <c r="AU151"/>
      <c r="AV151"/>
    </row>
    <row r="152" spans="41:48" x14ac:dyDescent="0.35">
      <c r="AO152"/>
      <c r="AP152"/>
      <c r="AQ152"/>
      <c r="AR152"/>
      <c r="AS152"/>
      <c r="AT152"/>
      <c r="AU152"/>
      <c r="AV152"/>
    </row>
    <row r="153" spans="41:48" x14ac:dyDescent="0.35">
      <c r="AO153"/>
      <c r="AP153"/>
      <c r="AQ153"/>
      <c r="AR153"/>
      <c r="AS153"/>
      <c r="AT153"/>
      <c r="AU153"/>
      <c r="AV153"/>
    </row>
    <row r="154" spans="41:48" x14ac:dyDescent="0.35">
      <c r="AO154"/>
      <c r="AP154"/>
      <c r="AQ154"/>
      <c r="AR154"/>
      <c r="AS154"/>
      <c r="AT154"/>
      <c r="AU154"/>
      <c r="AV154"/>
    </row>
    <row r="155" spans="41:48" x14ac:dyDescent="0.35">
      <c r="AO155"/>
      <c r="AP155"/>
      <c r="AQ155"/>
      <c r="AR155"/>
      <c r="AS155"/>
      <c r="AT155"/>
      <c r="AU155"/>
      <c r="AV155"/>
    </row>
    <row r="156" spans="41:48" x14ac:dyDescent="0.35">
      <c r="AO156"/>
      <c r="AP156"/>
      <c r="AQ156"/>
      <c r="AR156"/>
      <c r="AS156"/>
      <c r="AT156"/>
      <c r="AU156"/>
      <c r="AV156"/>
    </row>
    <row r="157" spans="41:48" x14ac:dyDescent="0.35">
      <c r="AO157"/>
      <c r="AP157"/>
      <c r="AQ157"/>
      <c r="AR157"/>
      <c r="AS157"/>
      <c r="AT157"/>
      <c r="AU157"/>
      <c r="AV157"/>
    </row>
    <row r="158" spans="41:48" x14ac:dyDescent="0.35">
      <c r="AO158"/>
      <c r="AP158"/>
      <c r="AQ158"/>
      <c r="AR158"/>
      <c r="AS158"/>
      <c r="AT158"/>
      <c r="AU158"/>
      <c r="AV158"/>
    </row>
    <row r="159" spans="41:48" x14ac:dyDescent="0.35">
      <c r="AO159"/>
      <c r="AP159"/>
      <c r="AQ159"/>
      <c r="AR159"/>
      <c r="AS159"/>
      <c r="AT159"/>
      <c r="AU159"/>
      <c r="AV159"/>
    </row>
    <row r="160" spans="41:48" x14ac:dyDescent="0.35">
      <c r="AO160"/>
      <c r="AP160"/>
      <c r="AQ160"/>
      <c r="AR160"/>
      <c r="AS160"/>
      <c r="AT160"/>
      <c r="AU160"/>
      <c r="AV160"/>
    </row>
    <row r="161" spans="41:48" x14ac:dyDescent="0.35">
      <c r="AO161"/>
      <c r="AP161"/>
      <c r="AQ161"/>
      <c r="AR161"/>
      <c r="AS161"/>
      <c r="AT161"/>
      <c r="AU161"/>
      <c r="AV161"/>
    </row>
    <row r="162" spans="41:48" x14ac:dyDescent="0.35">
      <c r="AO162"/>
      <c r="AP162"/>
      <c r="AQ162"/>
      <c r="AR162"/>
      <c r="AS162"/>
      <c r="AT162"/>
      <c r="AU162"/>
      <c r="AV162"/>
    </row>
    <row r="163" spans="41:48" x14ac:dyDescent="0.35">
      <c r="AO163"/>
      <c r="AP163"/>
      <c r="AQ163"/>
      <c r="AR163"/>
      <c r="AS163"/>
      <c r="AT163"/>
      <c r="AU163"/>
      <c r="AV163"/>
    </row>
    <row r="164" spans="41:48" x14ac:dyDescent="0.35">
      <c r="AO164"/>
      <c r="AP164"/>
      <c r="AQ164"/>
      <c r="AR164"/>
      <c r="AS164"/>
      <c r="AT164"/>
      <c r="AU164"/>
      <c r="AV164"/>
    </row>
    <row r="165" spans="41:48" x14ac:dyDescent="0.35">
      <c r="AO165"/>
      <c r="AP165"/>
      <c r="AQ165"/>
      <c r="AR165"/>
      <c r="AS165"/>
      <c r="AT165"/>
      <c r="AU165"/>
      <c r="AV165"/>
    </row>
    <row r="166" spans="41:48" x14ac:dyDescent="0.35">
      <c r="AO166"/>
      <c r="AP166"/>
      <c r="AQ166"/>
      <c r="AR166"/>
      <c r="AS166"/>
      <c r="AT166"/>
      <c r="AU166"/>
      <c r="AV166"/>
    </row>
    <row r="167" spans="41:48" x14ac:dyDescent="0.35">
      <c r="AO167"/>
      <c r="AP167"/>
      <c r="AQ167"/>
      <c r="AR167"/>
      <c r="AS167"/>
      <c r="AT167"/>
      <c r="AU167"/>
      <c r="AV167"/>
    </row>
    <row r="168" spans="41:48" x14ac:dyDescent="0.35">
      <c r="AO168"/>
      <c r="AP168"/>
      <c r="AQ168"/>
      <c r="AR168"/>
      <c r="AS168"/>
      <c r="AT168"/>
      <c r="AU168"/>
      <c r="AV168"/>
    </row>
    <row r="169" spans="41:48" x14ac:dyDescent="0.35">
      <c r="AO169"/>
      <c r="AP169"/>
      <c r="AQ169"/>
      <c r="AR169"/>
      <c r="AS169"/>
      <c r="AT169"/>
      <c r="AU169"/>
      <c r="AV169"/>
    </row>
    <row r="170" spans="41:48" x14ac:dyDescent="0.35">
      <c r="AO170"/>
      <c r="AP170"/>
      <c r="AQ170"/>
      <c r="AR170"/>
      <c r="AS170"/>
      <c r="AT170"/>
      <c r="AU170"/>
      <c r="AV170"/>
    </row>
    <row r="171" spans="41:48" x14ac:dyDescent="0.35">
      <c r="AO171"/>
      <c r="AP171"/>
      <c r="AQ171"/>
      <c r="AR171"/>
      <c r="AS171"/>
      <c r="AT171"/>
      <c r="AU171"/>
      <c r="AV171"/>
    </row>
    <row r="172" spans="41:48" x14ac:dyDescent="0.35">
      <c r="AO172"/>
      <c r="AP172"/>
      <c r="AQ172"/>
      <c r="AR172"/>
      <c r="AS172"/>
      <c r="AT172"/>
      <c r="AU172"/>
      <c r="AV172"/>
    </row>
    <row r="173" spans="41:48" x14ac:dyDescent="0.35">
      <c r="AO173"/>
      <c r="AP173"/>
      <c r="AQ173"/>
      <c r="AR173"/>
      <c r="AS173"/>
      <c r="AT173"/>
      <c r="AU173"/>
      <c r="AV173"/>
    </row>
    <row r="174" spans="41:48" x14ac:dyDescent="0.35">
      <c r="AO174"/>
      <c r="AP174"/>
      <c r="AQ174"/>
      <c r="AR174"/>
      <c r="AS174"/>
      <c r="AT174"/>
      <c r="AU174"/>
      <c r="AV174"/>
    </row>
    <row r="175" spans="41:48" x14ac:dyDescent="0.35">
      <c r="AO175"/>
      <c r="AP175"/>
      <c r="AQ175"/>
      <c r="AR175"/>
      <c r="AS175"/>
      <c r="AT175"/>
      <c r="AU175"/>
      <c r="AV175"/>
    </row>
    <row r="176" spans="41:48" x14ac:dyDescent="0.35">
      <c r="AO176"/>
      <c r="AP176"/>
      <c r="AQ176"/>
      <c r="AR176"/>
      <c r="AS176"/>
      <c r="AT176"/>
      <c r="AU176"/>
      <c r="AV176"/>
    </row>
    <row r="177" spans="41:48" x14ac:dyDescent="0.35">
      <c r="AO177"/>
      <c r="AP177"/>
      <c r="AQ177"/>
      <c r="AR177"/>
      <c r="AS177"/>
      <c r="AT177"/>
      <c r="AU177"/>
      <c r="AV177"/>
    </row>
    <row r="178" spans="41:48" x14ac:dyDescent="0.35">
      <c r="AO178"/>
      <c r="AP178"/>
      <c r="AQ178"/>
      <c r="AR178"/>
      <c r="AS178"/>
      <c r="AT178"/>
      <c r="AU178"/>
      <c r="AV178"/>
    </row>
    <row r="179" spans="41:48" x14ac:dyDescent="0.35">
      <c r="AO179"/>
      <c r="AP179"/>
      <c r="AQ179"/>
      <c r="AR179"/>
      <c r="AS179"/>
      <c r="AT179"/>
      <c r="AU179"/>
      <c r="AV179"/>
    </row>
    <row r="180" spans="41:48" x14ac:dyDescent="0.35">
      <c r="AO180"/>
      <c r="AP180"/>
      <c r="AQ180"/>
      <c r="AR180"/>
      <c r="AS180"/>
      <c r="AT180"/>
      <c r="AU180"/>
      <c r="AV180"/>
    </row>
    <row r="181" spans="41:48" x14ac:dyDescent="0.35">
      <c r="AO181"/>
      <c r="AP181"/>
      <c r="AQ181"/>
      <c r="AR181"/>
      <c r="AS181"/>
      <c r="AT181"/>
      <c r="AU181"/>
      <c r="AV181"/>
    </row>
    <row r="182" spans="41:48" x14ac:dyDescent="0.35">
      <c r="AO182"/>
      <c r="AP182"/>
      <c r="AQ182"/>
      <c r="AR182"/>
      <c r="AS182"/>
      <c r="AT182"/>
      <c r="AU182"/>
      <c r="AV182"/>
    </row>
    <row r="183" spans="41:48" x14ac:dyDescent="0.35">
      <c r="AO183"/>
      <c r="AP183"/>
      <c r="AQ183"/>
      <c r="AR183"/>
      <c r="AS183"/>
      <c r="AT183"/>
      <c r="AU183"/>
      <c r="AV183"/>
    </row>
    <row r="184" spans="41:48" x14ac:dyDescent="0.35">
      <c r="AO184"/>
      <c r="AP184"/>
      <c r="AQ184"/>
      <c r="AR184"/>
      <c r="AS184"/>
      <c r="AT184"/>
      <c r="AU184"/>
      <c r="AV184"/>
    </row>
    <row r="185" spans="41:48" x14ac:dyDescent="0.35">
      <c r="AO185"/>
      <c r="AP185"/>
      <c r="AQ185"/>
      <c r="AR185"/>
      <c r="AS185"/>
      <c r="AT185"/>
      <c r="AU185"/>
      <c r="AV185"/>
    </row>
    <row r="186" spans="41:48" x14ac:dyDescent="0.35">
      <c r="AO186"/>
      <c r="AP186"/>
      <c r="AQ186"/>
      <c r="AR186"/>
      <c r="AS186"/>
      <c r="AT186"/>
      <c r="AU186"/>
      <c r="AV186"/>
    </row>
    <row r="187" spans="41:48" x14ac:dyDescent="0.35">
      <c r="AO187"/>
      <c r="AP187"/>
      <c r="AQ187"/>
      <c r="AR187"/>
      <c r="AS187"/>
      <c r="AT187"/>
      <c r="AU187"/>
      <c r="AV187"/>
    </row>
    <row r="188" spans="41:48" x14ac:dyDescent="0.35">
      <c r="AO188"/>
      <c r="AP188"/>
      <c r="AQ188"/>
      <c r="AR188"/>
      <c r="AS188"/>
      <c r="AT188"/>
      <c r="AU188"/>
      <c r="AV188"/>
    </row>
    <row r="189" spans="41:48" x14ac:dyDescent="0.35">
      <c r="AO189"/>
      <c r="AP189"/>
      <c r="AQ189"/>
      <c r="AR189"/>
      <c r="AS189"/>
      <c r="AT189"/>
      <c r="AU189"/>
      <c r="AV189"/>
    </row>
    <row r="190" spans="41:48" x14ac:dyDescent="0.35">
      <c r="AO190"/>
      <c r="AP190"/>
      <c r="AQ190"/>
      <c r="AR190"/>
      <c r="AS190"/>
      <c r="AT190"/>
      <c r="AU190"/>
      <c r="AV190"/>
    </row>
    <row r="191" spans="41:48" x14ac:dyDescent="0.35">
      <c r="AO191"/>
      <c r="AP191"/>
      <c r="AQ191"/>
      <c r="AR191"/>
      <c r="AS191"/>
      <c r="AT191"/>
      <c r="AU191"/>
      <c r="AV191"/>
    </row>
    <row r="192" spans="41:48" x14ac:dyDescent="0.35">
      <c r="AO192"/>
      <c r="AP192"/>
      <c r="AQ192"/>
      <c r="AR192"/>
      <c r="AS192"/>
      <c r="AT192"/>
      <c r="AU192"/>
      <c r="AV192"/>
    </row>
    <row r="193" spans="41:48" x14ac:dyDescent="0.35">
      <c r="AO193"/>
      <c r="AP193"/>
      <c r="AQ193"/>
      <c r="AR193"/>
      <c r="AS193"/>
      <c r="AT193"/>
      <c r="AU193"/>
      <c r="AV193"/>
    </row>
    <row r="194" spans="41:48" x14ac:dyDescent="0.35">
      <c r="AO194"/>
      <c r="AP194"/>
      <c r="AQ194"/>
      <c r="AR194"/>
      <c r="AS194"/>
      <c r="AT194"/>
      <c r="AU194"/>
      <c r="AV194"/>
    </row>
    <row r="195" spans="41:48" x14ac:dyDescent="0.35">
      <c r="AO195"/>
      <c r="AP195"/>
      <c r="AQ195"/>
      <c r="AR195"/>
      <c r="AS195"/>
      <c r="AT195"/>
      <c r="AU195"/>
      <c r="AV195"/>
    </row>
    <row r="196" spans="41:48" x14ac:dyDescent="0.35">
      <c r="AO196"/>
      <c r="AP196"/>
      <c r="AQ196"/>
      <c r="AR196"/>
      <c r="AS196"/>
      <c r="AT196"/>
      <c r="AU196"/>
      <c r="AV196"/>
    </row>
    <row r="197" spans="41:48" x14ac:dyDescent="0.35">
      <c r="AO197"/>
      <c r="AP197"/>
      <c r="AQ197"/>
      <c r="AR197"/>
      <c r="AS197"/>
      <c r="AT197"/>
      <c r="AU197"/>
      <c r="AV197"/>
    </row>
    <row r="198" spans="41:48" x14ac:dyDescent="0.35">
      <c r="AO198"/>
      <c r="AP198"/>
      <c r="AQ198"/>
      <c r="AR198"/>
      <c r="AS198"/>
      <c r="AT198"/>
      <c r="AU198"/>
      <c r="AV198"/>
    </row>
    <row r="199" spans="41:48" x14ac:dyDescent="0.35">
      <c r="AO199"/>
      <c r="AP199"/>
      <c r="AQ199"/>
      <c r="AR199"/>
      <c r="AS199"/>
      <c r="AT199"/>
      <c r="AU199"/>
      <c r="AV199"/>
    </row>
    <row r="200" spans="41:48" x14ac:dyDescent="0.35">
      <c r="AO200"/>
      <c r="AP200"/>
      <c r="AQ200"/>
      <c r="AR200"/>
      <c r="AS200"/>
      <c r="AT200"/>
      <c r="AU200"/>
      <c r="AV200"/>
    </row>
    <row r="201" spans="41:48" x14ac:dyDescent="0.35">
      <c r="AO201"/>
      <c r="AP201"/>
      <c r="AQ201"/>
      <c r="AR201"/>
      <c r="AS201"/>
      <c r="AT201"/>
      <c r="AU201"/>
      <c r="AV201"/>
    </row>
    <row r="202" spans="41:48" x14ac:dyDescent="0.35">
      <c r="AO202"/>
      <c r="AP202"/>
      <c r="AQ202"/>
      <c r="AR202"/>
      <c r="AS202"/>
      <c r="AT202"/>
      <c r="AU202"/>
      <c r="AV202"/>
    </row>
    <row r="203" spans="41:48" x14ac:dyDescent="0.35">
      <c r="AO203"/>
      <c r="AP203"/>
      <c r="AQ203"/>
      <c r="AR203"/>
      <c r="AS203"/>
      <c r="AT203"/>
      <c r="AU203"/>
      <c r="AV203"/>
    </row>
    <row r="204" spans="41:48" x14ac:dyDescent="0.35">
      <c r="AO204"/>
      <c r="AP204"/>
      <c r="AQ204"/>
      <c r="AR204"/>
      <c r="AS204"/>
      <c r="AT204"/>
      <c r="AU204"/>
      <c r="AV204"/>
    </row>
    <row r="205" spans="41:48" x14ac:dyDescent="0.35">
      <c r="AO205"/>
      <c r="AP205"/>
      <c r="AQ205"/>
      <c r="AR205"/>
      <c r="AS205"/>
      <c r="AT205"/>
      <c r="AU205"/>
      <c r="AV205"/>
    </row>
    <row r="206" spans="41:48" x14ac:dyDescent="0.35">
      <c r="AO206"/>
      <c r="AP206"/>
      <c r="AQ206"/>
      <c r="AR206"/>
      <c r="AS206"/>
      <c r="AT206"/>
      <c r="AU206"/>
      <c r="AV206"/>
    </row>
    <row r="207" spans="41:48" x14ac:dyDescent="0.35">
      <c r="AO207"/>
      <c r="AP207"/>
      <c r="AQ207"/>
      <c r="AR207"/>
      <c r="AS207"/>
      <c r="AT207"/>
      <c r="AU207"/>
      <c r="AV207"/>
    </row>
    <row r="208" spans="41:48" x14ac:dyDescent="0.35">
      <c r="AO208"/>
      <c r="AP208"/>
      <c r="AQ208"/>
      <c r="AR208"/>
      <c r="AS208"/>
      <c r="AT208"/>
      <c r="AU208"/>
      <c r="AV208"/>
    </row>
    <row r="209" spans="41:48" x14ac:dyDescent="0.35">
      <c r="AO209"/>
      <c r="AP209"/>
      <c r="AQ209"/>
      <c r="AR209"/>
      <c r="AS209"/>
      <c r="AT209"/>
      <c r="AU209"/>
      <c r="AV209"/>
    </row>
    <row r="210" spans="41:48" x14ac:dyDescent="0.35">
      <c r="AO210"/>
      <c r="AP210"/>
      <c r="AQ210"/>
      <c r="AR210"/>
      <c r="AS210"/>
      <c r="AT210"/>
      <c r="AU210"/>
      <c r="AV210"/>
    </row>
    <row r="211" spans="41:48" x14ac:dyDescent="0.35">
      <c r="AO211"/>
      <c r="AP211"/>
      <c r="AQ211"/>
      <c r="AR211"/>
      <c r="AS211"/>
      <c r="AT211"/>
      <c r="AU211"/>
      <c r="AV211"/>
    </row>
    <row r="212" spans="41:48" x14ac:dyDescent="0.35">
      <c r="AO212"/>
      <c r="AP212"/>
      <c r="AQ212"/>
      <c r="AR212"/>
      <c r="AS212"/>
      <c r="AT212"/>
      <c r="AU212"/>
      <c r="AV212"/>
    </row>
    <row r="213" spans="41:48" x14ac:dyDescent="0.35">
      <c r="AO213"/>
      <c r="AP213"/>
      <c r="AQ213"/>
      <c r="AR213"/>
      <c r="AS213"/>
      <c r="AT213"/>
      <c r="AU213"/>
      <c r="AV213"/>
    </row>
    <row r="214" spans="41:48" x14ac:dyDescent="0.35">
      <c r="AO214"/>
      <c r="AP214"/>
      <c r="AQ214"/>
      <c r="AR214"/>
      <c r="AS214"/>
      <c r="AT214"/>
      <c r="AU214"/>
      <c r="AV214"/>
    </row>
    <row r="215" spans="41:48" x14ac:dyDescent="0.35">
      <c r="AO215"/>
      <c r="AP215"/>
      <c r="AQ215"/>
      <c r="AR215"/>
      <c r="AS215"/>
      <c r="AT215"/>
      <c r="AU215"/>
      <c r="AV215"/>
    </row>
    <row r="216" spans="41:48" x14ac:dyDescent="0.35">
      <c r="AO216"/>
      <c r="AP216"/>
      <c r="AQ216"/>
      <c r="AR216"/>
      <c r="AS216"/>
      <c r="AT216"/>
      <c r="AU216"/>
      <c r="AV216"/>
    </row>
    <row r="217" spans="41:48" x14ac:dyDescent="0.35">
      <c r="AO217"/>
      <c r="AP217"/>
      <c r="AQ217"/>
      <c r="AR217"/>
      <c r="AS217"/>
      <c r="AT217"/>
      <c r="AU217"/>
      <c r="AV217"/>
    </row>
    <row r="218" spans="41:48" x14ac:dyDescent="0.35">
      <c r="AO218"/>
      <c r="AP218"/>
      <c r="AQ218"/>
      <c r="AR218"/>
      <c r="AS218"/>
      <c r="AT218"/>
      <c r="AU218"/>
      <c r="AV218"/>
    </row>
    <row r="219" spans="41:48" x14ac:dyDescent="0.35">
      <c r="AO219"/>
      <c r="AP219"/>
      <c r="AQ219"/>
      <c r="AR219"/>
      <c r="AS219"/>
      <c r="AT219"/>
      <c r="AU219"/>
      <c r="AV219"/>
    </row>
    <row r="220" spans="41:48" x14ac:dyDescent="0.35">
      <c r="AO220"/>
      <c r="AP220"/>
      <c r="AQ220"/>
      <c r="AR220"/>
      <c r="AS220"/>
      <c r="AT220"/>
      <c r="AU220"/>
      <c r="AV220"/>
    </row>
    <row r="221" spans="41:48" x14ac:dyDescent="0.35">
      <c r="AO221"/>
      <c r="AP221"/>
      <c r="AQ221"/>
      <c r="AR221"/>
      <c r="AS221"/>
      <c r="AT221"/>
      <c r="AU221"/>
      <c r="AV221"/>
    </row>
    <row r="222" spans="41:48" x14ac:dyDescent="0.35">
      <c r="AO222"/>
      <c r="AP222"/>
      <c r="AQ222"/>
      <c r="AR222"/>
      <c r="AS222"/>
      <c r="AT222"/>
      <c r="AU222"/>
      <c r="AV222"/>
    </row>
    <row r="223" spans="41:48" x14ac:dyDescent="0.35">
      <c r="AO223"/>
      <c r="AP223"/>
      <c r="AQ223"/>
      <c r="AR223"/>
      <c r="AS223"/>
      <c r="AT223"/>
      <c r="AU223"/>
      <c r="AV223"/>
    </row>
    <row r="224" spans="41:48" x14ac:dyDescent="0.35">
      <c r="AO224"/>
      <c r="AP224"/>
      <c r="AQ224"/>
      <c r="AR224"/>
      <c r="AS224"/>
      <c r="AT224"/>
      <c r="AU224"/>
      <c r="AV224"/>
    </row>
    <row r="225" spans="41:48" x14ac:dyDescent="0.35">
      <c r="AO225"/>
      <c r="AP225"/>
      <c r="AQ225"/>
      <c r="AR225"/>
      <c r="AS225"/>
      <c r="AT225"/>
      <c r="AU225"/>
      <c r="AV225"/>
    </row>
    <row r="226" spans="41:48" x14ac:dyDescent="0.35">
      <c r="AO226"/>
      <c r="AP226"/>
      <c r="AQ226"/>
      <c r="AR226"/>
      <c r="AS226"/>
      <c r="AT226"/>
      <c r="AU226"/>
      <c r="AV226"/>
    </row>
    <row r="227" spans="41:48" x14ac:dyDescent="0.35">
      <c r="AO227"/>
      <c r="AP227"/>
      <c r="AQ227"/>
      <c r="AR227"/>
      <c r="AS227"/>
      <c r="AT227"/>
      <c r="AU227"/>
      <c r="AV227"/>
    </row>
    <row r="228" spans="41:48" x14ac:dyDescent="0.35">
      <c r="AO228"/>
      <c r="AP228"/>
      <c r="AQ228"/>
      <c r="AR228"/>
      <c r="AS228"/>
      <c r="AT228"/>
      <c r="AU228"/>
      <c r="AV228"/>
    </row>
    <row r="229" spans="41:48" x14ac:dyDescent="0.35">
      <c r="AO229"/>
      <c r="AP229"/>
      <c r="AQ229"/>
      <c r="AR229"/>
      <c r="AS229"/>
      <c r="AT229"/>
      <c r="AU229"/>
      <c r="AV229"/>
    </row>
    <row r="230" spans="41:48" x14ac:dyDescent="0.35">
      <c r="AO230"/>
      <c r="AP230"/>
      <c r="AQ230"/>
      <c r="AR230"/>
      <c r="AS230"/>
      <c r="AT230"/>
      <c r="AU230"/>
      <c r="AV230"/>
    </row>
    <row r="231" spans="41:48" x14ac:dyDescent="0.35">
      <c r="AO231"/>
      <c r="AP231"/>
      <c r="AQ231"/>
      <c r="AR231"/>
      <c r="AS231"/>
      <c r="AT231"/>
      <c r="AU231"/>
      <c r="AV231"/>
    </row>
    <row r="232" spans="41:48" x14ac:dyDescent="0.35">
      <c r="AO232"/>
      <c r="AP232"/>
      <c r="AQ232"/>
      <c r="AR232"/>
      <c r="AS232"/>
      <c r="AT232"/>
      <c r="AU232"/>
      <c r="AV232"/>
    </row>
    <row r="233" spans="41:48" x14ac:dyDescent="0.35">
      <c r="AO233"/>
      <c r="AP233"/>
      <c r="AQ233"/>
      <c r="AR233"/>
      <c r="AS233"/>
      <c r="AT233"/>
      <c r="AU233"/>
      <c r="AV233"/>
    </row>
    <row r="234" spans="41:48" x14ac:dyDescent="0.35">
      <c r="AO234"/>
      <c r="AP234"/>
      <c r="AQ234"/>
      <c r="AR234"/>
      <c r="AS234"/>
      <c r="AT234"/>
      <c r="AU234"/>
      <c r="AV234"/>
    </row>
    <row r="235" spans="41:48" x14ac:dyDescent="0.35">
      <c r="AO235"/>
      <c r="AP235"/>
      <c r="AQ235"/>
      <c r="AR235"/>
      <c r="AS235"/>
      <c r="AT235"/>
      <c r="AU235"/>
      <c r="AV235"/>
    </row>
    <row r="236" spans="41:48" x14ac:dyDescent="0.35">
      <c r="AO236"/>
      <c r="AP236"/>
      <c r="AQ236"/>
      <c r="AR236"/>
      <c r="AS236"/>
      <c r="AT236"/>
      <c r="AU236"/>
      <c r="AV236"/>
    </row>
    <row r="237" spans="41:48" x14ac:dyDescent="0.35">
      <c r="AO237"/>
      <c r="AP237"/>
      <c r="AQ237"/>
      <c r="AR237"/>
      <c r="AS237"/>
      <c r="AT237"/>
      <c r="AU237"/>
      <c r="AV237"/>
    </row>
    <row r="238" spans="41:48" x14ac:dyDescent="0.35">
      <c r="AO238"/>
      <c r="AP238"/>
      <c r="AQ238"/>
      <c r="AR238"/>
      <c r="AS238"/>
      <c r="AT238"/>
      <c r="AU238"/>
      <c r="AV238"/>
    </row>
    <row r="239" spans="41:48" x14ac:dyDescent="0.35">
      <c r="AO239"/>
      <c r="AP239"/>
      <c r="AQ239"/>
      <c r="AR239"/>
      <c r="AS239"/>
      <c r="AT239"/>
      <c r="AU239"/>
      <c r="AV239"/>
    </row>
    <row r="240" spans="41:48" x14ac:dyDescent="0.35">
      <c r="AO240"/>
      <c r="AP240"/>
      <c r="AQ240"/>
      <c r="AR240"/>
      <c r="AS240"/>
      <c r="AT240"/>
      <c r="AU240"/>
      <c r="AV240"/>
    </row>
    <row r="241" spans="41:48" x14ac:dyDescent="0.35">
      <c r="AO241"/>
      <c r="AP241"/>
      <c r="AQ241"/>
      <c r="AR241"/>
      <c r="AS241"/>
      <c r="AT241"/>
      <c r="AU241"/>
      <c r="AV241"/>
    </row>
    <row r="242" spans="41:48" x14ac:dyDescent="0.35">
      <c r="AO242"/>
      <c r="AP242"/>
      <c r="AQ242"/>
      <c r="AR242"/>
      <c r="AS242"/>
      <c r="AT242"/>
      <c r="AU242"/>
      <c r="AV242"/>
    </row>
    <row r="243" spans="41:48" x14ac:dyDescent="0.35">
      <c r="AO243"/>
      <c r="AP243"/>
      <c r="AQ243"/>
      <c r="AR243"/>
      <c r="AS243"/>
      <c r="AT243"/>
      <c r="AU243"/>
      <c r="AV243"/>
    </row>
    <row r="244" spans="41:48" x14ac:dyDescent="0.35">
      <c r="AO244"/>
      <c r="AP244"/>
      <c r="AQ244"/>
      <c r="AR244"/>
      <c r="AS244"/>
      <c r="AT244"/>
      <c r="AU244"/>
      <c r="AV244"/>
    </row>
    <row r="245" spans="41:48" x14ac:dyDescent="0.35">
      <c r="AO245"/>
      <c r="AP245"/>
      <c r="AQ245"/>
      <c r="AR245"/>
      <c r="AS245"/>
      <c r="AT245"/>
      <c r="AU245"/>
      <c r="AV245"/>
    </row>
    <row r="246" spans="41:48" x14ac:dyDescent="0.35">
      <c r="AO246"/>
      <c r="AP246"/>
      <c r="AQ246"/>
      <c r="AR246"/>
      <c r="AS246"/>
      <c r="AT246"/>
      <c r="AU246"/>
      <c r="AV246"/>
    </row>
    <row r="247" spans="41:48" x14ac:dyDescent="0.35">
      <c r="AO247"/>
      <c r="AP247"/>
      <c r="AQ247"/>
      <c r="AR247"/>
      <c r="AS247"/>
      <c r="AT247"/>
      <c r="AU247"/>
      <c r="AV247"/>
    </row>
    <row r="248" spans="41:48" x14ac:dyDescent="0.35">
      <c r="AO248"/>
      <c r="AP248"/>
      <c r="AQ248"/>
      <c r="AR248"/>
      <c r="AS248"/>
      <c r="AT248"/>
      <c r="AU248"/>
      <c r="AV248"/>
    </row>
    <row r="249" spans="41:48" x14ac:dyDescent="0.35">
      <c r="AO249"/>
      <c r="AP249"/>
      <c r="AQ249"/>
      <c r="AR249"/>
      <c r="AS249"/>
      <c r="AT249"/>
      <c r="AU249"/>
      <c r="AV249"/>
    </row>
    <row r="250" spans="41:48" x14ac:dyDescent="0.35">
      <c r="AO250"/>
      <c r="AP250"/>
      <c r="AQ250"/>
      <c r="AR250"/>
      <c r="AS250"/>
      <c r="AT250"/>
      <c r="AU250"/>
      <c r="AV250"/>
    </row>
    <row r="251" spans="41:48" x14ac:dyDescent="0.35">
      <c r="AO251"/>
      <c r="AP251"/>
      <c r="AQ251"/>
      <c r="AR251"/>
      <c r="AS251"/>
      <c r="AT251"/>
      <c r="AU251"/>
      <c r="AV251"/>
    </row>
    <row r="252" spans="41:48" x14ac:dyDescent="0.35">
      <c r="AO252"/>
      <c r="AP252"/>
      <c r="AQ252"/>
      <c r="AR252"/>
      <c r="AS252"/>
      <c r="AT252"/>
      <c r="AU252"/>
      <c r="AV252"/>
    </row>
    <row r="253" spans="41:48" x14ac:dyDescent="0.35">
      <c r="AO253"/>
      <c r="AP253"/>
      <c r="AQ253"/>
      <c r="AR253"/>
      <c r="AS253"/>
      <c r="AT253"/>
      <c r="AU253"/>
      <c r="AV253"/>
    </row>
    <row r="254" spans="41:48" x14ac:dyDescent="0.35">
      <c r="AO254"/>
      <c r="AP254"/>
      <c r="AQ254"/>
      <c r="AR254"/>
      <c r="AS254"/>
      <c r="AT254"/>
      <c r="AU254"/>
      <c r="AV254"/>
    </row>
    <row r="255" spans="41:48" x14ac:dyDescent="0.35">
      <c r="AO255"/>
      <c r="AP255"/>
      <c r="AQ255"/>
      <c r="AR255"/>
      <c r="AS255"/>
      <c r="AT255"/>
      <c r="AU255"/>
      <c r="AV255"/>
    </row>
    <row r="256" spans="41:48" x14ac:dyDescent="0.35">
      <c r="AO256"/>
      <c r="AP256"/>
      <c r="AQ256"/>
      <c r="AR256"/>
      <c r="AS256"/>
      <c r="AT256"/>
      <c r="AU256"/>
      <c r="AV256"/>
    </row>
    <row r="257" spans="41:48" x14ac:dyDescent="0.35">
      <c r="AO257"/>
      <c r="AP257"/>
      <c r="AQ257"/>
      <c r="AR257"/>
      <c r="AS257"/>
      <c r="AT257"/>
      <c r="AU257"/>
      <c r="AV257"/>
    </row>
    <row r="258" spans="41:48" x14ac:dyDescent="0.35">
      <c r="AO258"/>
      <c r="AP258"/>
      <c r="AQ258"/>
      <c r="AR258"/>
      <c r="AS258"/>
      <c r="AT258"/>
      <c r="AU258"/>
      <c r="AV258"/>
    </row>
    <row r="259" spans="41:48" x14ac:dyDescent="0.35">
      <c r="AO259"/>
      <c r="AP259"/>
      <c r="AQ259"/>
      <c r="AR259"/>
      <c r="AS259"/>
      <c r="AT259"/>
      <c r="AU259"/>
      <c r="AV259"/>
    </row>
    <row r="260" spans="41:48" x14ac:dyDescent="0.35">
      <c r="AO260"/>
      <c r="AP260"/>
      <c r="AQ260"/>
      <c r="AR260"/>
      <c r="AS260"/>
      <c r="AT260"/>
      <c r="AU260"/>
      <c r="AV260"/>
    </row>
    <row r="261" spans="41:48" x14ac:dyDescent="0.35">
      <c r="AO261"/>
      <c r="AP261"/>
      <c r="AQ261"/>
      <c r="AR261"/>
      <c r="AS261"/>
      <c r="AT261"/>
      <c r="AU261"/>
      <c r="AV261"/>
    </row>
    <row r="262" spans="41:48" x14ac:dyDescent="0.35">
      <c r="AO262"/>
      <c r="AP262"/>
      <c r="AQ262"/>
      <c r="AR262"/>
      <c r="AS262"/>
      <c r="AT262"/>
      <c r="AU262"/>
      <c r="AV262"/>
    </row>
    <row r="263" spans="41:48" x14ac:dyDescent="0.35">
      <c r="AO263"/>
      <c r="AP263"/>
      <c r="AQ263"/>
      <c r="AR263"/>
      <c r="AS263"/>
      <c r="AT263"/>
      <c r="AU263"/>
      <c r="AV263"/>
    </row>
    <row r="264" spans="41:48" x14ac:dyDescent="0.35">
      <c r="AO264"/>
      <c r="AP264"/>
      <c r="AQ264"/>
      <c r="AR264"/>
      <c r="AS264"/>
      <c r="AT264"/>
      <c r="AU264"/>
      <c r="AV264"/>
    </row>
    <row r="265" spans="41:48" x14ac:dyDescent="0.35">
      <c r="AO265"/>
      <c r="AP265"/>
      <c r="AQ265"/>
      <c r="AR265"/>
      <c r="AS265"/>
      <c r="AT265"/>
      <c r="AU265"/>
      <c r="AV265"/>
    </row>
    <row r="266" spans="41:48" x14ac:dyDescent="0.35">
      <c r="AO266"/>
      <c r="AP266"/>
      <c r="AQ266"/>
      <c r="AR266"/>
      <c r="AS266"/>
      <c r="AT266"/>
      <c r="AU266"/>
      <c r="AV266"/>
    </row>
    <row r="267" spans="41:48" x14ac:dyDescent="0.35">
      <c r="AO267"/>
      <c r="AP267"/>
      <c r="AQ267"/>
      <c r="AR267"/>
      <c r="AS267"/>
      <c r="AT267"/>
      <c r="AU267"/>
      <c r="AV267"/>
    </row>
    <row r="268" spans="41:48" x14ac:dyDescent="0.35">
      <c r="AO268"/>
      <c r="AP268"/>
      <c r="AQ268"/>
      <c r="AR268"/>
      <c r="AS268"/>
      <c r="AT268"/>
      <c r="AU268"/>
      <c r="AV268"/>
    </row>
    <row r="269" spans="41:48" x14ac:dyDescent="0.35">
      <c r="AO269"/>
      <c r="AP269"/>
      <c r="AQ269"/>
      <c r="AR269"/>
      <c r="AS269"/>
      <c r="AT269"/>
      <c r="AU269"/>
      <c r="AV269"/>
    </row>
    <row r="270" spans="41:48" x14ac:dyDescent="0.35">
      <c r="AO270"/>
      <c r="AP270"/>
      <c r="AQ270"/>
      <c r="AR270"/>
      <c r="AS270"/>
      <c r="AT270"/>
      <c r="AU270"/>
      <c r="AV270"/>
    </row>
    <row r="271" spans="41:48" x14ac:dyDescent="0.35">
      <c r="AO271"/>
      <c r="AP271"/>
      <c r="AQ271"/>
      <c r="AR271"/>
      <c r="AS271"/>
      <c r="AT271"/>
      <c r="AU271"/>
      <c r="AV271"/>
    </row>
    <row r="272" spans="41:48" x14ac:dyDescent="0.35">
      <c r="AO272"/>
      <c r="AP272"/>
      <c r="AQ272"/>
      <c r="AR272"/>
      <c r="AS272"/>
      <c r="AT272"/>
      <c r="AU272"/>
      <c r="AV272"/>
    </row>
    <row r="273" spans="41:48" x14ac:dyDescent="0.35">
      <c r="AO273"/>
      <c r="AP273"/>
      <c r="AQ273"/>
      <c r="AR273"/>
      <c r="AS273"/>
      <c r="AT273"/>
      <c r="AU273"/>
      <c r="AV273"/>
    </row>
    <row r="274" spans="41:48" x14ac:dyDescent="0.35">
      <c r="AO274"/>
      <c r="AP274"/>
      <c r="AQ274"/>
      <c r="AR274"/>
      <c r="AS274"/>
      <c r="AT274"/>
      <c r="AU274"/>
      <c r="AV274"/>
    </row>
    <row r="275" spans="41:48" x14ac:dyDescent="0.35">
      <c r="AO275"/>
      <c r="AP275"/>
      <c r="AQ275"/>
      <c r="AR275"/>
      <c r="AS275"/>
      <c r="AT275"/>
      <c r="AU275"/>
      <c r="AV275"/>
    </row>
    <row r="276" spans="41:48" x14ac:dyDescent="0.35">
      <c r="AO276"/>
      <c r="AP276"/>
      <c r="AQ276"/>
      <c r="AR276"/>
      <c r="AS276"/>
      <c r="AT276"/>
      <c r="AU276"/>
      <c r="AV276"/>
    </row>
    <row r="277" spans="41:48" x14ac:dyDescent="0.35">
      <c r="AO277"/>
      <c r="AP277"/>
      <c r="AQ277"/>
      <c r="AR277"/>
      <c r="AS277"/>
      <c r="AT277"/>
      <c r="AU277"/>
      <c r="AV277"/>
    </row>
    <row r="278" spans="41:48" x14ac:dyDescent="0.35">
      <c r="AO278"/>
      <c r="AP278"/>
      <c r="AQ278"/>
      <c r="AR278"/>
      <c r="AS278"/>
      <c r="AT278"/>
      <c r="AU278"/>
      <c r="AV278"/>
    </row>
    <row r="279" spans="41:48" x14ac:dyDescent="0.35">
      <c r="AO279"/>
      <c r="AP279"/>
      <c r="AQ279"/>
      <c r="AR279"/>
      <c r="AS279"/>
      <c r="AT279"/>
      <c r="AU279"/>
      <c r="AV279"/>
    </row>
    <row r="280" spans="41:48" x14ac:dyDescent="0.35">
      <c r="AO280"/>
      <c r="AP280"/>
      <c r="AQ280"/>
      <c r="AR280"/>
      <c r="AS280"/>
      <c r="AT280"/>
      <c r="AU280"/>
      <c r="AV280"/>
    </row>
    <row r="281" spans="41:48" x14ac:dyDescent="0.35">
      <c r="AO281"/>
      <c r="AP281"/>
      <c r="AQ281"/>
      <c r="AR281"/>
      <c r="AS281"/>
      <c r="AT281"/>
      <c r="AU281"/>
      <c r="AV281"/>
    </row>
    <row r="282" spans="41:48" x14ac:dyDescent="0.35">
      <c r="AO282"/>
      <c r="AP282"/>
      <c r="AQ282"/>
      <c r="AR282"/>
      <c r="AS282"/>
      <c r="AT282"/>
      <c r="AU282"/>
      <c r="AV282"/>
    </row>
    <row r="283" spans="41:48" x14ac:dyDescent="0.35">
      <c r="AO283"/>
      <c r="AP283"/>
      <c r="AQ283"/>
      <c r="AR283"/>
      <c r="AS283"/>
      <c r="AT283"/>
      <c r="AU283"/>
      <c r="AV283"/>
    </row>
    <row r="284" spans="41:48" x14ac:dyDescent="0.35">
      <c r="AO284"/>
      <c r="AP284"/>
      <c r="AQ284"/>
      <c r="AR284"/>
      <c r="AS284"/>
      <c r="AT284"/>
      <c r="AU284"/>
      <c r="AV284"/>
    </row>
    <row r="285" spans="41:48" x14ac:dyDescent="0.35">
      <c r="AO285"/>
      <c r="AP285"/>
      <c r="AQ285"/>
      <c r="AR285"/>
      <c r="AS285"/>
      <c r="AT285"/>
      <c r="AU285"/>
      <c r="AV285"/>
    </row>
    <row r="286" spans="41:48" x14ac:dyDescent="0.35">
      <c r="AO286"/>
      <c r="AP286"/>
      <c r="AQ286"/>
      <c r="AR286"/>
      <c r="AS286"/>
      <c r="AT286"/>
      <c r="AU286"/>
      <c r="AV286"/>
    </row>
    <row r="287" spans="41:48" x14ac:dyDescent="0.35">
      <c r="AO287"/>
      <c r="AP287"/>
      <c r="AQ287"/>
      <c r="AR287"/>
      <c r="AS287"/>
      <c r="AT287"/>
      <c r="AU287"/>
      <c r="AV287"/>
    </row>
    <row r="288" spans="41:48" x14ac:dyDescent="0.35">
      <c r="AO288"/>
      <c r="AP288"/>
      <c r="AQ288"/>
      <c r="AR288"/>
      <c r="AS288"/>
      <c r="AT288"/>
      <c r="AU288"/>
      <c r="AV288"/>
    </row>
    <row r="289" spans="41:48" x14ac:dyDescent="0.35">
      <c r="AO289"/>
      <c r="AP289"/>
      <c r="AQ289"/>
      <c r="AR289"/>
      <c r="AS289"/>
      <c r="AT289"/>
      <c r="AU289"/>
      <c r="AV289"/>
    </row>
    <row r="290" spans="41:48" x14ac:dyDescent="0.35">
      <c r="AO290"/>
      <c r="AP290"/>
      <c r="AQ290"/>
      <c r="AR290"/>
      <c r="AS290"/>
      <c r="AT290"/>
      <c r="AU290"/>
      <c r="AV290"/>
    </row>
    <row r="291" spans="41:48" x14ac:dyDescent="0.35">
      <c r="AO291"/>
      <c r="AP291"/>
      <c r="AQ291"/>
      <c r="AR291"/>
      <c r="AS291"/>
      <c r="AT291"/>
      <c r="AU291"/>
      <c r="AV291"/>
    </row>
    <row r="292" spans="41:48" x14ac:dyDescent="0.35">
      <c r="AO292"/>
      <c r="AP292"/>
      <c r="AQ292"/>
      <c r="AR292"/>
      <c r="AS292"/>
      <c r="AT292"/>
      <c r="AU292"/>
      <c r="AV292"/>
    </row>
    <row r="293" spans="41:48" x14ac:dyDescent="0.35">
      <c r="AO293"/>
      <c r="AP293"/>
      <c r="AQ293"/>
      <c r="AR293"/>
      <c r="AS293"/>
      <c r="AT293"/>
      <c r="AU293"/>
      <c r="AV293"/>
    </row>
    <row r="294" spans="41:48" x14ac:dyDescent="0.35">
      <c r="AO294"/>
      <c r="AP294"/>
      <c r="AQ294"/>
      <c r="AR294"/>
      <c r="AS294"/>
      <c r="AT294"/>
      <c r="AU294"/>
      <c r="AV294"/>
    </row>
    <row r="295" spans="41:48" x14ac:dyDescent="0.35">
      <c r="AO295"/>
      <c r="AP295"/>
      <c r="AQ295"/>
      <c r="AR295"/>
      <c r="AS295"/>
      <c r="AT295"/>
      <c r="AU295"/>
      <c r="AV295"/>
    </row>
    <row r="296" spans="41:48" x14ac:dyDescent="0.35">
      <c r="AO296"/>
      <c r="AP296"/>
      <c r="AQ296"/>
      <c r="AR296"/>
      <c r="AS296"/>
      <c r="AT296"/>
      <c r="AU296"/>
      <c r="AV296"/>
    </row>
    <row r="297" spans="41:48" x14ac:dyDescent="0.35">
      <c r="AO297"/>
      <c r="AP297"/>
      <c r="AQ297"/>
      <c r="AR297"/>
      <c r="AS297"/>
      <c r="AT297"/>
      <c r="AU297"/>
      <c r="AV297"/>
    </row>
    <row r="298" spans="41:48" x14ac:dyDescent="0.35">
      <c r="AO298"/>
      <c r="AP298"/>
      <c r="AQ298"/>
      <c r="AR298"/>
      <c r="AS298"/>
      <c r="AT298"/>
      <c r="AU298"/>
      <c r="AV298"/>
    </row>
    <row r="299" spans="41:48" x14ac:dyDescent="0.35">
      <c r="AO299"/>
      <c r="AP299"/>
      <c r="AQ299"/>
      <c r="AR299"/>
      <c r="AS299"/>
      <c r="AT299"/>
      <c r="AU299"/>
      <c r="AV299"/>
    </row>
    <row r="300" spans="41:48" x14ac:dyDescent="0.35">
      <c r="AO300"/>
      <c r="AP300"/>
      <c r="AQ300"/>
      <c r="AR300"/>
      <c r="AS300"/>
      <c r="AT300"/>
      <c r="AU300"/>
      <c r="AV300"/>
    </row>
    <row r="301" spans="41:48" x14ac:dyDescent="0.35">
      <c r="AO301"/>
      <c r="AP301"/>
      <c r="AQ301"/>
      <c r="AR301"/>
      <c r="AS301"/>
      <c r="AT301"/>
      <c r="AU301"/>
      <c r="AV301"/>
    </row>
    <row r="302" spans="41:48" x14ac:dyDescent="0.35">
      <c r="AO302"/>
      <c r="AP302"/>
      <c r="AQ302"/>
      <c r="AR302"/>
      <c r="AS302"/>
      <c r="AT302"/>
      <c r="AU302"/>
      <c r="AV302"/>
    </row>
    <row r="303" spans="41:48" x14ac:dyDescent="0.35">
      <c r="AO303"/>
      <c r="AP303"/>
      <c r="AQ303"/>
      <c r="AR303"/>
      <c r="AS303"/>
      <c r="AT303"/>
      <c r="AU303"/>
      <c r="AV303"/>
    </row>
    <row r="304" spans="41:48" x14ac:dyDescent="0.35">
      <c r="AO304"/>
      <c r="AP304"/>
      <c r="AQ304"/>
      <c r="AR304"/>
      <c r="AS304"/>
      <c r="AT304"/>
      <c r="AU304"/>
      <c r="AV304"/>
    </row>
    <row r="305" spans="41:48" x14ac:dyDescent="0.35">
      <c r="AO305"/>
      <c r="AP305"/>
      <c r="AQ305"/>
      <c r="AR305"/>
      <c r="AS305"/>
      <c r="AT305"/>
      <c r="AU305"/>
      <c r="AV305"/>
    </row>
    <row r="306" spans="41:48" x14ac:dyDescent="0.35">
      <c r="AO306"/>
      <c r="AP306"/>
      <c r="AQ306"/>
      <c r="AR306"/>
      <c r="AS306"/>
      <c r="AT306"/>
      <c r="AU306"/>
      <c r="AV306"/>
    </row>
    <row r="307" spans="41:48" x14ac:dyDescent="0.35">
      <c r="AO307"/>
      <c r="AP307"/>
      <c r="AQ307"/>
      <c r="AR307"/>
      <c r="AS307"/>
      <c r="AT307"/>
      <c r="AU307"/>
      <c r="AV307"/>
    </row>
    <row r="308" spans="41:48" x14ac:dyDescent="0.35">
      <c r="AO308"/>
      <c r="AP308"/>
      <c r="AQ308"/>
      <c r="AR308"/>
      <c r="AS308"/>
      <c r="AT308"/>
      <c r="AU308"/>
      <c r="AV308"/>
    </row>
    <row r="309" spans="41:48" x14ac:dyDescent="0.35">
      <c r="AO309"/>
      <c r="AP309"/>
      <c r="AQ309"/>
      <c r="AR309"/>
      <c r="AS309"/>
      <c r="AT309"/>
      <c r="AU309"/>
      <c r="AV309"/>
    </row>
    <row r="310" spans="41:48" x14ac:dyDescent="0.35">
      <c r="AO310"/>
      <c r="AP310"/>
      <c r="AQ310"/>
      <c r="AR310"/>
      <c r="AS310"/>
      <c r="AT310"/>
      <c r="AU310"/>
      <c r="AV310"/>
    </row>
    <row r="311" spans="41:48" x14ac:dyDescent="0.35">
      <c r="AO311"/>
      <c r="AP311"/>
      <c r="AQ311"/>
      <c r="AR311"/>
      <c r="AS311"/>
      <c r="AT311"/>
      <c r="AU311"/>
      <c r="AV311"/>
    </row>
    <row r="312" spans="41:48" x14ac:dyDescent="0.35">
      <c r="AO312"/>
      <c r="AP312"/>
      <c r="AQ312"/>
      <c r="AR312"/>
      <c r="AS312"/>
      <c r="AT312"/>
      <c r="AU312"/>
      <c r="AV312"/>
    </row>
    <row r="313" spans="41:48" x14ac:dyDescent="0.35">
      <c r="AO313"/>
      <c r="AP313"/>
      <c r="AQ313"/>
      <c r="AR313"/>
      <c r="AS313"/>
      <c r="AT313"/>
      <c r="AU313"/>
      <c r="AV313"/>
    </row>
    <row r="314" spans="41:48" x14ac:dyDescent="0.35">
      <c r="AO314"/>
      <c r="AP314"/>
      <c r="AQ314"/>
      <c r="AR314"/>
      <c r="AS314"/>
      <c r="AT314"/>
      <c r="AU314"/>
      <c r="AV314"/>
    </row>
    <row r="315" spans="41:48" x14ac:dyDescent="0.35">
      <c r="AO315"/>
      <c r="AP315"/>
      <c r="AQ315"/>
      <c r="AR315"/>
      <c r="AS315"/>
      <c r="AT315"/>
      <c r="AU315"/>
      <c r="AV315"/>
    </row>
    <row r="316" spans="41:48" x14ac:dyDescent="0.35">
      <c r="AO316"/>
      <c r="AP316"/>
      <c r="AQ316"/>
      <c r="AR316"/>
      <c r="AS316"/>
      <c r="AT316"/>
      <c r="AU316"/>
      <c r="AV316"/>
    </row>
    <row r="317" spans="41:48" x14ac:dyDescent="0.35">
      <c r="AO317"/>
      <c r="AP317"/>
      <c r="AQ317"/>
      <c r="AR317"/>
      <c r="AS317"/>
      <c r="AT317"/>
      <c r="AU317"/>
      <c r="AV317"/>
    </row>
    <row r="318" spans="41:48" x14ac:dyDescent="0.35">
      <c r="AO318"/>
      <c r="AP318"/>
      <c r="AQ318"/>
      <c r="AR318"/>
      <c r="AS318"/>
      <c r="AT318"/>
      <c r="AU318"/>
      <c r="AV318"/>
    </row>
    <row r="319" spans="41:48" x14ac:dyDescent="0.35">
      <c r="AO319"/>
      <c r="AP319"/>
      <c r="AQ319"/>
      <c r="AR319"/>
      <c r="AS319"/>
      <c r="AT319"/>
      <c r="AU319"/>
      <c r="AV319"/>
    </row>
    <row r="320" spans="41:48" x14ac:dyDescent="0.35">
      <c r="AO320"/>
      <c r="AP320"/>
      <c r="AQ320"/>
      <c r="AR320"/>
      <c r="AS320"/>
      <c r="AT320"/>
      <c r="AU320"/>
      <c r="AV320"/>
    </row>
    <row r="321" spans="41:48" x14ac:dyDescent="0.35">
      <c r="AO321"/>
      <c r="AP321"/>
      <c r="AQ321"/>
      <c r="AR321"/>
      <c r="AS321"/>
      <c r="AT321"/>
      <c r="AU321"/>
      <c r="AV321"/>
    </row>
    <row r="322" spans="41:48" x14ac:dyDescent="0.35">
      <c r="AO322"/>
      <c r="AP322"/>
      <c r="AQ322"/>
      <c r="AR322"/>
      <c r="AS322"/>
      <c r="AT322"/>
      <c r="AU322"/>
      <c r="AV322"/>
    </row>
    <row r="323" spans="41:48" x14ac:dyDescent="0.35">
      <c r="AO323"/>
      <c r="AP323"/>
      <c r="AQ323"/>
      <c r="AR323"/>
      <c r="AS323"/>
      <c r="AT323"/>
      <c r="AU323"/>
      <c r="AV323"/>
    </row>
    <row r="324" spans="41:48" x14ac:dyDescent="0.35">
      <c r="AO324"/>
      <c r="AP324"/>
      <c r="AQ324"/>
      <c r="AR324"/>
      <c r="AS324"/>
      <c r="AT324"/>
      <c r="AU324"/>
      <c r="AV324"/>
    </row>
    <row r="325" spans="41:48" x14ac:dyDescent="0.35">
      <c r="AO325"/>
      <c r="AP325"/>
      <c r="AQ325"/>
      <c r="AR325"/>
      <c r="AS325"/>
      <c r="AT325"/>
      <c r="AU325"/>
      <c r="AV325"/>
    </row>
    <row r="326" spans="41:48" x14ac:dyDescent="0.35">
      <c r="AO326"/>
      <c r="AP326"/>
      <c r="AQ326"/>
      <c r="AR326"/>
      <c r="AS326"/>
      <c r="AT326"/>
      <c r="AU326"/>
      <c r="AV326"/>
    </row>
    <row r="327" spans="41:48" x14ac:dyDescent="0.35">
      <c r="AO327"/>
      <c r="AP327"/>
      <c r="AQ327"/>
      <c r="AR327"/>
      <c r="AS327"/>
      <c r="AT327"/>
      <c r="AU327"/>
      <c r="AV327"/>
    </row>
    <row r="328" spans="41:48" x14ac:dyDescent="0.35">
      <c r="AO328"/>
      <c r="AP328"/>
      <c r="AQ328"/>
      <c r="AR328"/>
      <c r="AS328"/>
      <c r="AT328"/>
      <c r="AU328"/>
      <c r="AV328"/>
    </row>
    <row r="329" spans="41:48" x14ac:dyDescent="0.35">
      <c r="AO329"/>
      <c r="AP329"/>
      <c r="AQ329"/>
      <c r="AR329"/>
      <c r="AS329"/>
      <c r="AT329"/>
      <c r="AU329"/>
      <c r="AV329"/>
    </row>
    <row r="330" spans="41:48" x14ac:dyDescent="0.35">
      <c r="AO330"/>
      <c r="AP330"/>
      <c r="AQ330"/>
      <c r="AR330"/>
      <c r="AS330"/>
      <c r="AT330"/>
      <c r="AU330"/>
      <c r="AV330"/>
    </row>
    <row r="331" spans="41:48" x14ac:dyDescent="0.35">
      <c r="AO331"/>
      <c r="AP331"/>
      <c r="AQ331"/>
      <c r="AR331"/>
      <c r="AS331"/>
      <c r="AT331"/>
      <c r="AU331"/>
      <c r="AV331"/>
    </row>
    <row r="332" spans="41:48" x14ac:dyDescent="0.35">
      <c r="AO332"/>
      <c r="AP332"/>
      <c r="AQ332"/>
      <c r="AR332"/>
      <c r="AS332"/>
      <c r="AT332"/>
      <c r="AU332"/>
      <c r="AV332"/>
    </row>
    <row r="333" spans="41:48" x14ac:dyDescent="0.35">
      <c r="AO333"/>
      <c r="AP333"/>
      <c r="AQ333"/>
      <c r="AR333"/>
      <c r="AS333"/>
      <c r="AT333"/>
      <c r="AU333"/>
      <c r="AV333"/>
    </row>
    <row r="334" spans="41:48" x14ac:dyDescent="0.35">
      <c r="AO334"/>
      <c r="AP334"/>
      <c r="AQ334"/>
      <c r="AR334"/>
      <c r="AS334"/>
      <c r="AT334"/>
      <c r="AU334"/>
      <c r="AV334"/>
    </row>
    <row r="335" spans="41:48" x14ac:dyDescent="0.35">
      <c r="AO335"/>
      <c r="AP335"/>
      <c r="AQ335"/>
      <c r="AR335"/>
      <c r="AS335"/>
      <c r="AT335"/>
      <c r="AU335"/>
      <c r="AV335"/>
    </row>
    <row r="336" spans="41:48" x14ac:dyDescent="0.35">
      <c r="AO336"/>
      <c r="AP336"/>
      <c r="AQ336"/>
      <c r="AR336"/>
      <c r="AS336"/>
      <c r="AT336"/>
      <c r="AU336"/>
      <c r="AV336"/>
    </row>
    <row r="337" spans="41:48" x14ac:dyDescent="0.35">
      <c r="AO337"/>
      <c r="AP337"/>
      <c r="AQ337"/>
      <c r="AR337"/>
      <c r="AS337"/>
      <c r="AT337"/>
      <c r="AU337"/>
      <c r="AV337"/>
    </row>
    <row r="338" spans="41:48" x14ac:dyDescent="0.35">
      <c r="AO338"/>
      <c r="AP338"/>
      <c r="AQ338"/>
      <c r="AR338"/>
      <c r="AS338"/>
      <c r="AT338"/>
      <c r="AU338"/>
      <c r="AV338"/>
    </row>
    <row r="339" spans="41:48" x14ac:dyDescent="0.35">
      <c r="AO339"/>
      <c r="AP339"/>
      <c r="AQ339"/>
      <c r="AR339"/>
      <c r="AS339"/>
      <c r="AT339"/>
      <c r="AU339"/>
      <c r="AV339"/>
    </row>
    <row r="340" spans="41:48" x14ac:dyDescent="0.35">
      <c r="AO340"/>
      <c r="AP340"/>
      <c r="AQ340"/>
      <c r="AR340"/>
      <c r="AS340"/>
      <c r="AT340"/>
      <c r="AU340"/>
      <c r="AV340"/>
    </row>
    <row r="341" spans="41:48" x14ac:dyDescent="0.35">
      <c r="AO341"/>
      <c r="AP341"/>
      <c r="AQ341"/>
      <c r="AR341"/>
      <c r="AS341"/>
      <c r="AT341"/>
      <c r="AU341"/>
      <c r="AV341"/>
    </row>
    <row r="342" spans="41:48" x14ac:dyDescent="0.35">
      <c r="AO342"/>
      <c r="AP342"/>
      <c r="AQ342"/>
      <c r="AR342"/>
      <c r="AS342"/>
      <c r="AT342"/>
      <c r="AU342"/>
      <c r="AV342"/>
    </row>
    <row r="343" spans="41:48" x14ac:dyDescent="0.35">
      <c r="AO343"/>
      <c r="AP343"/>
      <c r="AQ343"/>
      <c r="AR343"/>
      <c r="AS343"/>
      <c r="AT343"/>
      <c r="AU343"/>
      <c r="AV343"/>
    </row>
    <row r="344" spans="41:48" x14ac:dyDescent="0.35">
      <c r="AO344"/>
      <c r="AP344"/>
      <c r="AQ344"/>
      <c r="AR344"/>
      <c r="AS344"/>
      <c r="AT344"/>
      <c r="AU344"/>
      <c r="AV344"/>
    </row>
    <row r="345" spans="41:48" x14ac:dyDescent="0.35">
      <c r="AO345"/>
      <c r="AP345"/>
      <c r="AQ345"/>
      <c r="AR345"/>
      <c r="AS345"/>
      <c r="AT345"/>
      <c r="AU345"/>
      <c r="AV345"/>
    </row>
    <row r="346" spans="41:48" x14ac:dyDescent="0.35">
      <c r="AO346"/>
      <c r="AP346"/>
      <c r="AQ346"/>
      <c r="AR346"/>
      <c r="AS346"/>
      <c r="AT346"/>
      <c r="AU346"/>
      <c r="AV346"/>
    </row>
    <row r="347" spans="41:48" x14ac:dyDescent="0.35">
      <c r="AO347"/>
      <c r="AP347"/>
      <c r="AQ347"/>
      <c r="AR347"/>
      <c r="AS347"/>
      <c r="AT347"/>
      <c r="AU347"/>
      <c r="AV347"/>
    </row>
    <row r="348" spans="41:48" x14ac:dyDescent="0.35">
      <c r="AO348"/>
      <c r="AP348"/>
      <c r="AQ348"/>
      <c r="AR348"/>
      <c r="AS348"/>
      <c r="AT348"/>
      <c r="AU348"/>
      <c r="AV348"/>
    </row>
    <row r="349" spans="41:48" x14ac:dyDescent="0.35">
      <c r="AO349"/>
      <c r="AP349"/>
      <c r="AQ349"/>
      <c r="AR349"/>
      <c r="AS349"/>
      <c r="AT349"/>
      <c r="AU349"/>
      <c r="AV349"/>
    </row>
    <row r="350" spans="41:48" x14ac:dyDescent="0.35">
      <c r="AO350"/>
      <c r="AP350"/>
      <c r="AQ350"/>
      <c r="AR350"/>
      <c r="AS350"/>
      <c r="AT350"/>
      <c r="AU350"/>
      <c r="AV350"/>
    </row>
    <row r="351" spans="41:48" x14ac:dyDescent="0.35">
      <c r="AO351"/>
      <c r="AP351"/>
      <c r="AQ351"/>
      <c r="AR351"/>
      <c r="AS351"/>
      <c r="AT351"/>
      <c r="AU351"/>
      <c r="AV351"/>
    </row>
    <row r="352" spans="41:48" x14ac:dyDescent="0.35">
      <c r="AO352"/>
      <c r="AP352"/>
      <c r="AQ352"/>
      <c r="AR352"/>
      <c r="AS352"/>
      <c r="AT352"/>
      <c r="AU352"/>
      <c r="AV352"/>
    </row>
    <row r="353" spans="41:48" x14ac:dyDescent="0.35">
      <c r="AO353"/>
      <c r="AP353"/>
      <c r="AQ353"/>
      <c r="AR353"/>
      <c r="AS353"/>
      <c r="AT353"/>
      <c r="AU353"/>
      <c r="AV353"/>
    </row>
    <row r="354" spans="41:48" x14ac:dyDescent="0.35">
      <c r="AO354"/>
      <c r="AP354"/>
      <c r="AQ354"/>
      <c r="AR354"/>
      <c r="AS354"/>
      <c r="AT354"/>
      <c r="AU354"/>
      <c r="AV354"/>
    </row>
    <row r="355" spans="41:48" x14ac:dyDescent="0.35">
      <c r="AO355"/>
      <c r="AP355"/>
      <c r="AQ355"/>
      <c r="AR355"/>
      <c r="AS355"/>
      <c r="AT355"/>
      <c r="AU355"/>
      <c r="AV355"/>
    </row>
    <row r="356" spans="41:48" x14ac:dyDescent="0.35">
      <c r="AO356"/>
      <c r="AP356"/>
      <c r="AQ356"/>
      <c r="AR356"/>
      <c r="AS356"/>
      <c r="AT356"/>
      <c r="AU356"/>
      <c r="AV356"/>
    </row>
    <row r="357" spans="41:48" x14ac:dyDescent="0.35">
      <c r="AO357"/>
      <c r="AP357"/>
      <c r="AQ357"/>
      <c r="AR357"/>
      <c r="AS357"/>
      <c r="AT357"/>
      <c r="AU357"/>
      <c r="AV357"/>
    </row>
    <row r="358" spans="41:48" x14ac:dyDescent="0.35">
      <c r="AO358"/>
      <c r="AP358"/>
      <c r="AQ358"/>
      <c r="AR358"/>
      <c r="AS358"/>
      <c r="AT358"/>
      <c r="AU358"/>
      <c r="AV358"/>
    </row>
    <row r="359" spans="41:48" x14ac:dyDescent="0.35">
      <c r="AO359"/>
      <c r="AP359"/>
      <c r="AQ359"/>
      <c r="AR359"/>
      <c r="AS359"/>
      <c r="AT359"/>
      <c r="AU359"/>
      <c r="AV359"/>
    </row>
    <row r="360" spans="41:48" x14ac:dyDescent="0.35">
      <c r="AO360"/>
      <c r="AP360"/>
      <c r="AQ360"/>
      <c r="AR360"/>
      <c r="AS360"/>
      <c r="AT360"/>
      <c r="AU360"/>
      <c r="AV360"/>
    </row>
    <row r="361" spans="41:48" x14ac:dyDescent="0.35">
      <c r="AO361"/>
      <c r="AP361"/>
      <c r="AQ361"/>
      <c r="AR361"/>
      <c r="AS361"/>
      <c r="AT361"/>
      <c r="AU361"/>
      <c r="AV361"/>
    </row>
    <row r="362" spans="41:48" x14ac:dyDescent="0.35">
      <c r="AO362"/>
      <c r="AP362"/>
      <c r="AQ362"/>
      <c r="AR362"/>
      <c r="AS362"/>
      <c r="AT362"/>
      <c r="AU362"/>
      <c r="AV362"/>
    </row>
    <row r="363" spans="41:48" x14ac:dyDescent="0.35">
      <c r="AO363"/>
      <c r="AP363"/>
      <c r="AQ363"/>
      <c r="AR363"/>
      <c r="AS363"/>
      <c r="AT363"/>
      <c r="AU363"/>
      <c r="AV363"/>
    </row>
    <row r="364" spans="41:48" x14ac:dyDescent="0.35">
      <c r="AO364"/>
      <c r="AP364"/>
      <c r="AQ364"/>
      <c r="AR364"/>
      <c r="AS364"/>
      <c r="AT364"/>
      <c r="AU364"/>
      <c r="AV364"/>
    </row>
    <row r="365" spans="41:48" x14ac:dyDescent="0.35">
      <c r="AO365"/>
      <c r="AP365"/>
      <c r="AQ365"/>
      <c r="AR365"/>
      <c r="AS365"/>
      <c r="AT365"/>
      <c r="AU365"/>
      <c r="AV365"/>
    </row>
    <row r="366" spans="41:48" x14ac:dyDescent="0.35">
      <c r="AO366"/>
      <c r="AP366"/>
      <c r="AQ366"/>
      <c r="AR366"/>
      <c r="AS366"/>
      <c r="AT366"/>
      <c r="AU366"/>
      <c r="AV366"/>
    </row>
    <row r="367" spans="41:48" x14ac:dyDescent="0.35">
      <c r="AO367"/>
      <c r="AP367"/>
      <c r="AQ367"/>
      <c r="AR367"/>
      <c r="AS367"/>
      <c r="AT367"/>
      <c r="AU367"/>
      <c r="AV367"/>
    </row>
    <row r="368" spans="41:48" x14ac:dyDescent="0.35">
      <c r="AO368"/>
      <c r="AP368"/>
      <c r="AQ368"/>
      <c r="AR368"/>
      <c r="AS368"/>
      <c r="AT368"/>
      <c r="AU368"/>
      <c r="AV368"/>
    </row>
    <row r="369" spans="41:48" x14ac:dyDescent="0.35">
      <c r="AO369"/>
      <c r="AP369"/>
      <c r="AQ369"/>
      <c r="AR369"/>
      <c r="AS369"/>
      <c r="AT369"/>
      <c r="AU369"/>
      <c r="AV369"/>
    </row>
    <row r="370" spans="41:48" x14ac:dyDescent="0.35">
      <c r="AO370"/>
      <c r="AP370"/>
      <c r="AQ370"/>
      <c r="AR370"/>
      <c r="AS370"/>
      <c r="AT370"/>
      <c r="AU370"/>
      <c r="AV370"/>
    </row>
    <row r="371" spans="41:48" x14ac:dyDescent="0.35">
      <c r="AO371"/>
      <c r="AP371"/>
      <c r="AQ371"/>
      <c r="AR371"/>
      <c r="AS371"/>
      <c r="AT371"/>
      <c r="AU371"/>
      <c r="AV371"/>
    </row>
    <row r="372" spans="41:48" x14ac:dyDescent="0.35">
      <c r="AO372"/>
      <c r="AP372"/>
      <c r="AQ372"/>
      <c r="AR372"/>
      <c r="AS372"/>
      <c r="AT372"/>
      <c r="AU372"/>
      <c r="AV372"/>
    </row>
    <row r="373" spans="41:48" x14ac:dyDescent="0.35">
      <c r="AO373"/>
      <c r="AP373"/>
      <c r="AQ373"/>
      <c r="AR373"/>
      <c r="AS373"/>
      <c r="AT373"/>
      <c r="AU373"/>
      <c r="AV373"/>
    </row>
    <row r="374" spans="41:48" x14ac:dyDescent="0.35">
      <c r="AO374"/>
      <c r="AP374"/>
      <c r="AQ374"/>
      <c r="AR374"/>
      <c r="AS374"/>
      <c r="AT374"/>
      <c r="AU374"/>
      <c r="AV374"/>
    </row>
    <row r="375" spans="41:48" x14ac:dyDescent="0.35">
      <c r="AO375"/>
      <c r="AP375"/>
      <c r="AQ375"/>
      <c r="AR375"/>
      <c r="AS375"/>
      <c r="AT375"/>
      <c r="AU375"/>
      <c r="AV375"/>
    </row>
    <row r="376" spans="41:48" x14ac:dyDescent="0.35">
      <c r="AO376"/>
      <c r="AP376"/>
      <c r="AQ376"/>
      <c r="AR376"/>
      <c r="AS376"/>
      <c r="AT376"/>
      <c r="AU376"/>
      <c r="AV376"/>
    </row>
    <row r="377" spans="41:48" x14ac:dyDescent="0.35">
      <c r="AO377"/>
      <c r="AP377"/>
      <c r="AQ377"/>
      <c r="AR377"/>
      <c r="AS377"/>
      <c r="AT377"/>
      <c r="AU377"/>
      <c r="AV377"/>
    </row>
    <row r="378" spans="41:48" x14ac:dyDescent="0.35">
      <c r="AO378"/>
      <c r="AP378"/>
      <c r="AQ378"/>
      <c r="AR378"/>
      <c r="AS378"/>
      <c r="AT378"/>
      <c r="AU378"/>
      <c r="AV378"/>
    </row>
    <row r="379" spans="41:48" x14ac:dyDescent="0.35">
      <c r="AO379"/>
      <c r="AP379"/>
      <c r="AQ379"/>
      <c r="AR379"/>
      <c r="AS379"/>
      <c r="AT379"/>
      <c r="AU379"/>
      <c r="AV379"/>
    </row>
    <row r="380" spans="41:48" x14ac:dyDescent="0.35">
      <c r="AO380"/>
      <c r="AP380"/>
      <c r="AQ380"/>
      <c r="AR380"/>
      <c r="AS380"/>
      <c r="AT380"/>
      <c r="AU380"/>
      <c r="AV380"/>
    </row>
    <row r="381" spans="41:48" x14ac:dyDescent="0.35">
      <c r="AO381"/>
      <c r="AP381"/>
      <c r="AQ381"/>
      <c r="AR381"/>
      <c r="AS381"/>
      <c r="AT381"/>
      <c r="AU381"/>
      <c r="AV381"/>
    </row>
    <row r="382" spans="41:48" x14ac:dyDescent="0.35">
      <c r="AO382"/>
      <c r="AP382"/>
      <c r="AQ382"/>
      <c r="AR382"/>
      <c r="AS382"/>
      <c r="AT382"/>
      <c r="AU382"/>
      <c r="AV382"/>
    </row>
    <row r="383" spans="41:48" x14ac:dyDescent="0.35">
      <c r="AO383"/>
      <c r="AP383"/>
      <c r="AQ383"/>
      <c r="AR383"/>
      <c r="AS383"/>
      <c r="AT383"/>
      <c r="AU383"/>
      <c r="AV383"/>
    </row>
    <row r="384" spans="41:48" x14ac:dyDescent="0.35">
      <c r="AO384"/>
      <c r="AP384"/>
      <c r="AQ384"/>
      <c r="AR384"/>
      <c r="AS384"/>
      <c r="AT384"/>
      <c r="AU384"/>
      <c r="AV384"/>
    </row>
    <row r="385" spans="41:48" x14ac:dyDescent="0.35">
      <c r="AO385"/>
      <c r="AP385"/>
      <c r="AQ385"/>
      <c r="AR385"/>
      <c r="AS385"/>
      <c r="AT385"/>
      <c r="AU385"/>
      <c r="AV385"/>
    </row>
    <row r="386" spans="41:48" x14ac:dyDescent="0.35">
      <c r="AO386"/>
      <c r="AP386"/>
      <c r="AQ386"/>
      <c r="AR386"/>
      <c r="AS386"/>
      <c r="AT386"/>
      <c r="AU386"/>
      <c r="AV386"/>
    </row>
    <row r="387" spans="41:48" x14ac:dyDescent="0.35">
      <c r="AO387"/>
      <c r="AP387"/>
      <c r="AQ387"/>
      <c r="AR387"/>
      <c r="AS387"/>
      <c r="AT387"/>
      <c r="AU387"/>
      <c r="AV387"/>
    </row>
    <row r="388" spans="41:48" x14ac:dyDescent="0.35">
      <c r="AO388"/>
      <c r="AP388"/>
      <c r="AQ388"/>
      <c r="AR388"/>
      <c r="AS388"/>
      <c r="AT388"/>
      <c r="AU388"/>
      <c r="AV388"/>
    </row>
    <row r="389" spans="41:48" x14ac:dyDescent="0.35">
      <c r="AO389"/>
      <c r="AP389"/>
      <c r="AQ389"/>
      <c r="AR389"/>
      <c r="AS389"/>
      <c r="AT389"/>
      <c r="AU389"/>
      <c r="AV389"/>
    </row>
    <row r="390" spans="41:48" x14ac:dyDescent="0.35">
      <c r="AO390"/>
      <c r="AP390"/>
      <c r="AQ390"/>
      <c r="AR390"/>
      <c r="AS390"/>
      <c r="AT390"/>
      <c r="AU390"/>
      <c r="AV390"/>
    </row>
    <row r="391" spans="41:48" x14ac:dyDescent="0.35">
      <c r="AO391"/>
      <c r="AP391"/>
      <c r="AQ391"/>
      <c r="AR391"/>
      <c r="AS391"/>
      <c r="AT391"/>
      <c r="AU391"/>
      <c r="AV391"/>
    </row>
    <row r="392" spans="41:48" x14ac:dyDescent="0.35">
      <c r="AO392"/>
      <c r="AP392"/>
      <c r="AQ392"/>
      <c r="AR392"/>
      <c r="AS392"/>
      <c r="AT392"/>
      <c r="AU392"/>
      <c r="AV392"/>
    </row>
    <row r="393" spans="41:48" x14ac:dyDescent="0.35">
      <c r="AO393"/>
      <c r="AP393"/>
      <c r="AQ393"/>
      <c r="AR393"/>
      <c r="AS393"/>
      <c r="AT393"/>
      <c r="AU393"/>
      <c r="AV393"/>
    </row>
    <row r="394" spans="41:48" x14ac:dyDescent="0.35">
      <c r="AO394"/>
      <c r="AP394"/>
      <c r="AQ394"/>
      <c r="AR394"/>
      <c r="AS394"/>
      <c r="AT394"/>
      <c r="AU394"/>
      <c r="AV394"/>
    </row>
    <row r="395" spans="41:48" x14ac:dyDescent="0.35">
      <c r="AO395"/>
      <c r="AP395"/>
      <c r="AQ395"/>
      <c r="AR395"/>
      <c r="AS395"/>
      <c r="AT395"/>
      <c r="AU395"/>
      <c r="AV395"/>
    </row>
    <row r="396" spans="41:48" x14ac:dyDescent="0.35">
      <c r="AO396"/>
      <c r="AP396"/>
      <c r="AQ396"/>
      <c r="AR396"/>
      <c r="AS396"/>
      <c r="AT396"/>
      <c r="AU396"/>
      <c r="AV396"/>
    </row>
    <row r="397" spans="41:48" x14ac:dyDescent="0.35">
      <c r="AO397"/>
      <c r="AP397"/>
      <c r="AQ397"/>
      <c r="AR397"/>
      <c r="AS397"/>
      <c r="AT397"/>
      <c r="AU397"/>
      <c r="AV397"/>
    </row>
    <row r="398" spans="41:48" x14ac:dyDescent="0.35">
      <c r="AO398"/>
      <c r="AP398"/>
      <c r="AQ398"/>
      <c r="AR398"/>
      <c r="AS398"/>
      <c r="AT398"/>
      <c r="AU398"/>
      <c r="AV398"/>
    </row>
    <row r="399" spans="41:48" x14ac:dyDescent="0.35">
      <c r="AO399"/>
      <c r="AP399"/>
      <c r="AQ399"/>
      <c r="AR399"/>
      <c r="AS399"/>
      <c r="AT399"/>
      <c r="AU399"/>
      <c r="AV399"/>
    </row>
    <row r="400" spans="41:48" x14ac:dyDescent="0.35">
      <c r="AO400"/>
      <c r="AP400"/>
      <c r="AQ400"/>
      <c r="AR400"/>
      <c r="AS400"/>
      <c r="AT400"/>
      <c r="AU400"/>
      <c r="AV400"/>
    </row>
    <row r="401" spans="41:48" x14ac:dyDescent="0.35">
      <c r="AO401"/>
      <c r="AP401"/>
      <c r="AQ401"/>
      <c r="AR401"/>
      <c r="AS401"/>
      <c r="AT401"/>
      <c r="AU401"/>
      <c r="AV401"/>
    </row>
    <row r="402" spans="41:48" x14ac:dyDescent="0.35">
      <c r="AO402"/>
      <c r="AP402"/>
      <c r="AQ402"/>
      <c r="AR402"/>
      <c r="AS402"/>
      <c r="AT402"/>
      <c r="AU402"/>
      <c r="AV402"/>
    </row>
    <row r="403" spans="41:48" x14ac:dyDescent="0.35">
      <c r="AO403"/>
      <c r="AP403"/>
      <c r="AQ403"/>
      <c r="AR403"/>
      <c r="AS403"/>
      <c r="AT403"/>
      <c r="AU403"/>
      <c r="AV403"/>
    </row>
    <row r="404" spans="41:48" x14ac:dyDescent="0.35">
      <c r="AO404"/>
      <c r="AP404"/>
      <c r="AQ404"/>
      <c r="AR404"/>
      <c r="AS404"/>
      <c r="AT404"/>
      <c r="AU404"/>
      <c r="AV404"/>
    </row>
    <row r="405" spans="41:48" x14ac:dyDescent="0.35">
      <c r="AO405"/>
      <c r="AP405"/>
      <c r="AQ405"/>
      <c r="AR405"/>
      <c r="AS405"/>
      <c r="AT405"/>
      <c r="AU405"/>
      <c r="AV405"/>
    </row>
    <row r="406" spans="41:48" x14ac:dyDescent="0.35">
      <c r="AO406"/>
      <c r="AP406"/>
      <c r="AQ406"/>
      <c r="AR406"/>
      <c r="AS406"/>
      <c r="AT406"/>
      <c r="AU406"/>
      <c r="AV406"/>
    </row>
    <row r="407" spans="41:48" x14ac:dyDescent="0.35">
      <c r="AO407"/>
      <c r="AP407"/>
      <c r="AQ407"/>
      <c r="AR407"/>
      <c r="AS407"/>
      <c r="AT407"/>
      <c r="AU407"/>
      <c r="AV407"/>
    </row>
    <row r="408" spans="41:48" x14ac:dyDescent="0.35">
      <c r="AO408"/>
      <c r="AP408"/>
      <c r="AQ408"/>
      <c r="AR408"/>
      <c r="AS408"/>
      <c r="AT408"/>
      <c r="AU408"/>
      <c r="AV408"/>
    </row>
    <row r="409" spans="41:48" x14ac:dyDescent="0.35">
      <c r="AO409"/>
      <c r="AP409"/>
      <c r="AQ409"/>
      <c r="AR409"/>
      <c r="AS409"/>
      <c r="AT409"/>
      <c r="AU409"/>
      <c r="AV409"/>
    </row>
    <row r="410" spans="41:48" x14ac:dyDescent="0.35">
      <c r="AO410"/>
      <c r="AP410"/>
      <c r="AQ410"/>
      <c r="AR410"/>
      <c r="AS410"/>
      <c r="AT410"/>
      <c r="AU410"/>
      <c r="AV410"/>
    </row>
    <row r="411" spans="41:48" x14ac:dyDescent="0.35">
      <c r="AO411"/>
      <c r="AP411"/>
      <c r="AQ411"/>
      <c r="AR411"/>
      <c r="AS411"/>
      <c r="AT411"/>
      <c r="AU411"/>
      <c r="AV411"/>
    </row>
    <row r="412" spans="41:48" x14ac:dyDescent="0.35">
      <c r="AO412"/>
      <c r="AP412"/>
      <c r="AQ412"/>
      <c r="AR412"/>
      <c r="AS412"/>
      <c r="AT412"/>
      <c r="AU412"/>
      <c r="AV412"/>
    </row>
    <row r="413" spans="41:48" x14ac:dyDescent="0.35">
      <c r="AO413"/>
      <c r="AP413"/>
      <c r="AQ413"/>
      <c r="AR413"/>
      <c r="AS413"/>
      <c r="AT413"/>
      <c r="AU413"/>
      <c r="AV413"/>
    </row>
    <row r="414" spans="41:48" x14ac:dyDescent="0.35">
      <c r="AO414"/>
      <c r="AP414"/>
      <c r="AQ414"/>
      <c r="AR414"/>
      <c r="AS414"/>
      <c r="AT414"/>
      <c r="AU414"/>
      <c r="AV414"/>
    </row>
    <row r="415" spans="41:48" x14ac:dyDescent="0.35">
      <c r="AO415"/>
      <c r="AP415"/>
      <c r="AQ415"/>
      <c r="AR415"/>
      <c r="AS415"/>
      <c r="AT415"/>
      <c r="AU415"/>
      <c r="AV415"/>
    </row>
    <row r="416" spans="41:48" x14ac:dyDescent="0.35">
      <c r="AO416"/>
      <c r="AP416"/>
      <c r="AQ416"/>
      <c r="AR416"/>
      <c r="AS416"/>
      <c r="AT416"/>
      <c r="AU416"/>
      <c r="AV416"/>
    </row>
    <row r="417" spans="41:48" x14ac:dyDescent="0.35">
      <c r="AO417"/>
      <c r="AP417"/>
      <c r="AQ417"/>
      <c r="AR417"/>
      <c r="AS417"/>
      <c r="AT417"/>
      <c r="AU417"/>
      <c r="AV417"/>
    </row>
    <row r="418" spans="41:48" x14ac:dyDescent="0.35">
      <c r="AO418"/>
      <c r="AP418"/>
      <c r="AQ418"/>
      <c r="AR418"/>
      <c r="AS418"/>
      <c r="AT418"/>
      <c r="AU418"/>
      <c r="AV418"/>
    </row>
    <row r="419" spans="41:48" x14ac:dyDescent="0.35">
      <c r="AO419"/>
      <c r="AP419"/>
      <c r="AQ419"/>
      <c r="AR419"/>
      <c r="AS419"/>
      <c r="AT419"/>
      <c r="AU419"/>
      <c r="AV419"/>
    </row>
    <row r="420" spans="41:48" x14ac:dyDescent="0.35">
      <c r="AO420"/>
      <c r="AP420"/>
      <c r="AQ420"/>
      <c r="AR420"/>
      <c r="AS420"/>
      <c r="AT420"/>
      <c r="AU420"/>
      <c r="AV420"/>
    </row>
    <row r="421" spans="41:48" x14ac:dyDescent="0.35">
      <c r="AO421"/>
      <c r="AP421"/>
      <c r="AQ421"/>
      <c r="AR421"/>
      <c r="AS421"/>
      <c r="AT421"/>
      <c r="AU421"/>
      <c r="AV421"/>
    </row>
    <row r="422" spans="41:48" x14ac:dyDescent="0.35">
      <c r="AO422"/>
      <c r="AP422"/>
      <c r="AQ422"/>
      <c r="AR422"/>
      <c r="AS422"/>
      <c r="AT422"/>
      <c r="AU422"/>
      <c r="AV422"/>
    </row>
    <row r="423" spans="41:48" x14ac:dyDescent="0.35">
      <c r="AO423"/>
      <c r="AP423"/>
      <c r="AQ423"/>
      <c r="AR423"/>
      <c r="AS423"/>
      <c r="AT423"/>
      <c r="AU423"/>
      <c r="AV423"/>
    </row>
    <row r="424" spans="41:48" x14ac:dyDescent="0.35">
      <c r="AO424"/>
      <c r="AP424"/>
      <c r="AQ424"/>
      <c r="AR424"/>
      <c r="AS424"/>
      <c r="AT424"/>
      <c r="AU424"/>
      <c r="AV424"/>
    </row>
    <row r="425" spans="41:48" x14ac:dyDescent="0.35">
      <c r="AO425"/>
      <c r="AP425"/>
      <c r="AQ425"/>
      <c r="AR425"/>
      <c r="AS425"/>
      <c r="AT425"/>
      <c r="AU425"/>
      <c r="AV425"/>
    </row>
    <row r="426" spans="41:48" x14ac:dyDescent="0.35">
      <c r="AO426"/>
      <c r="AP426"/>
      <c r="AQ426"/>
      <c r="AR426"/>
      <c r="AS426"/>
      <c r="AT426"/>
      <c r="AU426"/>
      <c r="AV426"/>
    </row>
    <row r="427" spans="41:48" x14ac:dyDescent="0.35">
      <c r="AO427"/>
      <c r="AP427"/>
      <c r="AQ427"/>
      <c r="AR427"/>
      <c r="AS427"/>
      <c r="AT427"/>
      <c r="AU427"/>
      <c r="AV427"/>
    </row>
    <row r="428" spans="41:48" x14ac:dyDescent="0.35">
      <c r="AO428"/>
      <c r="AP428"/>
      <c r="AQ428"/>
      <c r="AR428"/>
      <c r="AS428"/>
      <c r="AT428"/>
      <c r="AU428"/>
      <c r="AV428"/>
    </row>
    <row r="429" spans="41:48" x14ac:dyDescent="0.35">
      <c r="AO429"/>
      <c r="AP429"/>
      <c r="AQ429"/>
      <c r="AR429"/>
      <c r="AS429"/>
      <c r="AT429"/>
      <c r="AU429"/>
      <c r="AV429"/>
    </row>
    <row r="430" spans="41:48" x14ac:dyDescent="0.35">
      <c r="AO430"/>
      <c r="AP430"/>
      <c r="AQ430"/>
      <c r="AR430"/>
      <c r="AS430"/>
      <c r="AT430"/>
      <c r="AU430"/>
      <c r="AV430"/>
    </row>
    <row r="431" spans="41:48" x14ac:dyDescent="0.35">
      <c r="AO431"/>
      <c r="AP431"/>
      <c r="AQ431"/>
      <c r="AR431"/>
      <c r="AS431"/>
      <c r="AT431"/>
      <c r="AU431"/>
      <c r="AV431"/>
    </row>
    <row r="432" spans="41:48" x14ac:dyDescent="0.35">
      <c r="AO432"/>
      <c r="AP432"/>
      <c r="AQ432"/>
      <c r="AR432"/>
      <c r="AS432"/>
      <c r="AT432"/>
      <c r="AU432"/>
      <c r="AV432"/>
    </row>
    <row r="433" spans="41:48" x14ac:dyDescent="0.35">
      <c r="AO433"/>
      <c r="AP433"/>
      <c r="AQ433"/>
      <c r="AR433"/>
      <c r="AS433"/>
      <c r="AT433"/>
      <c r="AU433"/>
      <c r="AV433"/>
    </row>
    <row r="434" spans="41:48" x14ac:dyDescent="0.35">
      <c r="AO434"/>
      <c r="AP434"/>
      <c r="AQ434"/>
      <c r="AR434"/>
      <c r="AS434"/>
      <c r="AT434"/>
      <c r="AU434"/>
      <c r="AV434"/>
    </row>
    <row r="435" spans="41:48" x14ac:dyDescent="0.35">
      <c r="AO435"/>
      <c r="AP435"/>
      <c r="AQ435"/>
      <c r="AR435"/>
      <c r="AS435"/>
      <c r="AT435"/>
      <c r="AU435"/>
      <c r="AV435"/>
    </row>
    <row r="436" spans="41:48" x14ac:dyDescent="0.35">
      <c r="AO436"/>
      <c r="AP436"/>
      <c r="AQ436"/>
      <c r="AR436"/>
      <c r="AS436"/>
      <c r="AT436"/>
      <c r="AU436"/>
      <c r="AV436"/>
    </row>
    <row r="437" spans="41:48" x14ac:dyDescent="0.35">
      <c r="AO437"/>
      <c r="AP437"/>
      <c r="AQ437"/>
      <c r="AR437"/>
      <c r="AS437"/>
      <c r="AT437"/>
      <c r="AU437"/>
      <c r="AV437"/>
    </row>
    <row r="438" spans="41:48" x14ac:dyDescent="0.35">
      <c r="AO438"/>
      <c r="AP438"/>
      <c r="AQ438"/>
      <c r="AR438"/>
      <c r="AS438"/>
      <c r="AT438"/>
      <c r="AU438"/>
      <c r="AV438"/>
    </row>
    <row r="439" spans="41:48" x14ac:dyDescent="0.35">
      <c r="AO439"/>
      <c r="AP439"/>
      <c r="AQ439"/>
      <c r="AR439"/>
      <c r="AS439"/>
      <c r="AT439"/>
      <c r="AU439"/>
      <c r="AV439"/>
    </row>
    <row r="440" spans="41:48" x14ac:dyDescent="0.35">
      <c r="AO440"/>
      <c r="AP440"/>
      <c r="AQ440"/>
      <c r="AR440"/>
      <c r="AS440"/>
      <c r="AT440"/>
      <c r="AU440"/>
      <c r="AV440"/>
    </row>
    <row r="441" spans="41:48" x14ac:dyDescent="0.35">
      <c r="AO441"/>
      <c r="AP441"/>
      <c r="AQ441"/>
      <c r="AR441"/>
      <c r="AS441"/>
      <c r="AT441"/>
      <c r="AU441"/>
      <c r="AV441"/>
    </row>
    <row r="442" spans="41:48" x14ac:dyDescent="0.35">
      <c r="AO442"/>
      <c r="AP442"/>
      <c r="AQ442"/>
      <c r="AR442"/>
      <c r="AS442"/>
      <c r="AT442"/>
      <c r="AU442"/>
      <c r="AV442"/>
    </row>
    <row r="443" spans="41:48" x14ac:dyDescent="0.35">
      <c r="AO443"/>
      <c r="AP443"/>
      <c r="AQ443"/>
      <c r="AR443"/>
      <c r="AS443"/>
      <c r="AT443"/>
      <c r="AU443"/>
      <c r="AV443"/>
    </row>
    <row r="444" spans="41:48" x14ac:dyDescent="0.35">
      <c r="AO444"/>
      <c r="AP444"/>
      <c r="AQ444"/>
      <c r="AR444"/>
      <c r="AS444"/>
      <c r="AT444"/>
      <c r="AU444"/>
      <c r="AV444"/>
    </row>
    <row r="445" spans="41:48" x14ac:dyDescent="0.35">
      <c r="AO445"/>
      <c r="AP445"/>
      <c r="AQ445"/>
      <c r="AR445"/>
      <c r="AS445"/>
      <c r="AT445"/>
      <c r="AU445"/>
      <c r="AV445"/>
    </row>
    <row r="446" spans="41:48" x14ac:dyDescent="0.35">
      <c r="AO446"/>
      <c r="AP446"/>
      <c r="AQ446"/>
      <c r="AR446"/>
      <c r="AS446"/>
      <c r="AT446"/>
      <c r="AU446"/>
      <c r="AV446"/>
    </row>
    <row r="447" spans="41:48" x14ac:dyDescent="0.35">
      <c r="AO447"/>
      <c r="AP447"/>
      <c r="AQ447"/>
      <c r="AR447"/>
      <c r="AS447"/>
      <c r="AT447"/>
      <c r="AU447"/>
      <c r="AV447"/>
    </row>
    <row r="448" spans="41:48" x14ac:dyDescent="0.35">
      <c r="AO448"/>
      <c r="AP448"/>
      <c r="AQ448"/>
      <c r="AR448"/>
      <c r="AS448"/>
      <c r="AT448"/>
      <c r="AU448"/>
      <c r="AV448"/>
    </row>
    <row r="449" spans="41:48" x14ac:dyDescent="0.35">
      <c r="AO449"/>
      <c r="AP449"/>
      <c r="AQ449"/>
      <c r="AR449"/>
      <c r="AS449"/>
      <c r="AT449"/>
      <c r="AU449"/>
      <c r="AV449"/>
    </row>
    <row r="450" spans="41:48" x14ac:dyDescent="0.35">
      <c r="AO450"/>
      <c r="AP450"/>
      <c r="AQ450"/>
      <c r="AR450"/>
      <c r="AS450"/>
      <c r="AT450"/>
      <c r="AU450"/>
      <c r="AV450"/>
    </row>
    <row r="451" spans="41:48" x14ac:dyDescent="0.35">
      <c r="AO451"/>
      <c r="AP451"/>
      <c r="AQ451"/>
      <c r="AR451"/>
      <c r="AS451"/>
      <c r="AT451"/>
      <c r="AU451"/>
      <c r="AV451"/>
    </row>
    <row r="452" spans="41:48" x14ac:dyDescent="0.35">
      <c r="AO452"/>
      <c r="AP452"/>
      <c r="AQ452"/>
      <c r="AR452"/>
      <c r="AS452"/>
      <c r="AT452"/>
      <c r="AU452"/>
      <c r="AV452"/>
    </row>
    <row r="453" spans="41:48" x14ac:dyDescent="0.35">
      <c r="AO453"/>
      <c r="AP453"/>
      <c r="AQ453"/>
      <c r="AR453"/>
      <c r="AS453"/>
      <c r="AT453"/>
      <c r="AU453"/>
      <c r="AV453"/>
    </row>
    <row r="454" spans="41:48" x14ac:dyDescent="0.35">
      <c r="AO454"/>
      <c r="AP454"/>
      <c r="AQ454"/>
      <c r="AR454"/>
      <c r="AS454"/>
      <c r="AT454"/>
      <c r="AU454"/>
      <c r="AV454"/>
    </row>
    <row r="455" spans="41:48" x14ac:dyDescent="0.35">
      <c r="AO455"/>
      <c r="AP455"/>
      <c r="AQ455"/>
      <c r="AR455"/>
      <c r="AS455"/>
      <c r="AT455"/>
      <c r="AU455"/>
      <c r="AV455"/>
    </row>
    <row r="456" spans="41:48" x14ac:dyDescent="0.35">
      <c r="AO456"/>
      <c r="AP456"/>
      <c r="AQ456"/>
      <c r="AR456"/>
      <c r="AS456"/>
      <c r="AT456"/>
      <c r="AU456"/>
      <c r="AV456"/>
    </row>
    <row r="457" spans="41:48" x14ac:dyDescent="0.35">
      <c r="AO457"/>
      <c r="AP457"/>
      <c r="AQ457"/>
      <c r="AR457"/>
      <c r="AS457"/>
      <c r="AT457"/>
      <c r="AU457"/>
      <c r="AV457"/>
    </row>
    <row r="458" spans="41:48" x14ac:dyDescent="0.35">
      <c r="AO458"/>
      <c r="AP458"/>
      <c r="AQ458"/>
      <c r="AR458"/>
      <c r="AS458"/>
      <c r="AT458"/>
      <c r="AU458"/>
      <c r="AV458"/>
    </row>
    <row r="459" spans="41:48" x14ac:dyDescent="0.35">
      <c r="AO459"/>
      <c r="AP459"/>
      <c r="AQ459"/>
      <c r="AR459"/>
      <c r="AS459"/>
      <c r="AT459"/>
      <c r="AU459"/>
      <c r="AV459"/>
    </row>
    <row r="460" spans="41:48" x14ac:dyDescent="0.35">
      <c r="AO460"/>
      <c r="AP460"/>
      <c r="AQ460"/>
      <c r="AR460"/>
      <c r="AS460"/>
      <c r="AT460"/>
      <c r="AU460"/>
      <c r="AV460"/>
    </row>
    <row r="461" spans="41:48" x14ac:dyDescent="0.35">
      <c r="AO461"/>
      <c r="AP461"/>
      <c r="AQ461"/>
      <c r="AR461"/>
      <c r="AS461"/>
      <c r="AT461"/>
      <c r="AU461"/>
      <c r="AV461"/>
    </row>
    <row r="462" spans="41:48" x14ac:dyDescent="0.35">
      <c r="AO462"/>
      <c r="AP462"/>
      <c r="AQ462"/>
      <c r="AR462"/>
      <c r="AS462"/>
      <c r="AT462"/>
      <c r="AU462"/>
      <c r="AV462"/>
    </row>
    <row r="463" spans="41:48" x14ac:dyDescent="0.35">
      <c r="AO463"/>
      <c r="AP463"/>
      <c r="AQ463"/>
      <c r="AR463"/>
      <c r="AS463"/>
      <c r="AT463"/>
      <c r="AU463"/>
      <c r="AV463"/>
    </row>
    <row r="464" spans="41:48" x14ac:dyDescent="0.35">
      <c r="AO464"/>
      <c r="AP464"/>
      <c r="AQ464"/>
      <c r="AR464"/>
      <c r="AS464"/>
      <c r="AT464"/>
      <c r="AU464"/>
      <c r="AV464"/>
    </row>
    <row r="465" spans="41:48" x14ac:dyDescent="0.35">
      <c r="AO465"/>
      <c r="AP465"/>
      <c r="AQ465"/>
      <c r="AR465"/>
      <c r="AS465"/>
      <c r="AT465"/>
      <c r="AU465"/>
      <c r="AV465"/>
    </row>
    <row r="466" spans="41:48" x14ac:dyDescent="0.35">
      <c r="AO466"/>
      <c r="AP466"/>
      <c r="AQ466"/>
      <c r="AR466"/>
      <c r="AS466"/>
      <c r="AT466"/>
      <c r="AU466"/>
      <c r="AV466"/>
    </row>
    <row r="467" spans="41:48" x14ac:dyDescent="0.35">
      <c r="AO467"/>
      <c r="AP467"/>
      <c r="AQ467"/>
      <c r="AR467"/>
      <c r="AS467"/>
      <c r="AT467"/>
      <c r="AU467"/>
      <c r="AV467"/>
    </row>
    <row r="468" spans="41:48" x14ac:dyDescent="0.35">
      <c r="AO468"/>
      <c r="AP468"/>
      <c r="AQ468"/>
      <c r="AR468"/>
      <c r="AS468"/>
      <c r="AT468"/>
      <c r="AU468"/>
      <c r="AV468"/>
    </row>
    <row r="469" spans="41:48" x14ac:dyDescent="0.35">
      <c r="AO469"/>
      <c r="AP469"/>
      <c r="AQ469"/>
      <c r="AR469"/>
      <c r="AS469"/>
      <c r="AT469"/>
      <c r="AU469"/>
      <c r="AV469"/>
    </row>
    <row r="470" spans="41:48" x14ac:dyDescent="0.35">
      <c r="AO470"/>
      <c r="AP470"/>
      <c r="AQ470"/>
      <c r="AR470"/>
      <c r="AS470"/>
      <c r="AT470"/>
      <c r="AU470"/>
      <c r="AV470"/>
    </row>
    <row r="471" spans="41:48" x14ac:dyDescent="0.35">
      <c r="AO471"/>
      <c r="AP471"/>
      <c r="AQ471"/>
      <c r="AR471"/>
      <c r="AS471"/>
      <c r="AT471"/>
      <c r="AU471"/>
      <c r="AV471"/>
    </row>
    <row r="472" spans="41:48" x14ac:dyDescent="0.35">
      <c r="AO472"/>
      <c r="AP472"/>
      <c r="AQ472"/>
      <c r="AR472"/>
      <c r="AS472"/>
      <c r="AT472"/>
      <c r="AU472"/>
      <c r="AV472"/>
    </row>
    <row r="473" spans="41:48" x14ac:dyDescent="0.35">
      <c r="AO473"/>
      <c r="AP473"/>
      <c r="AQ473"/>
      <c r="AR473"/>
      <c r="AS473"/>
      <c r="AT473"/>
      <c r="AU473"/>
      <c r="AV473"/>
    </row>
    <row r="474" spans="41:48" x14ac:dyDescent="0.35">
      <c r="AO474"/>
      <c r="AP474"/>
      <c r="AQ474"/>
      <c r="AR474"/>
      <c r="AS474"/>
      <c r="AT474"/>
      <c r="AU474"/>
      <c r="AV474"/>
    </row>
    <row r="475" spans="41:48" x14ac:dyDescent="0.35">
      <c r="AO475"/>
      <c r="AP475"/>
      <c r="AQ475"/>
      <c r="AR475"/>
      <c r="AS475"/>
      <c r="AT475"/>
      <c r="AU475"/>
      <c r="AV475"/>
    </row>
    <row r="476" spans="41:48" x14ac:dyDescent="0.35">
      <c r="AO476"/>
      <c r="AP476"/>
      <c r="AQ476"/>
      <c r="AR476"/>
      <c r="AS476"/>
      <c r="AT476"/>
      <c r="AU476"/>
      <c r="AV476"/>
    </row>
    <row r="477" spans="41:48" x14ac:dyDescent="0.35">
      <c r="AO477"/>
      <c r="AP477"/>
      <c r="AQ477"/>
      <c r="AR477"/>
      <c r="AS477"/>
      <c r="AT477"/>
      <c r="AU477"/>
      <c r="AV477"/>
    </row>
    <row r="478" spans="41:48" x14ac:dyDescent="0.35">
      <c r="AO478"/>
      <c r="AP478"/>
      <c r="AQ478"/>
      <c r="AR478"/>
      <c r="AS478"/>
      <c r="AT478"/>
      <c r="AU478"/>
      <c r="AV478"/>
    </row>
    <row r="479" spans="41:48" x14ac:dyDescent="0.35">
      <c r="AO479"/>
      <c r="AP479"/>
      <c r="AQ479"/>
      <c r="AR479"/>
      <c r="AS479"/>
      <c r="AT479"/>
      <c r="AU479"/>
      <c r="AV479"/>
    </row>
    <row r="480" spans="41:48" x14ac:dyDescent="0.35">
      <c r="AO480"/>
      <c r="AP480"/>
      <c r="AQ480"/>
      <c r="AR480"/>
      <c r="AS480"/>
      <c r="AT480"/>
      <c r="AU480"/>
      <c r="AV480"/>
    </row>
    <row r="481" spans="41:48" x14ac:dyDescent="0.35">
      <c r="AO481"/>
      <c r="AP481"/>
      <c r="AQ481"/>
      <c r="AR481"/>
      <c r="AS481"/>
      <c r="AT481"/>
      <c r="AU481"/>
      <c r="AV481"/>
    </row>
    <row r="482" spans="41:48" x14ac:dyDescent="0.35">
      <c r="AO482"/>
      <c r="AP482"/>
      <c r="AQ482"/>
      <c r="AR482"/>
      <c r="AS482"/>
      <c r="AT482"/>
      <c r="AU482"/>
      <c r="AV482"/>
    </row>
    <row r="483" spans="41:48" x14ac:dyDescent="0.35">
      <c r="AO483"/>
      <c r="AP483"/>
      <c r="AQ483"/>
      <c r="AR483"/>
      <c r="AS483"/>
      <c r="AT483"/>
      <c r="AU483"/>
      <c r="AV483"/>
    </row>
    <row r="484" spans="41:48" x14ac:dyDescent="0.35">
      <c r="AO484"/>
      <c r="AP484"/>
      <c r="AQ484"/>
      <c r="AR484"/>
      <c r="AS484"/>
      <c r="AT484"/>
      <c r="AU484"/>
      <c r="AV484"/>
    </row>
    <row r="485" spans="41:48" x14ac:dyDescent="0.35">
      <c r="AO485"/>
      <c r="AP485"/>
      <c r="AQ485"/>
      <c r="AR485"/>
      <c r="AS485"/>
      <c r="AT485"/>
      <c r="AU485"/>
      <c r="AV485"/>
    </row>
    <row r="486" spans="41:48" x14ac:dyDescent="0.35">
      <c r="AO486"/>
      <c r="AP486"/>
      <c r="AQ486"/>
      <c r="AR486"/>
      <c r="AS486"/>
      <c r="AT486"/>
      <c r="AU486"/>
      <c r="AV486"/>
    </row>
    <row r="487" spans="41:48" x14ac:dyDescent="0.35">
      <c r="AO487"/>
      <c r="AP487"/>
      <c r="AQ487"/>
      <c r="AR487"/>
      <c r="AS487"/>
      <c r="AT487"/>
      <c r="AU487"/>
      <c r="AV487"/>
    </row>
    <row r="488" spans="41:48" x14ac:dyDescent="0.35">
      <c r="AO488"/>
      <c r="AP488"/>
      <c r="AQ488"/>
      <c r="AR488"/>
      <c r="AS488"/>
      <c r="AT488"/>
      <c r="AU488"/>
      <c r="AV488"/>
    </row>
    <row r="489" spans="41:48" x14ac:dyDescent="0.35">
      <c r="AO489"/>
      <c r="AP489"/>
      <c r="AQ489"/>
      <c r="AR489"/>
      <c r="AS489"/>
      <c r="AT489"/>
      <c r="AU489"/>
      <c r="AV489"/>
    </row>
    <row r="490" spans="41:48" x14ac:dyDescent="0.35">
      <c r="AO490"/>
      <c r="AP490"/>
      <c r="AQ490"/>
      <c r="AR490"/>
      <c r="AS490"/>
      <c r="AT490"/>
      <c r="AU490"/>
      <c r="AV490"/>
    </row>
    <row r="491" spans="41:48" x14ac:dyDescent="0.35">
      <c r="AO491"/>
      <c r="AP491"/>
      <c r="AQ491"/>
      <c r="AR491"/>
      <c r="AS491"/>
      <c r="AT491"/>
      <c r="AU491"/>
      <c r="AV491"/>
    </row>
    <row r="492" spans="41:48" x14ac:dyDescent="0.35">
      <c r="AO492"/>
      <c r="AP492"/>
      <c r="AQ492"/>
      <c r="AR492"/>
      <c r="AS492"/>
      <c r="AT492"/>
      <c r="AU492"/>
      <c r="AV492"/>
    </row>
    <row r="493" spans="41:48" x14ac:dyDescent="0.35">
      <c r="AO493"/>
      <c r="AP493"/>
      <c r="AQ493"/>
      <c r="AR493"/>
      <c r="AS493"/>
      <c r="AT493"/>
      <c r="AU493"/>
      <c r="AV493"/>
    </row>
    <row r="494" spans="41:48" x14ac:dyDescent="0.35">
      <c r="AO494"/>
      <c r="AP494"/>
      <c r="AQ494"/>
      <c r="AR494"/>
      <c r="AS494"/>
      <c r="AT494"/>
      <c r="AU494"/>
      <c r="AV494"/>
    </row>
    <row r="495" spans="41:48" x14ac:dyDescent="0.35">
      <c r="AO495"/>
      <c r="AP495"/>
      <c r="AQ495"/>
      <c r="AR495"/>
      <c r="AS495"/>
      <c r="AT495"/>
      <c r="AU495"/>
      <c r="AV495"/>
    </row>
    <row r="496" spans="41:48" x14ac:dyDescent="0.35">
      <c r="AO496"/>
      <c r="AP496"/>
      <c r="AQ496"/>
      <c r="AR496"/>
      <c r="AS496"/>
      <c r="AT496"/>
      <c r="AU496"/>
      <c r="AV496"/>
    </row>
    <row r="497" spans="41:48" x14ac:dyDescent="0.35">
      <c r="AO497"/>
      <c r="AP497"/>
      <c r="AQ497"/>
      <c r="AR497"/>
      <c r="AS497"/>
      <c r="AT497"/>
      <c r="AU497"/>
      <c r="AV497"/>
    </row>
    <row r="498" spans="41:48" x14ac:dyDescent="0.35">
      <c r="AO498"/>
      <c r="AP498"/>
      <c r="AQ498"/>
      <c r="AR498"/>
      <c r="AS498"/>
      <c r="AT498"/>
      <c r="AU498"/>
      <c r="AV498"/>
    </row>
    <row r="499" spans="41:48" x14ac:dyDescent="0.35">
      <c r="AO499"/>
      <c r="AP499"/>
      <c r="AQ499"/>
      <c r="AR499"/>
      <c r="AS499"/>
      <c r="AT499"/>
      <c r="AU499"/>
      <c r="AV499"/>
    </row>
    <row r="500" spans="41:48" x14ac:dyDescent="0.35">
      <c r="AO500"/>
      <c r="AP500"/>
      <c r="AQ500"/>
      <c r="AR500"/>
      <c r="AS500"/>
      <c r="AT500"/>
      <c r="AU500"/>
      <c r="AV500"/>
    </row>
    <row r="501" spans="41:48" x14ac:dyDescent="0.35">
      <c r="AO501"/>
      <c r="AP501"/>
      <c r="AQ501"/>
      <c r="AR501"/>
      <c r="AS501"/>
      <c r="AT501"/>
      <c r="AU501"/>
      <c r="AV501"/>
    </row>
    <row r="502" spans="41:48" x14ac:dyDescent="0.35">
      <c r="AO502"/>
      <c r="AP502"/>
      <c r="AQ502"/>
      <c r="AR502"/>
      <c r="AS502"/>
      <c r="AT502"/>
      <c r="AU502"/>
      <c r="AV502"/>
    </row>
    <row r="503" spans="41:48" x14ac:dyDescent="0.35">
      <c r="AO503"/>
      <c r="AP503"/>
      <c r="AQ503"/>
      <c r="AR503"/>
      <c r="AS503"/>
      <c r="AT503"/>
      <c r="AU503"/>
      <c r="AV503"/>
    </row>
    <row r="504" spans="41:48" x14ac:dyDescent="0.35">
      <c r="AO504"/>
      <c r="AP504"/>
      <c r="AQ504"/>
      <c r="AR504"/>
      <c r="AS504"/>
      <c r="AT504"/>
      <c r="AU504"/>
      <c r="AV504"/>
    </row>
    <row r="505" spans="41:48" x14ac:dyDescent="0.35">
      <c r="AO505"/>
      <c r="AP505"/>
      <c r="AQ505"/>
      <c r="AR505"/>
      <c r="AS505"/>
      <c r="AT505"/>
      <c r="AU505"/>
      <c r="AV505"/>
    </row>
    <row r="506" spans="41:48" x14ac:dyDescent="0.35">
      <c r="AO506"/>
      <c r="AP506"/>
      <c r="AQ506"/>
      <c r="AR506"/>
      <c r="AS506"/>
      <c r="AT506"/>
      <c r="AU506"/>
      <c r="AV506"/>
    </row>
    <row r="507" spans="41:48" x14ac:dyDescent="0.35">
      <c r="AO507"/>
      <c r="AP507"/>
      <c r="AQ507"/>
      <c r="AR507"/>
      <c r="AS507"/>
      <c r="AT507"/>
      <c r="AU507"/>
      <c r="AV507"/>
    </row>
    <row r="508" spans="41:48" x14ac:dyDescent="0.35">
      <c r="AO508"/>
      <c r="AP508"/>
      <c r="AQ508"/>
      <c r="AR508"/>
      <c r="AS508"/>
      <c r="AT508"/>
      <c r="AU508"/>
      <c r="AV508"/>
    </row>
    <row r="509" spans="41:48" x14ac:dyDescent="0.35">
      <c r="AO509"/>
      <c r="AP509"/>
      <c r="AQ509"/>
      <c r="AR509"/>
      <c r="AS509"/>
      <c r="AT509"/>
      <c r="AU509"/>
      <c r="AV509"/>
    </row>
    <row r="510" spans="41:48" x14ac:dyDescent="0.35">
      <c r="AO510"/>
      <c r="AP510"/>
      <c r="AQ510"/>
      <c r="AR510"/>
      <c r="AS510"/>
      <c r="AT510"/>
      <c r="AU510"/>
      <c r="AV510"/>
    </row>
    <row r="511" spans="41:48" x14ac:dyDescent="0.35">
      <c r="AO511"/>
      <c r="AP511"/>
      <c r="AQ511"/>
      <c r="AR511"/>
      <c r="AS511"/>
      <c r="AT511"/>
      <c r="AU511"/>
      <c r="AV511"/>
    </row>
    <row r="512" spans="41:48" x14ac:dyDescent="0.35">
      <c r="AO512"/>
      <c r="AP512"/>
      <c r="AQ512"/>
      <c r="AR512"/>
      <c r="AS512"/>
      <c r="AT512"/>
      <c r="AU512"/>
      <c r="AV512"/>
    </row>
    <row r="513" spans="41:48" x14ac:dyDescent="0.35">
      <c r="AO513"/>
      <c r="AP513"/>
      <c r="AQ513"/>
      <c r="AR513"/>
      <c r="AS513"/>
      <c r="AT513"/>
      <c r="AU513"/>
      <c r="AV513"/>
    </row>
    <row r="514" spans="41:48" x14ac:dyDescent="0.35">
      <c r="AO514"/>
      <c r="AP514"/>
      <c r="AQ514"/>
      <c r="AR514"/>
      <c r="AS514"/>
      <c r="AT514"/>
      <c r="AU514"/>
      <c r="AV514"/>
    </row>
    <row r="515" spans="41:48" x14ac:dyDescent="0.35">
      <c r="AO515"/>
      <c r="AP515"/>
      <c r="AQ515"/>
      <c r="AR515"/>
      <c r="AS515"/>
      <c r="AT515"/>
      <c r="AU515"/>
      <c r="AV515"/>
    </row>
    <row r="516" spans="41:48" x14ac:dyDescent="0.35">
      <c r="AO516"/>
      <c r="AP516"/>
      <c r="AQ516"/>
      <c r="AR516"/>
      <c r="AS516"/>
      <c r="AT516"/>
      <c r="AU516"/>
      <c r="AV516"/>
    </row>
    <row r="517" spans="41:48" x14ac:dyDescent="0.35">
      <c r="AO517"/>
      <c r="AP517"/>
      <c r="AQ517"/>
      <c r="AR517"/>
      <c r="AS517"/>
      <c r="AT517"/>
      <c r="AU517"/>
      <c r="AV517"/>
    </row>
    <row r="518" spans="41:48" x14ac:dyDescent="0.35">
      <c r="AO518"/>
      <c r="AP518"/>
      <c r="AQ518"/>
      <c r="AR518"/>
      <c r="AS518"/>
      <c r="AT518"/>
      <c r="AU518"/>
      <c r="AV518"/>
    </row>
    <row r="519" spans="41:48" x14ac:dyDescent="0.35">
      <c r="AO519"/>
      <c r="AP519"/>
      <c r="AQ519"/>
      <c r="AR519"/>
      <c r="AS519"/>
      <c r="AT519"/>
      <c r="AU519"/>
      <c r="AV519"/>
    </row>
    <row r="520" spans="41:48" x14ac:dyDescent="0.35">
      <c r="AO520"/>
      <c r="AP520"/>
      <c r="AQ520"/>
      <c r="AR520"/>
      <c r="AS520"/>
      <c r="AT520"/>
      <c r="AU520"/>
      <c r="AV520"/>
    </row>
    <row r="521" spans="41:48" x14ac:dyDescent="0.35">
      <c r="AO521"/>
      <c r="AP521"/>
      <c r="AQ521"/>
      <c r="AR521"/>
      <c r="AS521"/>
      <c r="AT521"/>
      <c r="AU521"/>
      <c r="AV521"/>
    </row>
    <row r="522" spans="41:48" x14ac:dyDescent="0.35">
      <c r="AO522"/>
      <c r="AP522"/>
      <c r="AQ522"/>
      <c r="AR522"/>
      <c r="AS522"/>
      <c r="AT522"/>
      <c r="AU522"/>
      <c r="AV522"/>
    </row>
    <row r="523" spans="41:48" x14ac:dyDescent="0.35">
      <c r="AO523"/>
      <c r="AP523"/>
      <c r="AQ523"/>
      <c r="AR523"/>
      <c r="AS523"/>
      <c r="AT523"/>
      <c r="AU523"/>
      <c r="AV523"/>
    </row>
    <row r="524" spans="41:48" x14ac:dyDescent="0.35">
      <c r="AO524"/>
      <c r="AP524"/>
      <c r="AQ524"/>
      <c r="AR524"/>
      <c r="AS524"/>
      <c r="AT524"/>
      <c r="AU524"/>
      <c r="AV524"/>
    </row>
    <row r="525" spans="41:48" x14ac:dyDescent="0.35">
      <c r="AO525"/>
      <c r="AP525"/>
      <c r="AQ525"/>
      <c r="AR525"/>
      <c r="AS525"/>
      <c r="AT525"/>
      <c r="AU525"/>
      <c r="AV525"/>
    </row>
    <row r="526" spans="41:48" x14ac:dyDescent="0.35">
      <c r="AO526"/>
      <c r="AP526"/>
      <c r="AQ526"/>
      <c r="AR526"/>
      <c r="AS526"/>
      <c r="AT526"/>
      <c r="AU526"/>
      <c r="AV526"/>
    </row>
    <row r="527" spans="41:48" x14ac:dyDescent="0.35">
      <c r="AO527"/>
      <c r="AP527"/>
      <c r="AQ527"/>
      <c r="AR527"/>
      <c r="AS527"/>
      <c r="AT527"/>
      <c r="AU527"/>
      <c r="AV527"/>
    </row>
    <row r="528" spans="41:48" x14ac:dyDescent="0.35">
      <c r="AO528"/>
      <c r="AP528"/>
      <c r="AQ528"/>
      <c r="AR528"/>
      <c r="AS528"/>
      <c r="AT528"/>
      <c r="AU528"/>
      <c r="AV528"/>
    </row>
    <row r="529" spans="41:48" x14ac:dyDescent="0.35">
      <c r="AO529"/>
      <c r="AP529"/>
      <c r="AQ529"/>
      <c r="AR529"/>
      <c r="AS529"/>
      <c r="AT529"/>
      <c r="AU529"/>
      <c r="AV529"/>
    </row>
    <row r="530" spans="41:48" x14ac:dyDescent="0.35">
      <c r="AO530"/>
      <c r="AP530"/>
      <c r="AQ530"/>
      <c r="AR530"/>
      <c r="AS530"/>
      <c r="AT530"/>
      <c r="AU530"/>
      <c r="AV530"/>
    </row>
    <row r="531" spans="41:48" x14ac:dyDescent="0.35">
      <c r="AO531"/>
      <c r="AP531"/>
      <c r="AQ531"/>
      <c r="AR531"/>
      <c r="AS531"/>
      <c r="AT531"/>
      <c r="AU531"/>
      <c r="AV531"/>
    </row>
    <row r="532" spans="41:48" x14ac:dyDescent="0.35">
      <c r="AO532"/>
      <c r="AP532"/>
      <c r="AQ532"/>
      <c r="AR532"/>
      <c r="AS532"/>
      <c r="AT532"/>
      <c r="AU532"/>
      <c r="AV532"/>
    </row>
    <row r="533" spans="41:48" x14ac:dyDescent="0.35">
      <c r="AO533"/>
      <c r="AP533"/>
      <c r="AQ533"/>
      <c r="AR533"/>
      <c r="AS533"/>
      <c r="AT533"/>
      <c r="AU533"/>
      <c r="AV533"/>
    </row>
    <row r="534" spans="41:48" x14ac:dyDescent="0.35">
      <c r="AO534"/>
      <c r="AP534"/>
      <c r="AQ534"/>
      <c r="AR534"/>
      <c r="AS534"/>
      <c r="AT534"/>
      <c r="AU534"/>
      <c r="AV534"/>
    </row>
    <row r="535" spans="41:48" x14ac:dyDescent="0.35">
      <c r="AO535"/>
      <c r="AP535"/>
      <c r="AQ535"/>
      <c r="AR535"/>
      <c r="AS535"/>
      <c r="AT535"/>
      <c r="AU535"/>
      <c r="AV535"/>
    </row>
    <row r="536" spans="41:48" x14ac:dyDescent="0.35">
      <c r="AO536"/>
      <c r="AP536"/>
      <c r="AQ536"/>
      <c r="AR536"/>
      <c r="AS536"/>
      <c r="AT536"/>
      <c r="AU536"/>
      <c r="AV536"/>
    </row>
    <row r="537" spans="41:48" x14ac:dyDescent="0.35">
      <c r="AO537"/>
      <c r="AP537"/>
      <c r="AQ537"/>
      <c r="AR537"/>
      <c r="AS537"/>
      <c r="AT537"/>
      <c r="AU537"/>
      <c r="AV537"/>
    </row>
    <row r="538" spans="41:48" x14ac:dyDescent="0.35">
      <c r="AO538"/>
      <c r="AP538"/>
      <c r="AQ538"/>
      <c r="AR538"/>
      <c r="AS538"/>
      <c r="AT538"/>
      <c r="AU538"/>
      <c r="AV538"/>
    </row>
    <row r="539" spans="41:48" x14ac:dyDescent="0.35">
      <c r="AO539"/>
      <c r="AP539"/>
      <c r="AQ539"/>
      <c r="AR539"/>
      <c r="AS539"/>
      <c r="AT539"/>
      <c r="AU539"/>
      <c r="AV539"/>
    </row>
    <row r="540" spans="41:48" x14ac:dyDescent="0.35">
      <c r="AO540"/>
      <c r="AP540"/>
      <c r="AQ540"/>
      <c r="AR540"/>
      <c r="AS540"/>
      <c r="AT540"/>
      <c r="AU540"/>
      <c r="AV540"/>
    </row>
    <row r="541" spans="41:48" x14ac:dyDescent="0.35">
      <c r="AO541"/>
      <c r="AP541"/>
      <c r="AQ541"/>
      <c r="AR541"/>
      <c r="AS541"/>
      <c r="AT541"/>
      <c r="AU541"/>
      <c r="AV541"/>
    </row>
    <row r="542" spans="41:48" x14ac:dyDescent="0.35">
      <c r="AO542"/>
      <c r="AP542"/>
      <c r="AQ542"/>
      <c r="AR542"/>
      <c r="AS542"/>
      <c r="AT542"/>
      <c r="AU542"/>
      <c r="AV542"/>
    </row>
    <row r="543" spans="41:48" x14ac:dyDescent="0.35">
      <c r="AO543"/>
      <c r="AP543"/>
      <c r="AQ543"/>
      <c r="AR543"/>
      <c r="AS543"/>
      <c r="AT543"/>
      <c r="AU543"/>
      <c r="AV543"/>
    </row>
    <row r="544" spans="41:48" x14ac:dyDescent="0.35">
      <c r="AO544"/>
      <c r="AP544"/>
      <c r="AQ544"/>
      <c r="AR544"/>
      <c r="AS544"/>
      <c r="AT544"/>
      <c r="AU544"/>
      <c r="AV544"/>
    </row>
    <row r="545" spans="41:48" x14ac:dyDescent="0.35">
      <c r="AO545"/>
      <c r="AP545"/>
      <c r="AQ545"/>
      <c r="AR545"/>
      <c r="AS545"/>
      <c r="AT545"/>
      <c r="AU545"/>
      <c r="AV545"/>
    </row>
    <row r="546" spans="41:48" x14ac:dyDescent="0.35">
      <c r="AO546"/>
      <c r="AP546"/>
      <c r="AQ546"/>
      <c r="AR546"/>
      <c r="AS546"/>
      <c r="AT546"/>
      <c r="AU546"/>
      <c r="AV546"/>
    </row>
    <row r="547" spans="41:48" x14ac:dyDescent="0.35">
      <c r="AO547"/>
      <c r="AP547"/>
      <c r="AQ547"/>
      <c r="AR547"/>
      <c r="AS547"/>
      <c r="AT547"/>
      <c r="AU547"/>
      <c r="AV547"/>
    </row>
    <row r="548" spans="41:48" x14ac:dyDescent="0.35">
      <c r="AO548"/>
      <c r="AP548"/>
      <c r="AQ548"/>
      <c r="AR548"/>
      <c r="AS548"/>
      <c r="AT548"/>
      <c r="AU548"/>
      <c r="AV548"/>
    </row>
    <row r="549" spans="41:48" x14ac:dyDescent="0.35">
      <c r="AO549"/>
      <c r="AP549"/>
      <c r="AQ549"/>
      <c r="AR549"/>
      <c r="AS549"/>
      <c r="AT549"/>
      <c r="AU549"/>
      <c r="AV549"/>
    </row>
    <row r="550" spans="41:48" x14ac:dyDescent="0.35">
      <c r="AO550"/>
      <c r="AP550"/>
      <c r="AQ550"/>
      <c r="AR550"/>
      <c r="AS550"/>
      <c r="AT550"/>
      <c r="AU550"/>
      <c r="AV550"/>
    </row>
    <row r="551" spans="41:48" x14ac:dyDescent="0.35">
      <c r="AO551"/>
      <c r="AP551"/>
      <c r="AQ551"/>
      <c r="AR551"/>
      <c r="AS551"/>
      <c r="AT551"/>
      <c r="AU551"/>
      <c r="AV551"/>
    </row>
    <row r="552" spans="41:48" x14ac:dyDescent="0.35">
      <c r="AO552"/>
      <c r="AP552"/>
      <c r="AQ552"/>
      <c r="AR552"/>
      <c r="AS552"/>
      <c r="AT552"/>
      <c r="AU552"/>
      <c r="AV552"/>
    </row>
    <row r="553" spans="41:48" x14ac:dyDescent="0.35">
      <c r="AO553"/>
      <c r="AP553"/>
      <c r="AQ553"/>
      <c r="AR553"/>
      <c r="AS553"/>
      <c r="AT553"/>
      <c r="AU553"/>
      <c r="AV553"/>
    </row>
    <row r="554" spans="41:48" x14ac:dyDescent="0.35">
      <c r="AO554"/>
      <c r="AP554"/>
      <c r="AQ554"/>
      <c r="AR554"/>
      <c r="AS554"/>
      <c r="AT554"/>
      <c r="AU554"/>
      <c r="AV554"/>
    </row>
    <row r="555" spans="41:48" x14ac:dyDescent="0.35">
      <c r="AO555"/>
      <c r="AP555"/>
      <c r="AQ555"/>
      <c r="AR555"/>
      <c r="AS555"/>
      <c r="AT555"/>
      <c r="AU555"/>
      <c r="AV555"/>
    </row>
    <row r="556" spans="41:48" x14ac:dyDescent="0.35">
      <c r="AO556"/>
      <c r="AP556"/>
      <c r="AQ556"/>
      <c r="AR556"/>
      <c r="AS556"/>
      <c r="AT556"/>
      <c r="AU556"/>
      <c r="AV556"/>
    </row>
    <row r="557" spans="41:48" x14ac:dyDescent="0.35">
      <c r="AO557"/>
      <c r="AP557"/>
      <c r="AQ557"/>
      <c r="AR557"/>
      <c r="AS557"/>
      <c r="AT557"/>
      <c r="AU557"/>
      <c r="AV557"/>
    </row>
    <row r="558" spans="41:48" x14ac:dyDescent="0.35">
      <c r="AO558"/>
      <c r="AP558"/>
      <c r="AQ558"/>
      <c r="AR558"/>
      <c r="AS558"/>
      <c r="AT558"/>
      <c r="AU558"/>
      <c r="AV558"/>
    </row>
    <row r="559" spans="41:48" x14ac:dyDescent="0.35">
      <c r="AO559"/>
      <c r="AP559"/>
      <c r="AQ559"/>
      <c r="AR559"/>
      <c r="AS559"/>
      <c r="AT559"/>
      <c r="AU559"/>
      <c r="AV559"/>
    </row>
    <row r="560" spans="41:48" x14ac:dyDescent="0.35">
      <c r="AO560"/>
      <c r="AP560"/>
      <c r="AQ560"/>
      <c r="AR560"/>
      <c r="AS560"/>
      <c r="AT560"/>
      <c r="AU560"/>
      <c r="AV560"/>
    </row>
    <row r="561" spans="41:48" x14ac:dyDescent="0.35">
      <c r="AO561"/>
      <c r="AP561"/>
      <c r="AQ561"/>
      <c r="AR561"/>
      <c r="AS561"/>
      <c r="AT561"/>
      <c r="AU561"/>
      <c r="AV561"/>
    </row>
    <row r="562" spans="41:48" x14ac:dyDescent="0.35">
      <c r="AO562"/>
      <c r="AP562"/>
      <c r="AQ562"/>
      <c r="AR562"/>
      <c r="AS562"/>
      <c r="AT562"/>
      <c r="AU562"/>
      <c r="AV562"/>
    </row>
    <row r="563" spans="41:48" x14ac:dyDescent="0.35">
      <c r="AO563"/>
      <c r="AP563"/>
      <c r="AQ563"/>
      <c r="AR563"/>
      <c r="AS563"/>
      <c r="AT563"/>
      <c r="AU563"/>
      <c r="AV563"/>
    </row>
    <row r="564" spans="41:48" x14ac:dyDescent="0.35">
      <c r="AO564"/>
      <c r="AP564"/>
      <c r="AQ564"/>
      <c r="AR564"/>
      <c r="AS564"/>
      <c r="AT564"/>
      <c r="AU564"/>
      <c r="AV564"/>
    </row>
    <row r="565" spans="41:48" x14ac:dyDescent="0.35">
      <c r="AO565"/>
      <c r="AP565"/>
      <c r="AQ565"/>
      <c r="AR565"/>
      <c r="AS565"/>
      <c r="AT565"/>
      <c r="AU565"/>
      <c r="AV565"/>
    </row>
    <row r="566" spans="41:48" x14ac:dyDescent="0.35">
      <c r="AO566"/>
      <c r="AP566"/>
      <c r="AQ566"/>
      <c r="AR566"/>
      <c r="AS566"/>
      <c r="AT566"/>
      <c r="AU566"/>
      <c r="AV566"/>
    </row>
    <row r="567" spans="41:48" x14ac:dyDescent="0.35">
      <c r="AO567"/>
      <c r="AP567"/>
      <c r="AQ567"/>
      <c r="AR567"/>
      <c r="AS567"/>
      <c r="AT567"/>
      <c r="AU567"/>
      <c r="AV567"/>
    </row>
    <row r="568" spans="41:48" x14ac:dyDescent="0.35">
      <c r="AO568"/>
      <c r="AP568"/>
      <c r="AQ568"/>
      <c r="AR568"/>
      <c r="AS568"/>
      <c r="AT568"/>
      <c r="AU568"/>
      <c r="AV568"/>
    </row>
    <row r="569" spans="41:48" x14ac:dyDescent="0.35">
      <c r="AO569"/>
      <c r="AP569"/>
      <c r="AQ569"/>
      <c r="AR569"/>
      <c r="AS569"/>
      <c r="AT569"/>
      <c r="AU569"/>
      <c r="AV569"/>
    </row>
    <row r="570" spans="41:48" x14ac:dyDescent="0.35">
      <c r="AO570"/>
      <c r="AP570"/>
      <c r="AQ570"/>
      <c r="AR570"/>
      <c r="AS570"/>
      <c r="AT570"/>
      <c r="AU570"/>
      <c r="AV570"/>
    </row>
    <row r="571" spans="41:48" x14ac:dyDescent="0.35">
      <c r="AO571"/>
      <c r="AP571"/>
      <c r="AQ571"/>
      <c r="AR571"/>
      <c r="AS571"/>
      <c r="AT571"/>
      <c r="AU571"/>
      <c r="AV571"/>
    </row>
    <row r="572" spans="41:48" x14ac:dyDescent="0.35">
      <c r="AO572"/>
      <c r="AP572"/>
      <c r="AQ572"/>
      <c r="AR572"/>
      <c r="AS572"/>
      <c r="AT572"/>
      <c r="AU572"/>
      <c r="AV572"/>
    </row>
    <row r="573" spans="41:48" x14ac:dyDescent="0.35">
      <c r="AO573"/>
      <c r="AP573"/>
      <c r="AQ573"/>
      <c r="AR573"/>
      <c r="AS573"/>
      <c r="AT573"/>
      <c r="AU573"/>
      <c r="AV573"/>
    </row>
    <row r="574" spans="41:48" x14ac:dyDescent="0.35">
      <c r="AO574"/>
      <c r="AP574"/>
      <c r="AQ574"/>
      <c r="AR574"/>
      <c r="AS574"/>
      <c r="AT574"/>
      <c r="AU574"/>
      <c r="AV574"/>
    </row>
    <row r="575" spans="41:48" x14ac:dyDescent="0.35">
      <c r="AO575"/>
      <c r="AP575"/>
      <c r="AQ575"/>
      <c r="AR575"/>
      <c r="AS575"/>
      <c r="AT575"/>
      <c r="AU575"/>
      <c r="AV575"/>
    </row>
    <row r="576" spans="41:48" x14ac:dyDescent="0.35">
      <c r="AO576"/>
      <c r="AP576"/>
      <c r="AQ576"/>
      <c r="AR576"/>
      <c r="AS576"/>
      <c r="AT576"/>
      <c r="AU576"/>
      <c r="AV576"/>
    </row>
    <row r="577" spans="41:48" x14ac:dyDescent="0.35">
      <c r="AO577"/>
      <c r="AP577"/>
      <c r="AQ577"/>
      <c r="AR577"/>
      <c r="AS577"/>
      <c r="AT577"/>
      <c r="AU577"/>
      <c r="AV577"/>
    </row>
    <row r="578" spans="41:48" x14ac:dyDescent="0.35">
      <c r="AO578"/>
      <c r="AP578"/>
      <c r="AQ578"/>
      <c r="AR578"/>
      <c r="AS578"/>
      <c r="AT578"/>
      <c r="AU578"/>
      <c r="AV578"/>
    </row>
    <row r="579" spans="41:48" x14ac:dyDescent="0.35">
      <c r="AO579"/>
      <c r="AP579"/>
      <c r="AQ579"/>
      <c r="AR579"/>
      <c r="AS579"/>
      <c r="AT579"/>
      <c r="AU579"/>
      <c r="AV579"/>
    </row>
    <row r="580" spans="41:48" x14ac:dyDescent="0.35">
      <c r="AO580"/>
      <c r="AP580"/>
      <c r="AQ580"/>
      <c r="AR580"/>
      <c r="AS580"/>
      <c r="AT580"/>
      <c r="AU580"/>
      <c r="AV580"/>
    </row>
    <row r="581" spans="41:48" x14ac:dyDescent="0.35">
      <c r="AO581"/>
      <c r="AP581"/>
      <c r="AQ581"/>
      <c r="AR581"/>
      <c r="AS581"/>
      <c r="AT581"/>
      <c r="AU581"/>
      <c r="AV581"/>
    </row>
    <row r="582" spans="41:48" x14ac:dyDescent="0.35">
      <c r="AO582"/>
      <c r="AP582"/>
      <c r="AQ582"/>
      <c r="AR582"/>
      <c r="AS582"/>
      <c r="AT582"/>
      <c r="AU582"/>
      <c r="AV582"/>
    </row>
    <row r="583" spans="41:48" x14ac:dyDescent="0.35">
      <c r="AO583"/>
      <c r="AP583"/>
      <c r="AQ583"/>
      <c r="AR583"/>
      <c r="AS583"/>
      <c r="AT583"/>
      <c r="AU583"/>
      <c r="AV583"/>
    </row>
    <row r="584" spans="41:48" x14ac:dyDescent="0.35">
      <c r="AO584"/>
      <c r="AP584"/>
      <c r="AQ584"/>
      <c r="AR584"/>
      <c r="AS584"/>
      <c r="AT584"/>
      <c r="AU584"/>
      <c r="AV584"/>
    </row>
    <row r="585" spans="41:48" x14ac:dyDescent="0.35">
      <c r="AO585"/>
      <c r="AP585"/>
      <c r="AQ585"/>
      <c r="AR585"/>
      <c r="AS585"/>
      <c r="AT585"/>
      <c r="AU585"/>
      <c r="AV585"/>
    </row>
    <row r="586" spans="41:48" x14ac:dyDescent="0.35">
      <c r="AO586"/>
      <c r="AP586"/>
      <c r="AQ586"/>
      <c r="AR586"/>
      <c r="AS586"/>
      <c r="AT586"/>
      <c r="AU586"/>
      <c r="AV586"/>
    </row>
    <row r="587" spans="41:48" x14ac:dyDescent="0.35">
      <c r="AO587"/>
      <c r="AP587"/>
      <c r="AQ587"/>
      <c r="AR587"/>
      <c r="AS587"/>
      <c r="AT587"/>
      <c r="AU587"/>
      <c r="AV587"/>
    </row>
    <row r="588" spans="41:48" x14ac:dyDescent="0.35">
      <c r="AO588"/>
      <c r="AP588"/>
      <c r="AQ588"/>
      <c r="AR588"/>
      <c r="AS588"/>
      <c r="AT588"/>
      <c r="AU588"/>
      <c r="AV588"/>
    </row>
    <row r="589" spans="41:48" x14ac:dyDescent="0.35">
      <c r="AO589"/>
      <c r="AP589"/>
      <c r="AQ589"/>
      <c r="AR589"/>
      <c r="AS589"/>
      <c r="AT589"/>
      <c r="AU589"/>
      <c r="AV589"/>
    </row>
    <row r="590" spans="41:48" x14ac:dyDescent="0.35">
      <c r="AO590"/>
      <c r="AP590"/>
      <c r="AQ590"/>
      <c r="AR590"/>
      <c r="AS590"/>
      <c r="AT590"/>
      <c r="AU590"/>
      <c r="AV590"/>
    </row>
    <row r="591" spans="41:48" x14ac:dyDescent="0.35">
      <c r="AO591"/>
      <c r="AP591"/>
      <c r="AQ591"/>
      <c r="AR591"/>
      <c r="AS591"/>
      <c r="AT591"/>
      <c r="AU591"/>
      <c r="AV591"/>
    </row>
    <row r="592" spans="41:48" x14ac:dyDescent="0.35">
      <c r="AO592"/>
      <c r="AP592"/>
      <c r="AQ592"/>
      <c r="AR592"/>
      <c r="AS592"/>
      <c r="AT592"/>
      <c r="AU592"/>
      <c r="AV592"/>
    </row>
    <row r="593" spans="41:48" x14ac:dyDescent="0.35">
      <c r="AO593"/>
      <c r="AP593"/>
      <c r="AQ593"/>
      <c r="AR593"/>
      <c r="AS593"/>
      <c r="AT593"/>
      <c r="AU593"/>
      <c r="AV593"/>
    </row>
    <row r="594" spans="41:48" x14ac:dyDescent="0.35">
      <c r="AO594"/>
      <c r="AP594"/>
      <c r="AQ594"/>
      <c r="AR594"/>
      <c r="AS594"/>
      <c r="AT594"/>
      <c r="AU594"/>
      <c r="AV594"/>
    </row>
    <row r="595" spans="41:48" x14ac:dyDescent="0.35">
      <c r="AO595"/>
      <c r="AP595"/>
      <c r="AQ595"/>
      <c r="AR595"/>
      <c r="AS595"/>
      <c r="AT595"/>
      <c r="AU595"/>
      <c r="AV595"/>
    </row>
    <row r="596" spans="41:48" x14ac:dyDescent="0.35">
      <c r="AO596"/>
      <c r="AP596"/>
      <c r="AQ596"/>
      <c r="AR596"/>
      <c r="AS596"/>
      <c r="AT596"/>
      <c r="AU596"/>
      <c r="AV596"/>
    </row>
    <row r="597" spans="41:48" x14ac:dyDescent="0.35">
      <c r="AO597"/>
      <c r="AP597"/>
      <c r="AQ597"/>
      <c r="AR597"/>
      <c r="AS597"/>
      <c r="AT597"/>
      <c r="AU597"/>
      <c r="AV597"/>
    </row>
    <row r="598" spans="41:48" x14ac:dyDescent="0.35">
      <c r="AO598"/>
      <c r="AP598"/>
      <c r="AQ598"/>
      <c r="AR598"/>
      <c r="AS598"/>
      <c r="AT598"/>
      <c r="AU598"/>
      <c r="AV598"/>
    </row>
    <row r="599" spans="41:48" x14ac:dyDescent="0.35">
      <c r="AO599"/>
      <c r="AP599"/>
      <c r="AQ599"/>
      <c r="AR599"/>
      <c r="AS599"/>
      <c r="AT599"/>
      <c r="AU599"/>
      <c r="AV599"/>
    </row>
    <row r="600" spans="41:48" x14ac:dyDescent="0.35">
      <c r="AO600"/>
      <c r="AP600"/>
      <c r="AQ600"/>
      <c r="AR600"/>
      <c r="AS600"/>
      <c r="AT600"/>
      <c r="AU600"/>
      <c r="AV600"/>
    </row>
    <row r="601" spans="41:48" x14ac:dyDescent="0.35">
      <c r="AO601"/>
      <c r="AP601"/>
      <c r="AQ601"/>
      <c r="AR601"/>
      <c r="AS601"/>
      <c r="AT601"/>
      <c r="AU601"/>
      <c r="AV601"/>
    </row>
    <row r="602" spans="41:48" x14ac:dyDescent="0.35">
      <c r="AO602"/>
      <c r="AP602"/>
      <c r="AQ602"/>
      <c r="AR602"/>
      <c r="AS602"/>
      <c r="AT602"/>
      <c r="AU602"/>
      <c r="AV602"/>
    </row>
    <row r="603" spans="41:48" x14ac:dyDescent="0.35">
      <c r="AO603"/>
      <c r="AP603"/>
      <c r="AQ603"/>
      <c r="AR603"/>
      <c r="AS603"/>
      <c r="AT603"/>
      <c r="AU603"/>
      <c r="AV603"/>
    </row>
    <row r="604" spans="41:48" x14ac:dyDescent="0.35">
      <c r="AO604"/>
      <c r="AP604"/>
      <c r="AQ604"/>
      <c r="AR604"/>
      <c r="AS604"/>
      <c r="AT604"/>
      <c r="AU604"/>
      <c r="AV604"/>
    </row>
    <row r="605" spans="41:48" x14ac:dyDescent="0.35">
      <c r="AO605"/>
      <c r="AP605"/>
      <c r="AQ605"/>
      <c r="AR605"/>
      <c r="AS605"/>
      <c r="AT605"/>
      <c r="AU605"/>
      <c r="AV605"/>
    </row>
    <row r="606" spans="41:48" x14ac:dyDescent="0.35">
      <c r="AO606"/>
      <c r="AP606"/>
      <c r="AQ606"/>
      <c r="AR606"/>
      <c r="AS606"/>
      <c r="AT606"/>
      <c r="AU606"/>
      <c r="AV606"/>
    </row>
    <row r="607" spans="41:48" x14ac:dyDescent="0.35">
      <c r="AO607"/>
      <c r="AP607"/>
      <c r="AQ607"/>
      <c r="AR607"/>
      <c r="AS607"/>
      <c r="AT607"/>
      <c r="AU607"/>
      <c r="AV607"/>
    </row>
    <row r="608" spans="41:48" x14ac:dyDescent="0.35">
      <c r="AO608"/>
      <c r="AP608"/>
      <c r="AQ608"/>
      <c r="AR608"/>
      <c r="AS608"/>
      <c r="AT608"/>
      <c r="AU608"/>
      <c r="AV608"/>
    </row>
    <row r="609" spans="41:48" x14ac:dyDescent="0.35">
      <c r="AO609"/>
      <c r="AP609"/>
      <c r="AQ609"/>
      <c r="AR609"/>
      <c r="AS609"/>
      <c r="AT609"/>
      <c r="AU609"/>
      <c r="AV609"/>
    </row>
    <row r="610" spans="41:48" x14ac:dyDescent="0.35">
      <c r="AO610"/>
      <c r="AP610"/>
      <c r="AQ610"/>
      <c r="AR610"/>
      <c r="AS610"/>
      <c r="AT610"/>
      <c r="AU610"/>
      <c r="AV610"/>
    </row>
    <row r="611" spans="41:48" x14ac:dyDescent="0.35">
      <c r="AO611"/>
      <c r="AP611"/>
      <c r="AQ611"/>
      <c r="AR611"/>
      <c r="AS611"/>
      <c r="AT611"/>
      <c r="AU611"/>
      <c r="AV611"/>
    </row>
    <row r="612" spans="41:48" x14ac:dyDescent="0.35">
      <c r="AO612"/>
      <c r="AP612"/>
      <c r="AQ612"/>
      <c r="AR612"/>
      <c r="AS612"/>
      <c r="AT612"/>
      <c r="AU612"/>
      <c r="AV612"/>
    </row>
    <row r="613" spans="41:48" x14ac:dyDescent="0.35">
      <c r="AO613"/>
      <c r="AP613"/>
      <c r="AQ613"/>
      <c r="AR613"/>
      <c r="AS613"/>
      <c r="AT613"/>
      <c r="AU613"/>
      <c r="AV613"/>
    </row>
    <row r="614" spans="41:48" x14ac:dyDescent="0.35">
      <c r="AO614"/>
      <c r="AP614"/>
      <c r="AQ614"/>
      <c r="AR614"/>
      <c r="AS614"/>
      <c r="AT614"/>
      <c r="AU614"/>
      <c r="AV614"/>
    </row>
    <row r="615" spans="41:48" x14ac:dyDescent="0.35">
      <c r="AO615"/>
      <c r="AP615"/>
      <c r="AQ615"/>
      <c r="AR615"/>
      <c r="AS615"/>
      <c r="AT615"/>
      <c r="AU615"/>
      <c r="AV615"/>
    </row>
    <row r="616" spans="41:48" x14ac:dyDescent="0.35">
      <c r="AO616"/>
      <c r="AP616"/>
      <c r="AQ616"/>
      <c r="AR616"/>
      <c r="AS616"/>
      <c r="AT616"/>
      <c r="AU616"/>
      <c r="AV616"/>
    </row>
    <row r="617" spans="41:48" x14ac:dyDescent="0.35">
      <c r="AO617"/>
      <c r="AP617"/>
      <c r="AQ617"/>
      <c r="AR617"/>
      <c r="AS617"/>
      <c r="AT617"/>
      <c r="AU617"/>
      <c r="AV617"/>
    </row>
    <row r="618" spans="41:48" x14ac:dyDescent="0.35">
      <c r="AO618"/>
      <c r="AP618"/>
      <c r="AQ618"/>
      <c r="AR618"/>
      <c r="AS618"/>
      <c r="AT618"/>
      <c r="AU618"/>
      <c r="AV618"/>
    </row>
    <row r="619" spans="41:48" x14ac:dyDescent="0.35">
      <c r="AO619"/>
      <c r="AP619"/>
      <c r="AQ619"/>
      <c r="AR619"/>
      <c r="AS619"/>
      <c r="AT619"/>
      <c r="AU619"/>
      <c r="AV619"/>
    </row>
    <row r="620" spans="41:48" x14ac:dyDescent="0.35">
      <c r="AO620"/>
      <c r="AP620"/>
      <c r="AQ620"/>
      <c r="AR620"/>
      <c r="AS620"/>
      <c r="AT620"/>
      <c r="AU620"/>
      <c r="AV620"/>
    </row>
    <row r="621" spans="41:48" x14ac:dyDescent="0.35">
      <c r="AO621"/>
      <c r="AP621"/>
      <c r="AQ621"/>
      <c r="AR621"/>
      <c r="AS621"/>
      <c r="AT621"/>
      <c r="AU621"/>
      <c r="AV621"/>
    </row>
    <row r="622" spans="41:48" x14ac:dyDescent="0.35">
      <c r="AO622"/>
      <c r="AP622"/>
      <c r="AQ622"/>
      <c r="AR622"/>
      <c r="AS622"/>
      <c r="AT622"/>
      <c r="AU622"/>
      <c r="AV622"/>
    </row>
    <row r="623" spans="41:48" x14ac:dyDescent="0.35">
      <c r="AO623"/>
      <c r="AP623"/>
      <c r="AQ623"/>
      <c r="AR623"/>
      <c r="AS623"/>
      <c r="AT623"/>
      <c r="AU623"/>
      <c r="AV623"/>
    </row>
    <row r="624" spans="41:48" x14ac:dyDescent="0.35">
      <c r="AO624"/>
      <c r="AP624"/>
      <c r="AQ624"/>
      <c r="AR624"/>
      <c r="AS624"/>
      <c r="AT624"/>
      <c r="AU624"/>
      <c r="AV624"/>
    </row>
    <row r="625" spans="41:48" x14ac:dyDescent="0.35">
      <c r="AO625"/>
      <c r="AP625"/>
      <c r="AQ625"/>
      <c r="AR625"/>
      <c r="AS625"/>
      <c r="AT625"/>
      <c r="AU625"/>
      <c r="AV625"/>
    </row>
    <row r="626" spans="41:48" x14ac:dyDescent="0.35">
      <c r="AO626"/>
      <c r="AP626"/>
      <c r="AQ626"/>
      <c r="AR626"/>
      <c r="AS626"/>
      <c r="AT626"/>
      <c r="AU626"/>
      <c r="AV626"/>
    </row>
    <row r="627" spans="41:48" x14ac:dyDescent="0.35">
      <c r="AO627"/>
      <c r="AP627"/>
      <c r="AQ627"/>
      <c r="AR627"/>
      <c r="AS627"/>
      <c r="AT627"/>
      <c r="AU627"/>
      <c r="AV627"/>
    </row>
    <row r="628" spans="41:48" x14ac:dyDescent="0.35">
      <c r="AO628"/>
      <c r="AP628"/>
      <c r="AQ628"/>
      <c r="AR628"/>
      <c r="AS628"/>
      <c r="AT628"/>
      <c r="AU628"/>
      <c r="AV628"/>
    </row>
    <row r="629" spans="41:48" x14ac:dyDescent="0.35">
      <c r="AO629"/>
      <c r="AP629"/>
      <c r="AQ629"/>
      <c r="AR629"/>
      <c r="AS629"/>
      <c r="AT629"/>
      <c r="AU629"/>
      <c r="AV629"/>
    </row>
    <row r="630" spans="41:48" x14ac:dyDescent="0.35">
      <c r="AO630"/>
      <c r="AP630"/>
      <c r="AQ630"/>
      <c r="AR630"/>
      <c r="AS630"/>
      <c r="AT630"/>
      <c r="AU630"/>
      <c r="AV630"/>
    </row>
    <row r="631" spans="41:48" x14ac:dyDescent="0.35">
      <c r="AO631"/>
      <c r="AP631"/>
      <c r="AQ631"/>
      <c r="AR631"/>
      <c r="AS631"/>
      <c r="AT631"/>
      <c r="AU631"/>
      <c r="AV631"/>
    </row>
    <row r="632" spans="41:48" x14ac:dyDescent="0.35">
      <c r="AO632"/>
      <c r="AP632"/>
      <c r="AQ632"/>
      <c r="AR632"/>
      <c r="AS632"/>
      <c r="AT632"/>
      <c r="AU632"/>
      <c r="AV632"/>
    </row>
    <row r="633" spans="41:48" x14ac:dyDescent="0.35">
      <c r="AO633"/>
      <c r="AP633"/>
      <c r="AQ633"/>
      <c r="AR633"/>
      <c r="AS633"/>
      <c r="AT633"/>
      <c r="AU633"/>
      <c r="AV633"/>
    </row>
    <row r="634" spans="41:48" x14ac:dyDescent="0.35">
      <c r="AO634"/>
      <c r="AP634"/>
      <c r="AQ634"/>
      <c r="AR634"/>
      <c r="AS634"/>
      <c r="AT634"/>
      <c r="AU634"/>
      <c r="AV634"/>
    </row>
    <row r="635" spans="41:48" x14ac:dyDescent="0.35">
      <c r="AO635"/>
      <c r="AP635"/>
      <c r="AQ635"/>
      <c r="AR635"/>
      <c r="AS635"/>
      <c r="AT635"/>
      <c r="AU635"/>
      <c r="AV635"/>
    </row>
    <row r="636" spans="41:48" x14ac:dyDescent="0.35">
      <c r="AO636"/>
      <c r="AP636"/>
      <c r="AQ636"/>
      <c r="AR636"/>
      <c r="AS636"/>
      <c r="AT636"/>
      <c r="AU636"/>
      <c r="AV636"/>
    </row>
    <row r="637" spans="41:48" x14ac:dyDescent="0.35">
      <c r="AO637"/>
      <c r="AP637"/>
      <c r="AQ637"/>
      <c r="AR637"/>
      <c r="AS637"/>
      <c r="AT637"/>
      <c r="AU637"/>
      <c r="AV637"/>
    </row>
    <row r="638" spans="41:48" x14ac:dyDescent="0.35">
      <c r="AO638"/>
      <c r="AP638"/>
      <c r="AQ638"/>
      <c r="AR638"/>
      <c r="AS638"/>
      <c r="AT638"/>
      <c r="AU638"/>
      <c r="AV638"/>
    </row>
    <row r="639" spans="41:48" x14ac:dyDescent="0.35">
      <c r="AO639"/>
      <c r="AP639"/>
      <c r="AQ639"/>
      <c r="AR639"/>
      <c r="AS639"/>
      <c r="AT639"/>
      <c r="AU639"/>
      <c r="AV639"/>
    </row>
    <row r="640" spans="41:48" x14ac:dyDescent="0.35">
      <c r="AO640"/>
      <c r="AP640"/>
      <c r="AQ640"/>
      <c r="AR640"/>
      <c r="AS640"/>
      <c r="AT640"/>
      <c r="AU640"/>
      <c r="AV640"/>
    </row>
    <row r="641" spans="41:48" x14ac:dyDescent="0.35">
      <c r="AO641"/>
      <c r="AP641"/>
      <c r="AQ641"/>
      <c r="AR641"/>
      <c r="AS641"/>
      <c r="AT641"/>
      <c r="AU641"/>
      <c r="AV641"/>
    </row>
    <row r="642" spans="41:48" x14ac:dyDescent="0.35">
      <c r="AO642"/>
      <c r="AP642"/>
      <c r="AQ642"/>
      <c r="AR642"/>
      <c r="AS642"/>
      <c r="AT642"/>
      <c r="AU642"/>
      <c r="AV642"/>
    </row>
    <row r="643" spans="41:48" x14ac:dyDescent="0.35">
      <c r="AO643"/>
      <c r="AP643"/>
      <c r="AQ643"/>
      <c r="AR643"/>
      <c r="AS643"/>
      <c r="AT643"/>
      <c r="AU643"/>
      <c r="AV643"/>
    </row>
    <row r="644" spans="41:48" x14ac:dyDescent="0.35">
      <c r="AO644"/>
      <c r="AP644"/>
      <c r="AQ644"/>
      <c r="AR644"/>
      <c r="AS644"/>
      <c r="AT644"/>
      <c r="AU644"/>
      <c r="AV644"/>
    </row>
    <row r="645" spans="41:48" x14ac:dyDescent="0.35">
      <c r="AO645"/>
      <c r="AP645"/>
      <c r="AQ645"/>
      <c r="AR645"/>
      <c r="AS645"/>
      <c r="AT645"/>
      <c r="AU645"/>
      <c r="AV645"/>
    </row>
    <row r="646" spans="41:48" x14ac:dyDescent="0.35">
      <c r="AO646"/>
      <c r="AP646"/>
      <c r="AQ646"/>
      <c r="AR646"/>
      <c r="AS646"/>
      <c r="AT646"/>
      <c r="AU646"/>
      <c r="AV646"/>
    </row>
    <row r="647" spans="41:48" x14ac:dyDescent="0.35">
      <c r="AO647"/>
      <c r="AP647"/>
      <c r="AQ647"/>
      <c r="AR647"/>
      <c r="AS647"/>
      <c r="AT647"/>
      <c r="AU647"/>
      <c r="AV647"/>
    </row>
    <row r="648" spans="41:48" x14ac:dyDescent="0.35">
      <c r="AO648"/>
      <c r="AP648"/>
      <c r="AQ648"/>
      <c r="AR648"/>
      <c r="AS648"/>
      <c r="AT648"/>
      <c r="AU648"/>
      <c r="AV648"/>
    </row>
    <row r="649" spans="41:48" x14ac:dyDescent="0.35">
      <c r="AO649"/>
      <c r="AP649"/>
      <c r="AQ649"/>
      <c r="AR649"/>
      <c r="AS649"/>
      <c r="AT649"/>
      <c r="AU649"/>
      <c r="AV649"/>
    </row>
    <row r="650" spans="41:48" x14ac:dyDescent="0.35">
      <c r="AO650"/>
      <c r="AP650"/>
      <c r="AQ650"/>
      <c r="AR650"/>
      <c r="AS650"/>
      <c r="AT650"/>
      <c r="AU650"/>
      <c r="AV650"/>
    </row>
    <row r="651" spans="41:48" x14ac:dyDescent="0.35">
      <c r="AO651"/>
      <c r="AP651"/>
      <c r="AQ651"/>
      <c r="AR651"/>
      <c r="AS651"/>
      <c r="AT651"/>
      <c r="AU651"/>
      <c r="AV651"/>
    </row>
    <row r="652" spans="41:48" x14ac:dyDescent="0.35">
      <c r="AO652"/>
      <c r="AP652"/>
      <c r="AQ652"/>
      <c r="AR652"/>
      <c r="AS652"/>
      <c r="AT652"/>
      <c r="AU652"/>
      <c r="AV652"/>
    </row>
    <row r="653" spans="41:48" x14ac:dyDescent="0.35">
      <c r="AO653"/>
      <c r="AP653"/>
      <c r="AQ653"/>
      <c r="AR653"/>
      <c r="AS653"/>
      <c r="AT653"/>
      <c r="AU653"/>
      <c r="AV653"/>
    </row>
    <row r="654" spans="41:48" x14ac:dyDescent="0.35">
      <c r="AO654"/>
      <c r="AP654"/>
      <c r="AQ654"/>
      <c r="AR654"/>
      <c r="AS654"/>
      <c r="AT654"/>
      <c r="AU654"/>
      <c r="AV654"/>
    </row>
    <row r="655" spans="41:48" x14ac:dyDescent="0.35">
      <c r="AO655"/>
      <c r="AP655"/>
      <c r="AQ655"/>
      <c r="AR655"/>
      <c r="AS655"/>
      <c r="AT655"/>
      <c r="AU655"/>
      <c r="AV655"/>
    </row>
    <row r="656" spans="41:48" x14ac:dyDescent="0.35">
      <c r="AO656"/>
      <c r="AP656"/>
      <c r="AQ656"/>
      <c r="AR656"/>
      <c r="AS656"/>
      <c r="AT656"/>
      <c r="AU656"/>
      <c r="AV656"/>
    </row>
    <row r="657" spans="41:48" x14ac:dyDescent="0.35">
      <c r="AO657"/>
      <c r="AP657"/>
      <c r="AQ657"/>
      <c r="AR657"/>
      <c r="AS657"/>
      <c r="AT657"/>
      <c r="AU657"/>
      <c r="AV657"/>
    </row>
    <row r="658" spans="41:48" x14ac:dyDescent="0.35">
      <c r="AO658"/>
      <c r="AP658"/>
      <c r="AQ658"/>
      <c r="AR658"/>
      <c r="AS658"/>
      <c r="AT658"/>
      <c r="AU658"/>
      <c r="AV658"/>
    </row>
    <row r="659" spans="41:48" x14ac:dyDescent="0.35">
      <c r="AO659"/>
      <c r="AP659"/>
      <c r="AQ659"/>
      <c r="AR659"/>
      <c r="AS659"/>
      <c r="AT659"/>
      <c r="AU659"/>
      <c r="AV659"/>
    </row>
    <row r="660" spans="41:48" x14ac:dyDescent="0.35">
      <c r="AO660"/>
      <c r="AP660"/>
      <c r="AQ660"/>
      <c r="AR660"/>
      <c r="AS660"/>
      <c r="AT660"/>
      <c r="AU660"/>
      <c r="AV660"/>
    </row>
    <row r="661" spans="41:48" x14ac:dyDescent="0.35">
      <c r="AO661"/>
      <c r="AP661"/>
      <c r="AQ661"/>
      <c r="AR661"/>
      <c r="AS661"/>
      <c r="AT661"/>
      <c r="AU661"/>
      <c r="AV661"/>
    </row>
    <row r="662" spans="41:48" x14ac:dyDescent="0.35">
      <c r="AO662"/>
      <c r="AP662"/>
      <c r="AQ662"/>
      <c r="AR662"/>
      <c r="AS662"/>
      <c r="AT662"/>
      <c r="AU662"/>
      <c r="AV662"/>
    </row>
    <row r="663" spans="41:48" x14ac:dyDescent="0.35">
      <c r="AO663"/>
      <c r="AP663"/>
      <c r="AQ663"/>
      <c r="AR663"/>
      <c r="AS663"/>
      <c r="AT663"/>
      <c r="AU663"/>
      <c r="AV663"/>
    </row>
    <row r="664" spans="41:48" x14ac:dyDescent="0.35">
      <c r="AO664"/>
      <c r="AP664"/>
      <c r="AQ664"/>
      <c r="AR664"/>
      <c r="AS664"/>
      <c r="AT664"/>
      <c r="AU664"/>
      <c r="AV664"/>
    </row>
    <row r="665" spans="41:48" x14ac:dyDescent="0.35">
      <c r="AO665"/>
      <c r="AP665"/>
      <c r="AQ665"/>
      <c r="AR665"/>
      <c r="AS665"/>
      <c r="AT665"/>
      <c r="AU665"/>
      <c r="AV665"/>
    </row>
    <row r="666" spans="41:48" x14ac:dyDescent="0.35">
      <c r="AO666"/>
      <c r="AP666"/>
      <c r="AQ666"/>
      <c r="AR666"/>
      <c r="AS666"/>
      <c r="AT666"/>
      <c r="AU666"/>
      <c r="AV666"/>
    </row>
    <row r="667" spans="41:48" x14ac:dyDescent="0.35">
      <c r="AO667"/>
      <c r="AP667"/>
      <c r="AQ667"/>
      <c r="AR667"/>
      <c r="AS667"/>
      <c r="AT667"/>
      <c r="AU667"/>
      <c r="AV667"/>
    </row>
    <row r="668" spans="41:48" x14ac:dyDescent="0.35">
      <c r="AO668"/>
      <c r="AP668"/>
      <c r="AQ668"/>
      <c r="AR668"/>
      <c r="AS668"/>
      <c r="AT668"/>
      <c r="AU668"/>
      <c r="AV668"/>
    </row>
    <row r="669" spans="41:48" x14ac:dyDescent="0.35">
      <c r="AO669"/>
      <c r="AP669"/>
      <c r="AQ669"/>
      <c r="AR669"/>
      <c r="AS669"/>
      <c r="AT669"/>
      <c r="AU669"/>
      <c r="AV669"/>
    </row>
    <row r="670" spans="41:48" x14ac:dyDescent="0.35">
      <c r="AO670"/>
      <c r="AP670"/>
      <c r="AQ670"/>
      <c r="AR670"/>
      <c r="AS670"/>
      <c r="AT670"/>
      <c r="AU670"/>
      <c r="AV670"/>
    </row>
    <row r="671" spans="41:48" x14ac:dyDescent="0.35">
      <c r="AO671"/>
      <c r="AP671"/>
      <c r="AQ671"/>
      <c r="AR671"/>
      <c r="AS671"/>
      <c r="AT671"/>
      <c r="AU671"/>
      <c r="AV671"/>
    </row>
    <row r="672" spans="41:48" x14ac:dyDescent="0.35">
      <c r="AO672"/>
      <c r="AP672"/>
      <c r="AQ672"/>
      <c r="AR672"/>
      <c r="AS672"/>
      <c r="AT672"/>
      <c r="AU672"/>
      <c r="AV672"/>
    </row>
    <row r="673" spans="41:48" x14ac:dyDescent="0.35">
      <c r="AO673"/>
      <c r="AP673"/>
      <c r="AQ673"/>
      <c r="AR673"/>
      <c r="AS673"/>
      <c r="AT673"/>
      <c r="AU673"/>
      <c r="AV673"/>
    </row>
    <row r="674" spans="41:48" x14ac:dyDescent="0.35">
      <c r="AO674"/>
      <c r="AP674"/>
      <c r="AQ674"/>
      <c r="AR674"/>
      <c r="AS674"/>
      <c r="AT674"/>
      <c r="AU674"/>
      <c r="AV674"/>
    </row>
    <row r="675" spans="41:48" x14ac:dyDescent="0.35">
      <c r="AO675"/>
      <c r="AP675"/>
      <c r="AQ675"/>
      <c r="AR675"/>
      <c r="AS675"/>
      <c r="AT675"/>
      <c r="AU675"/>
      <c r="AV675"/>
    </row>
    <row r="676" spans="41:48" x14ac:dyDescent="0.35">
      <c r="AO676"/>
      <c r="AP676"/>
      <c r="AQ676"/>
      <c r="AR676"/>
      <c r="AS676"/>
      <c r="AT676"/>
      <c r="AU676"/>
      <c r="AV676"/>
    </row>
    <row r="677" spans="41:48" x14ac:dyDescent="0.35">
      <c r="AO677"/>
      <c r="AP677"/>
      <c r="AQ677"/>
      <c r="AR677"/>
      <c r="AS677"/>
      <c r="AT677"/>
      <c r="AU677"/>
      <c r="AV677"/>
    </row>
    <row r="678" spans="41:48" x14ac:dyDescent="0.35">
      <c r="AO678"/>
      <c r="AP678"/>
      <c r="AQ678"/>
      <c r="AR678"/>
      <c r="AS678"/>
      <c r="AT678"/>
      <c r="AU678"/>
      <c r="AV678"/>
    </row>
    <row r="679" spans="41:48" x14ac:dyDescent="0.35">
      <c r="AO679"/>
      <c r="AP679"/>
      <c r="AQ679"/>
      <c r="AR679"/>
      <c r="AS679"/>
      <c r="AT679"/>
      <c r="AU679"/>
      <c r="AV679"/>
    </row>
    <row r="680" spans="41:48" x14ac:dyDescent="0.35">
      <c r="AO680"/>
      <c r="AP680"/>
      <c r="AQ680"/>
      <c r="AR680"/>
      <c r="AS680"/>
      <c r="AT680"/>
      <c r="AU680"/>
      <c r="AV680"/>
    </row>
    <row r="681" spans="41:48" x14ac:dyDescent="0.35">
      <c r="AO681"/>
      <c r="AP681"/>
      <c r="AQ681"/>
      <c r="AR681"/>
      <c r="AS681"/>
      <c r="AT681"/>
      <c r="AU681"/>
      <c r="AV681"/>
    </row>
    <row r="682" spans="41:48" x14ac:dyDescent="0.35">
      <c r="AO682"/>
      <c r="AP682"/>
      <c r="AQ682"/>
      <c r="AR682"/>
      <c r="AS682"/>
      <c r="AT682"/>
      <c r="AU682"/>
      <c r="AV682"/>
    </row>
    <row r="683" spans="41:48" x14ac:dyDescent="0.35">
      <c r="AO683"/>
      <c r="AP683"/>
      <c r="AQ683"/>
      <c r="AR683"/>
      <c r="AS683"/>
      <c r="AT683"/>
      <c r="AU683"/>
      <c r="AV683"/>
    </row>
    <row r="684" spans="41:48" x14ac:dyDescent="0.35">
      <c r="AO684"/>
      <c r="AP684"/>
      <c r="AQ684"/>
      <c r="AR684"/>
      <c r="AS684"/>
      <c r="AT684"/>
      <c r="AU684"/>
      <c r="AV684"/>
    </row>
    <row r="685" spans="41:48" x14ac:dyDescent="0.35">
      <c r="AO685"/>
      <c r="AP685"/>
      <c r="AQ685"/>
      <c r="AR685"/>
      <c r="AS685"/>
      <c r="AT685"/>
      <c r="AU685"/>
      <c r="AV685"/>
    </row>
    <row r="686" spans="41:48" x14ac:dyDescent="0.35">
      <c r="AO686"/>
      <c r="AP686"/>
      <c r="AQ686"/>
      <c r="AR686"/>
      <c r="AS686"/>
      <c r="AT686"/>
      <c r="AU686"/>
      <c r="AV686"/>
    </row>
    <row r="687" spans="41:48" x14ac:dyDescent="0.35">
      <c r="AO687"/>
      <c r="AP687"/>
      <c r="AQ687"/>
      <c r="AR687"/>
      <c r="AS687"/>
      <c r="AT687"/>
      <c r="AU687"/>
      <c r="AV687"/>
    </row>
    <row r="688" spans="41:48" x14ac:dyDescent="0.35">
      <c r="AO688"/>
      <c r="AP688"/>
      <c r="AQ688"/>
      <c r="AR688"/>
      <c r="AS688"/>
      <c r="AT688"/>
      <c r="AU688"/>
      <c r="AV688"/>
    </row>
    <row r="689" spans="41:48" x14ac:dyDescent="0.35">
      <c r="AO689"/>
      <c r="AP689"/>
      <c r="AQ689"/>
      <c r="AR689"/>
      <c r="AS689"/>
      <c r="AT689"/>
      <c r="AU689"/>
      <c r="AV689"/>
    </row>
    <row r="690" spans="41:48" x14ac:dyDescent="0.35">
      <c r="AO690"/>
      <c r="AP690"/>
      <c r="AQ690"/>
      <c r="AR690"/>
      <c r="AS690"/>
      <c r="AT690"/>
      <c r="AU690"/>
      <c r="AV690"/>
    </row>
    <row r="691" spans="41:48" x14ac:dyDescent="0.35">
      <c r="AO691"/>
      <c r="AP691"/>
      <c r="AQ691"/>
      <c r="AR691"/>
      <c r="AS691"/>
      <c r="AT691"/>
      <c r="AU691"/>
      <c r="AV691"/>
    </row>
    <row r="692" spans="41:48" x14ac:dyDescent="0.35">
      <c r="AO692"/>
      <c r="AP692"/>
      <c r="AQ692"/>
      <c r="AR692"/>
      <c r="AS692"/>
      <c r="AT692"/>
      <c r="AU692"/>
      <c r="AV692"/>
    </row>
    <row r="693" spans="41:48" x14ac:dyDescent="0.35">
      <c r="AO693"/>
      <c r="AP693"/>
      <c r="AQ693"/>
      <c r="AR693"/>
      <c r="AS693"/>
      <c r="AT693"/>
      <c r="AU693"/>
      <c r="AV693"/>
    </row>
    <row r="694" spans="41:48" x14ac:dyDescent="0.35">
      <c r="AO694"/>
      <c r="AP694"/>
      <c r="AQ694"/>
      <c r="AR694"/>
      <c r="AS694"/>
      <c r="AT694"/>
      <c r="AU694"/>
      <c r="AV694"/>
    </row>
    <row r="695" spans="41:48" x14ac:dyDescent="0.35">
      <c r="AO695"/>
      <c r="AP695"/>
      <c r="AQ695"/>
      <c r="AR695"/>
      <c r="AS695"/>
      <c r="AT695"/>
      <c r="AU695"/>
      <c r="AV695"/>
    </row>
    <row r="696" spans="41:48" x14ac:dyDescent="0.35">
      <c r="AO696"/>
      <c r="AP696"/>
      <c r="AQ696"/>
      <c r="AR696"/>
      <c r="AS696"/>
      <c r="AT696"/>
      <c r="AU696"/>
      <c r="AV696"/>
    </row>
    <row r="697" spans="41:48" x14ac:dyDescent="0.35">
      <c r="AO697"/>
      <c r="AP697"/>
      <c r="AQ697"/>
      <c r="AR697"/>
      <c r="AS697"/>
      <c r="AT697"/>
      <c r="AU697"/>
      <c r="AV697"/>
    </row>
    <row r="698" spans="41:48" x14ac:dyDescent="0.35">
      <c r="AO698"/>
      <c r="AP698"/>
      <c r="AQ698"/>
      <c r="AR698"/>
      <c r="AS698"/>
      <c r="AT698"/>
      <c r="AU698"/>
      <c r="AV698"/>
    </row>
    <row r="699" spans="41:48" x14ac:dyDescent="0.35">
      <c r="AO699"/>
      <c r="AP699"/>
      <c r="AQ699"/>
      <c r="AR699"/>
      <c r="AS699"/>
      <c r="AT699"/>
      <c r="AU699"/>
      <c r="AV699"/>
    </row>
    <row r="700" spans="41:48" x14ac:dyDescent="0.35">
      <c r="AO700"/>
      <c r="AP700"/>
      <c r="AQ700"/>
      <c r="AR700"/>
      <c r="AS700"/>
      <c r="AT700"/>
      <c r="AU700"/>
      <c r="AV700"/>
    </row>
    <row r="701" spans="41:48" x14ac:dyDescent="0.35">
      <c r="AO701"/>
      <c r="AP701"/>
      <c r="AQ701"/>
      <c r="AR701"/>
      <c r="AS701"/>
      <c r="AT701"/>
      <c r="AU701"/>
      <c r="AV701"/>
    </row>
    <row r="702" spans="41:48" x14ac:dyDescent="0.35">
      <c r="AO702"/>
      <c r="AP702"/>
      <c r="AQ702"/>
      <c r="AR702"/>
      <c r="AS702"/>
      <c r="AT702"/>
      <c r="AU702"/>
      <c r="AV702"/>
    </row>
    <row r="703" spans="41:48" x14ac:dyDescent="0.35">
      <c r="AO703"/>
      <c r="AP703"/>
      <c r="AQ703"/>
      <c r="AR703"/>
      <c r="AS703"/>
      <c r="AT703"/>
      <c r="AU703"/>
      <c r="AV703"/>
    </row>
    <row r="704" spans="41:48" x14ac:dyDescent="0.35">
      <c r="AO704"/>
      <c r="AP704"/>
      <c r="AQ704"/>
      <c r="AR704"/>
      <c r="AS704"/>
      <c r="AT704"/>
      <c r="AU704"/>
      <c r="AV704"/>
    </row>
    <row r="705" spans="41:48" x14ac:dyDescent="0.35">
      <c r="AO705"/>
      <c r="AP705"/>
      <c r="AQ705"/>
      <c r="AR705"/>
      <c r="AS705"/>
      <c r="AT705"/>
      <c r="AU705"/>
      <c r="AV705"/>
    </row>
    <row r="706" spans="41:48" x14ac:dyDescent="0.35">
      <c r="AO706"/>
      <c r="AP706"/>
      <c r="AQ706"/>
      <c r="AR706"/>
      <c r="AS706"/>
      <c r="AT706"/>
      <c r="AU706"/>
      <c r="AV706"/>
    </row>
    <row r="707" spans="41:48" x14ac:dyDescent="0.35">
      <c r="AO707"/>
      <c r="AP707"/>
      <c r="AQ707"/>
      <c r="AR707"/>
      <c r="AS707"/>
      <c r="AT707"/>
      <c r="AU707"/>
      <c r="AV707"/>
    </row>
    <row r="708" spans="41:48" x14ac:dyDescent="0.35">
      <c r="AO708"/>
      <c r="AP708"/>
      <c r="AQ708"/>
      <c r="AR708"/>
      <c r="AS708"/>
      <c r="AT708"/>
      <c r="AU708"/>
      <c r="AV708"/>
    </row>
    <row r="709" spans="41:48" x14ac:dyDescent="0.35">
      <c r="AO709"/>
      <c r="AP709"/>
      <c r="AQ709"/>
      <c r="AR709"/>
      <c r="AS709"/>
      <c r="AT709"/>
      <c r="AU709"/>
      <c r="AV709"/>
    </row>
    <row r="710" spans="41:48" x14ac:dyDescent="0.35">
      <c r="AO710"/>
      <c r="AP710"/>
      <c r="AQ710"/>
      <c r="AR710"/>
      <c r="AS710"/>
      <c r="AT710"/>
      <c r="AU710"/>
      <c r="AV710"/>
    </row>
    <row r="711" spans="41:48" x14ac:dyDescent="0.35">
      <c r="AO711"/>
      <c r="AP711"/>
      <c r="AQ711"/>
      <c r="AR711"/>
      <c r="AS711"/>
      <c r="AT711"/>
      <c r="AU711"/>
      <c r="AV711"/>
    </row>
    <row r="712" spans="41:48" x14ac:dyDescent="0.35">
      <c r="AO712"/>
      <c r="AP712"/>
      <c r="AQ712"/>
      <c r="AR712"/>
      <c r="AS712"/>
      <c r="AT712"/>
      <c r="AU712"/>
      <c r="AV712"/>
    </row>
    <row r="713" spans="41:48" x14ac:dyDescent="0.35">
      <c r="AO713"/>
      <c r="AP713"/>
      <c r="AQ713"/>
      <c r="AR713"/>
      <c r="AS713"/>
      <c r="AT713"/>
      <c r="AU713"/>
      <c r="AV713"/>
    </row>
    <row r="714" spans="41:48" x14ac:dyDescent="0.35">
      <c r="AO714"/>
      <c r="AP714"/>
      <c r="AQ714"/>
      <c r="AR714"/>
      <c r="AS714"/>
      <c r="AT714"/>
      <c r="AU714"/>
      <c r="AV714"/>
    </row>
    <row r="715" spans="41:48" x14ac:dyDescent="0.35">
      <c r="AO715"/>
      <c r="AP715"/>
      <c r="AQ715"/>
      <c r="AR715"/>
      <c r="AS715"/>
      <c r="AT715"/>
      <c r="AU715"/>
      <c r="AV715"/>
    </row>
    <row r="716" spans="41:48" x14ac:dyDescent="0.35">
      <c r="AO716"/>
      <c r="AP716"/>
      <c r="AQ716"/>
      <c r="AR716"/>
      <c r="AS716"/>
      <c r="AT716"/>
      <c r="AU716"/>
      <c r="AV716"/>
    </row>
    <row r="717" spans="41:48" x14ac:dyDescent="0.35">
      <c r="AO717"/>
      <c r="AP717"/>
      <c r="AQ717"/>
      <c r="AR717"/>
      <c r="AS717"/>
      <c r="AT717"/>
      <c r="AU717"/>
      <c r="AV717"/>
    </row>
    <row r="718" spans="41:48" x14ac:dyDescent="0.35">
      <c r="AO718"/>
      <c r="AP718"/>
      <c r="AQ718"/>
      <c r="AR718"/>
      <c r="AS718"/>
      <c r="AT718"/>
      <c r="AU718"/>
      <c r="AV718"/>
    </row>
    <row r="719" spans="41:48" x14ac:dyDescent="0.35">
      <c r="AO719"/>
      <c r="AP719"/>
      <c r="AQ719"/>
      <c r="AR719"/>
      <c r="AS719"/>
      <c r="AT719"/>
      <c r="AU719"/>
      <c r="AV719"/>
    </row>
    <row r="720" spans="41:48" x14ac:dyDescent="0.35">
      <c r="AO720"/>
      <c r="AP720"/>
      <c r="AQ720"/>
      <c r="AR720"/>
      <c r="AS720"/>
      <c r="AT720"/>
      <c r="AU720"/>
      <c r="AV720"/>
    </row>
    <row r="721" spans="41:48" x14ac:dyDescent="0.35">
      <c r="AO721"/>
      <c r="AP721"/>
      <c r="AQ721"/>
      <c r="AR721"/>
      <c r="AS721"/>
      <c r="AT721"/>
      <c r="AU721"/>
      <c r="AV721"/>
    </row>
    <row r="722" spans="41:48" x14ac:dyDescent="0.35">
      <c r="AO722"/>
      <c r="AP722"/>
      <c r="AQ722"/>
      <c r="AR722"/>
      <c r="AS722"/>
      <c r="AT722"/>
      <c r="AU722"/>
      <c r="AV722"/>
    </row>
    <row r="723" spans="41:48" x14ac:dyDescent="0.35">
      <c r="AO723"/>
      <c r="AP723"/>
      <c r="AQ723"/>
      <c r="AR723"/>
      <c r="AS723"/>
      <c r="AT723"/>
      <c r="AU723"/>
      <c r="AV723"/>
    </row>
    <row r="724" spans="41:48" x14ac:dyDescent="0.35">
      <c r="AO724"/>
      <c r="AP724"/>
      <c r="AQ724"/>
      <c r="AR724"/>
      <c r="AS724"/>
      <c r="AT724"/>
      <c r="AU724"/>
      <c r="AV724"/>
    </row>
    <row r="725" spans="41:48" x14ac:dyDescent="0.35">
      <c r="AO725"/>
      <c r="AP725"/>
      <c r="AQ725"/>
      <c r="AR725"/>
      <c r="AS725"/>
      <c r="AT725"/>
      <c r="AU725"/>
      <c r="AV725"/>
    </row>
    <row r="726" spans="41:48" x14ac:dyDescent="0.35">
      <c r="AO726"/>
      <c r="AP726"/>
      <c r="AQ726"/>
      <c r="AR726"/>
      <c r="AS726"/>
      <c r="AT726"/>
      <c r="AU726"/>
      <c r="AV726"/>
    </row>
    <row r="727" spans="41:48" x14ac:dyDescent="0.35">
      <c r="AO727"/>
      <c r="AP727"/>
      <c r="AQ727"/>
      <c r="AR727"/>
      <c r="AS727"/>
      <c r="AT727"/>
      <c r="AU727"/>
      <c r="AV727"/>
    </row>
    <row r="728" spans="41:48" x14ac:dyDescent="0.35">
      <c r="AO728"/>
      <c r="AP728"/>
      <c r="AQ728"/>
      <c r="AR728"/>
      <c r="AS728"/>
      <c r="AT728"/>
      <c r="AU728"/>
      <c r="AV728"/>
    </row>
    <row r="729" spans="41:48" x14ac:dyDescent="0.35">
      <c r="AO729"/>
      <c r="AP729"/>
      <c r="AQ729"/>
      <c r="AR729"/>
      <c r="AS729"/>
      <c r="AT729"/>
      <c r="AU729"/>
      <c r="AV729"/>
    </row>
    <row r="730" spans="41:48" x14ac:dyDescent="0.35">
      <c r="AO730"/>
      <c r="AP730"/>
      <c r="AQ730"/>
      <c r="AR730"/>
      <c r="AS730"/>
      <c r="AT730"/>
      <c r="AU730"/>
      <c r="AV730"/>
    </row>
    <row r="731" spans="41:48" x14ac:dyDescent="0.35">
      <c r="AO731"/>
      <c r="AP731"/>
      <c r="AQ731"/>
      <c r="AR731"/>
      <c r="AS731"/>
      <c r="AT731"/>
      <c r="AU731"/>
      <c r="AV731"/>
    </row>
    <row r="732" spans="41:48" x14ac:dyDescent="0.35">
      <c r="AO732"/>
      <c r="AP732"/>
      <c r="AQ732"/>
      <c r="AR732"/>
      <c r="AS732"/>
      <c r="AT732"/>
      <c r="AU732"/>
      <c r="AV732"/>
    </row>
    <row r="733" spans="41:48" x14ac:dyDescent="0.35">
      <c r="AO733"/>
      <c r="AP733"/>
      <c r="AQ733"/>
      <c r="AR733"/>
      <c r="AS733"/>
      <c r="AT733"/>
      <c r="AU733"/>
      <c r="AV733"/>
    </row>
    <row r="734" spans="41:48" x14ac:dyDescent="0.35">
      <c r="AO734"/>
      <c r="AP734"/>
      <c r="AQ734"/>
      <c r="AR734"/>
      <c r="AS734"/>
      <c r="AT734"/>
      <c r="AU734"/>
      <c r="AV734"/>
    </row>
    <row r="735" spans="41:48" x14ac:dyDescent="0.35">
      <c r="AO735"/>
      <c r="AP735"/>
      <c r="AQ735"/>
      <c r="AR735"/>
      <c r="AS735"/>
      <c r="AT735"/>
      <c r="AU735"/>
      <c r="AV735"/>
    </row>
    <row r="736" spans="41:48" x14ac:dyDescent="0.35">
      <c r="AO736"/>
      <c r="AP736"/>
      <c r="AQ736"/>
      <c r="AR736"/>
      <c r="AS736"/>
      <c r="AT736"/>
      <c r="AU736"/>
      <c r="AV736"/>
    </row>
    <row r="737" spans="41:48" x14ac:dyDescent="0.35">
      <c r="AO737"/>
      <c r="AP737"/>
      <c r="AQ737"/>
      <c r="AR737"/>
      <c r="AS737"/>
      <c r="AT737"/>
      <c r="AU737"/>
      <c r="AV737"/>
    </row>
    <row r="738" spans="41:48" x14ac:dyDescent="0.35">
      <c r="AO738"/>
      <c r="AP738"/>
      <c r="AQ738"/>
      <c r="AR738"/>
      <c r="AS738"/>
      <c r="AT738"/>
      <c r="AU738"/>
      <c r="AV738"/>
    </row>
    <row r="739" spans="41:48" x14ac:dyDescent="0.35">
      <c r="AO739"/>
      <c r="AP739"/>
      <c r="AQ739"/>
      <c r="AR739"/>
      <c r="AS739"/>
      <c r="AT739"/>
      <c r="AU739"/>
      <c r="AV739"/>
    </row>
    <row r="740" spans="41:48" x14ac:dyDescent="0.35">
      <c r="AO740"/>
      <c r="AP740"/>
      <c r="AQ740"/>
      <c r="AR740"/>
      <c r="AS740"/>
      <c r="AT740"/>
      <c r="AU740"/>
      <c r="AV740"/>
    </row>
    <row r="741" spans="41:48" x14ac:dyDescent="0.35">
      <c r="AO741"/>
      <c r="AP741"/>
      <c r="AQ741"/>
      <c r="AR741"/>
      <c r="AS741"/>
      <c r="AT741"/>
      <c r="AU741"/>
      <c r="AV741"/>
    </row>
    <row r="742" spans="41:48" x14ac:dyDescent="0.35">
      <c r="AO742"/>
      <c r="AP742"/>
      <c r="AQ742"/>
      <c r="AR742"/>
      <c r="AS742"/>
      <c r="AT742"/>
      <c r="AU742"/>
      <c r="AV742"/>
    </row>
    <row r="743" spans="41:48" x14ac:dyDescent="0.35">
      <c r="AO743"/>
      <c r="AP743"/>
      <c r="AQ743"/>
      <c r="AR743"/>
      <c r="AS743"/>
      <c r="AT743"/>
      <c r="AU743"/>
      <c r="AV743"/>
    </row>
    <row r="744" spans="41:48" x14ac:dyDescent="0.35">
      <c r="AO744"/>
      <c r="AP744"/>
      <c r="AQ744"/>
      <c r="AR744"/>
      <c r="AS744"/>
      <c r="AT744"/>
      <c r="AU744"/>
      <c r="AV744"/>
    </row>
    <row r="745" spans="41:48" x14ac:dyDescent="0.35">
      <c r="AO745"/>
      <c r="AP745"/>
      <c r="AQ745"/>
      <c r="AR745"/>
      <c r="AS745"/>
      <c r="AT745"/>
      <c r="AU745"/>
      <c r="AV745"/>
    </row>
    <row r="746" spans="41:48" x14ac:dyDescent="0.35">
      <c r="AO746"/>
      <c r="AP746"/>
      <c r="AQ746"/>
      <c r="AR746"/>
      <c r="AS746"/>
      <c r="AT746"/>
      <c r="AU746"/>
      <c r="AV746"/>
    </row>
    <row r="747" spans="41:48" x14ac:dyDescent="0.35">
      <c r="AO747"/>
      <c r="AP747"/>
      <c r="AQ747"/>
      <c r="AR747"/>
      <c r="AS747"/>
      <c r="AT747"/>
      <c r="AU747"/>
      <c r="AV747"/>
    </row>
    <row r="748" spans="41:48" x14ac:dyDescent="0.35">
      <c r="AO748"/>
      <c r="AP748"/>
      <c r="AQ748"/>
      <c r="AR748"/>
      <c r="AS748"/>
      <c r="AT748"/>
      <c r="AU748"/>
      <c r="AV748"/>
    </row>
    <row r="749" spans="41:48" x14ac:dyDescent="0.35">
      <c r="AO749"/>
      <c r="AP749"/>
      <c r="AQ749"/>
      <c r="AR749"/>
      <c r="AS749"/>
      <c r="AT749"/>
      <c r="AU749"/>
      <c r="AV749"/>
    </row>
    <row r="750" spans="41:48" x14ac:dyDescent="0.35">
      <c r="AO750"/>
      <c r="AP750"/>
      <c r="AQ750"/>
      <c r="AR750"/>
      <c r="AS750"/>
      <c r="AT750"/>
      <c r="AU750"/>
      <c r="AV750"/>
    </row>
    <row r="751" spans="41:48" x14ac:dyDescent="0.35">
      <c r="AO751"/>
      <c r="AP751"/>
      <c r="AQ751"/>
      <c r="AR751"/>
      <c r="AS751"/>
      <c r="AT751"/>
      <c r="AU751"/>
      <c r="AV751"/>
    </row>
    <row r="752" spans="41:48" x14ac:dyDescent="0.35">
      <c r="AO752"/>
      <c r="AP752"/>
      <c r="AQ752"/>
      <c r="AR752"/>
      <c r="AS752"/>
      <c r="AT752"/>
      <c r="AU752"/>
      <c r="AV752"/>
    </row>
    <row r="753" spans="41:48" x14ac:dyDescent="0.35">
      <c r="AO753"/>
      <c r="AP753"/>
      <c r="AQ753"/>
      <c r="AR753"/>
      <c r="AS753"/>
      <c r="AT753"/>
      <c r="AU753"/>
      <c r="AV753"/>
    </row>
    <row r="754" spans="41:48" x14ac:dyDescent="0.35">
      <c r="AO754"/>
      <c r="AP754"/>
      <c r="AQ754"/>
      <c r="AR754"/>
      <c r="AS754"/>
      <c r="AT754"/>
      <c r="AU754"/>
      <c r="AV754"/>
    </row>
    <row r="755" spans="41:48" x14ac:dyDescent="0.35">
      <c r="AO755"/>
      <c r="AP755"/>
      <c r="AQ755"/>
      <c r="AR755"/>
      <c r="AS755"/>
      <c r="AT755"/>
      <c r="AU755"/>
      <c r="AV755"/>
    </row>
    <row r="756" spans="41:48" x14ac:dyDescent="0.35">
      <c r="AO756"/>
      <c r="AP756"/>
      <c r="AQ756"/>
      <c r="AR756"/>
      <c r="AS756"/>
      <c r="AT756"/>
      <c r="AU756"/>
      <c r="AV756"/>
    </row>
    <row r="757" spans="41:48" x14ac:dyDescent="0.35">
      <c r="AO757"/>
      <c r="AP757"/>
      <c r="AQ757"/>
      <c r="AR757"/>
      <c r="AS757"/>
      <c r="AT757"/>
      <c r="AU757"/>
      <c r="AV757"/>
    </row>
    <row r="758" spans="41:48" x14ac:dyDescent="0.35">
      <c r="AO758"/>
      <c r="AP758"/>
      <c r="AQ758"/>
      <c r="AR758"/>
      <c r="AS758"/>
      <c r="AT758"/>
      <c r="AU758"/>
      <c r="AV758"/>
    </row>
    <row r="759" spans="41:48" x14ac:dyDescent="0.35">
      <c r="AO759"/>
      <c r="AP759"/>
      <c r="AQ759"/>
      <c r="AR759"/>
      <c r="AS759"/>
      <c r="AT759"/>
      <c r="AU759"/>
      <c r="AV759"/>
    </row>
    <row r="760" spans="41:48" x14ac:dyDescent="0.35">
      <c r="AO760"/>
      <c r="AP760"/>
      <c r="AQ760"/>
      <c r="AR760"/>
      <c r="AS760"/>
      <c r="AT760"/>
      <c r="AU760"/>
      <c r="AV760"/>
    </row>
    <row r="761" spans="41:48" x14ac:dyDescent="0.35">
      <c r="AO761"/>
      <c r="AP761"/>
      <c r="AQ761"/>
      <c r="AR761"/>
      <c r="AS761"/>
      <c r="AT761"/>
      <c r="AU761"/>
      <c r="AV761"/>
    </row>
    <row r="762" spans="41:48" x14ac:dyDescent="0.35">
      <c r="AO762"/>
      <c r="AP762"/>
      <c r="AQ762"/>
      <c r="AR762"/>
      <c r="AS762"/>
      <c r="AT762"/>
      <c r="AU762"/>
      <c r="AV762"/>
    </row>
    <row r="763" spans="41:48" x14ac:dyDescent="0.35">
      <c r="AO763"/>
      <c r="AP763"/>
      <c r="AQ763"/>
      <c r="AR763"/>
      <c r="AS763"/>
      <c r="AT763"/>
      <c r="AU763"/>
      <c r="AV763"/>
    </row>
    <row r="764" spans="41:48" x14ac:dyDescent="0.35">
      <c r="AO764"/>
      <c r="AP764"/>
      <c r="AQ764"/>
      <c r="AR764"/>
      <c r="AS764"/>
      <c r="AT764"/>
      <c r="AU764"/>
      <c r="AV764"/>
    </row>
    <row r="765" spans="41:48" x14ac:dyDescent="0.35">
      <c r="AO765"/>
      <c r="AP765"/>
      <c r="AQ765"/>
      <c r="AR765"/>
      <c r="AS765"/>
      <c r="AT765"/>
      <c r="AU765"/>
      <c r="AV765"/>
    </row>
    <row r="766" spans="41:48" x14ac:dyDescent="0.35">
      <c r="AO766"/>
      <c r="AP766"/>
      <c r="AQ766"/>
      <c r="AR766"/>
      <c r="AS766"/>
      <c r="AT766"/>
      <c r="AU766"/>
      <c r="AV766"/>
    </row>
    <row r="767" spans="41:48" x14ac:dyDescent="0.35">
      <c r="AO767"/>
      <c r="AP767"/>
      <c r="AQ767"/>
      <c r="AR767"/>
      <c r="AS767"/>
      <c r="AT767"/>
      <c r="AU767"/>
      <c r="AV767"/>
    </row>
    <row r="768" spans="41:48" x14ac:dyDescent="0.35">
      <c r="AO768"/>
      <c r="AP768"/>
      <c r="AQ768"/>
      <c r="AR768"/>
      <c r="AS768"/>
      <c r="AT768"/>
      <c r="AU768"/>
      <c r="AV768"/>
    </row>
    <row r="769" spans="41:48" x14ac:dyDescent="0.35">
      <c r="AO769"/>
      <c r="AP769"/>
      <c r="AQ769"/>
      <c r="AR769"/>
      <c r="AS769"/>
      <c r="AT769"/>
      <c r="AU769"/>
      <c r="AV769"/>
    </row>
    <row r="770" spans="41:48" x14ac:dyDescent="0.35">
      <c r="AO770"/>
      <c r="AP770"/>
      <c r="AQ770"/>
      <c r="AR770"/>
      <c r="AS770"/>
      <c r="AT770"/>
      <c r="AU770"/>
      <c r="AV770"/>
    </row>
    <row r="771" spans="41:48" x14ac:dyDescent="0.35">
      <c r="AO771"/>
      <c r="AP771"/>
      <c r="AQ771"/>
      <c r="AR771"/>
      <c r="AS771"/>
      <c r="AT771"/>
      <c r="AU771"/>
      <c r="AV771"/>
    </row>
    <row r="772" spans="41:48" x14ac:dyDescent="0.35">
      <c r="AO772"/>
      <c r="AP772"/>
      <c r="AQ772"/>
      <c r="AR772"/>
      <c r="AS772"/>
      <c r="AT772"/>
      <c r="AU772"/>
      <c r="AV772"/>
    </row>
    <row r="773" spans="41:48" x14ac:dyDescent="0.35">
      <c r="AO773"/>
      <c r="AP773"/>
      <c r="AQ773"/>
      <c r="AR773"/>
      <c r="AS773"/>
      <c r="AT773"/>
      <c r="AU773"/>
      <c r="AV773"/>
    </row>
    <row r="774" spans="41:48" x14ac:dyDescent="0.35">
      <c r="AO774"/>
      <c r="AP774"/>
      <c r="AQ774"/>
      <c r="AR774"/>
      <c r="AS774"/>
      <c r="AT774"/>
      <c r="AU774"/>
      <c r="AV774"/>
    </row>
    <row r="775" spans="41:48" x14ac:dyDescent="0.35">
      <c r="AO775"/>
      <c r="AP775"/>
      <c r="AQ775"/>
      <c r="AR775"/>
      <c r="AS775"/>
      <c r="AT775"/>
      <c r="AU775"/>
      <c r="AV775"/>
    </row>
    <row r="776" spans="41:48" x14ac:dyDescent="0.35">
      <c r="AO776"/>
      <c r="AP776"/>
      <c r="AQ776"/>
      <c r="AR776"/>
      <c r="AS776"/>
      <c r="AT776"/>
      <c r="AU776"/>
      <c r="AV776"/>
    </row>
    <row r="777" spans="41:48" x14ac:dyDescent="0.35">
      <c r="AO777"/>
      <c r="AP777"/>
      <c r="AQ777"/>
      <c r="AR777"/>
      <c r="AS777"/>
      <c r="AT777"/>
      <c r="AU777"/>
      <c r="AV777"/>
    </row>
    <row r="778" spans="41:48" x14ac:dyDescent="0.35">
      <c r="AO778"/>
      <c r="AP778"/>
      <c r="AQ778"/>
      <c r="AR778"/>
      <c r="AS778"/>
      <c r="AT778"/>
      <c r="AU778"/>
      <c r="AV778"/>
    </row>
    <row r="779" spans="41:48" x14ac:dyDescent="0.35">
      <c r="AO779"/>
      <c r="AP779"/>
      <c r="AQ779"/>
      <c r="AR779"/>
      <c r="AS779"/>
      <c r="AT779"/>
      <c r="AU779"/>
      <c r="AV779"/>
    </row>
    <row r="780" spans="41:48" x14ac:dyDescent="0.35">
      <c r="AO780"/>
      <c r="AP780"/>
      <c r="AQ780"/>
      <c r="AR780"/>
      <c r="AS780"/>
      <c r="AT780"/>
      <c r="AU780"/>
      <c r="AV780"/>
    </row>
    <row r="781" spans="41:48" x14ac:dyDescent="0.35">
      <c r="AO781"/>
      <c r="AP781"/>
      <c r="AQ781"/>
      <c r="AR781"/>
      <c r="AS781"/>
      <c r="AT781"/>
      <c r="AU781"/>
      <c r="AV781"/>
    </row>
    <row r="782" spans="41:48" x14ac:dyDescent="0.35">
      <c r="AO782"/>
      <c r="AP782"/>
      <c r="AQ782"/>
      <c r="AR782"/>
      <c r="AS782"/>
      <c r="AT782"/>
      <c r="AU782"/>
      <c r="AV782"/>
    </row>
    <row r="783" spans="41:48" x14ac:dyDescent="0.35">
      <c r="AO783"/>
      <c r="AP783"/>
      <c r="AQ783"/>
      <c r="AR783"/>
      <c r="AS783"/>
      <c r="AT783"/>
      <c r="AU783"/>
      <c r="AV783"/>
    </row>
    <row r="784" spans="41:48" x14ac:dyDescent="0.35">
      <c r="AO784"/>
      <c r="AP784"/>
      <c r="AQ784"/>
      <c r="AR784"/>
      <c r="AS784"/>
      <c r="AT784"/>
      <c r="AU784"/>
      <c r="AV784"/>
    </row>
    <row r="785" spans="41:48" x14ac:dyDescent="0.35">
      <c r="AO785"/>
      <c r="AP785"/>
      <c r="AQ785"/>
      <c r="AR785"/>
      <c r="AS785"/>
      <c r="AT785"/>
      <c r="AU785"/>
      <c r="AV785"/>
    </row>
    <row r="786" spans="41:48" x14ac:dyDescent="0.35">
      <c r="AO786"/>
      <c r="AP786"/>
      <c r="AQ786"/>
      <c r="AR786"/>
      <c r="AS786"/>
      <c r="AT786"/>
      <c r="AU786"/>
      <c r="AV786"/>
    </row>
    <row r="787" spans="41:48" x14ac:dyDescent="0.35">
      <c r="AO787"/>
      <c r="AP787"/>
      <c r="AQ787"/>
      <c r="AR787"/>
      <c r="AS787"/>
      <c r="AT787"/>
      <c r="AU787"/>
      <c r="AV787"/>
    </row>
    <row r="788" spans="41:48" x14ac:dyDescent="0.35">
      <c r="AO788"/>
      <c r="AP788"/>
      <c r="AQ788"/>
      <c r="AR788"/>
      <c r="AS788"/>
      <c r="AT788"/>
      <c r="AU788"/>
      <c r="AV788"/>
    </row>
    <row r="789" spans="41:48" x14ac:dyDescent="0.35">
      <c r="AO789"/>
      <c r="AP789"/>
      <c r="AQ789"/>
      <c r="AR789"/>
      <c r="AS789"/>
      <c r="AT789"/>
      <c r="AU789"/>
      <c r="AV789"/>
    </row>
    <row r="790" spans="41:48" x14ac:dyDescent="0.35">
      <c r="AO790"/>
      <c r="AP790"/>
      <c r="AQ790"/>
      <c r="AR790"/>
      <c r="AS790"/>
      <c r="AT790"/>
      <c r="AU790"/>
      <c r="AV790"/>
    </row>
    <row r="791" spans="41:48" x14ac:dyDescent="0.35">
      <c r="AO791"/>
      <c r="AP791"/>
      <c r="AQ791"/>
      <c r="AR791"/>
      <c r="AS791"/>
      <c r="AT791"/>
      <c r="AU791"/>
      <c r="AV791"/>
    </row>
    <row r="792" spans="41:48" x14ac:dyDescent="0.35">
      <c r="AO792"/>
      <c r="AP792"/>
      <c r="AQ792"/>
      <c r="AR792"/>
      <c r="AS792"/>
      <c r="AT792"/>
      <c r="AU792"/>
      <c r="AV792"/>
    </row>
    <row r="793" spans="41:48" x14ac:dyDescent="0.35">
      <c r="AO793"/>
      <c r="AP793"/>
      <c r="AQ793"/>
      <c r="AR793"/>
      <c r="AS793"/>
      <c r="AT793"/>
      <c r="AU793"/>
      <c r="AV793"/>
    </row>
    <row r="794" spans="41:48" x14ac:dyDescent="0.35">
      <c r="AO794"/>
      <c r="AP794"/>
      <c r="AQ794"/>
      <c r="AR794"/>
      <c r="AS794"/>
      <c r="AT794"/>
      <c r="AU794"/>
      <c r="AV794"/>
    </row>
    <row r="795" spans="41:48" x14ac:dyDescent="0.35">
      <c r="AO795"/>
      <c r="AP795"/>
      <c r="AQ795"/>
      <c r="AR795"/>
      <c r="AS795"/>
      <c r="AT795"/>
      <c r="AU795"/>
      <c r="AV795"/>
    </row>
    <row r="796" spans="41:48" x14ac:dyDescent="0.35">
      <c r="AO796"/>
      <c r="AP796"/>
      <c r="AQ796"/>
      <c r="AR796"/>
      <c r="AS796"/>
      <c r="AT796"/>
      <c r="AU796"/>
      <c r="AV796"/>
    </row>
    <row r="797" spans="41:48" x14ac:dyDescent="0.35">
      <c r="AO797"/>
      <c r="AP797"/>
      <c r="AQ797"/>
      <c r="AR797"/>
      <c r="AS797"/>
      <c r="AT797"/>
      <c r="AU797"/>
      <c r="AV797"/>
    </row>
    <row r="798" spans="41:48" x14ac:dyDescent="0.35">
      <c r="AO798"/>
      <c r="AP798"/>
      <c r="AQ798"/>
      <c r="AR798"/>
      <c r="AS798"/>
      <c r="AT798"/>
      <c r="AU798"/>
      <c r="AV798"/>
    </row>
    <row r="799" spans="41:48" x14ac:dyDescent="0.35">
      <c r="AO799"/>
      <c r="AP799"/>
      <c r="AQ799"/>
      <c r="AR799"/>
      <c r="AS799"/>
      <c r="AT799"/>
      <c r="AU799"/>
      <c r="AV799"/>
    </row>
    <row r="800" spans="41:48" x14ac:dyDescent="0.35">
      <c r="AO800"/>
      <c r="AP800"/>
      <c r="AQ800"/>
      <c r="AR800"/>
      <c r="AS800"/>
      <c r="AT800"/>
      <c r="AU800"/>
      <c r="AV800"/>
    </row>
    <row r="801" spans="41:48" x14ac:dyDescent="0.35">
      <c r="AO801"/>
      <c r="AP801"/>
      <c r="AQ801"/>
      <c r="AR801"/>
      <c r="AS801"/>
      <c r="AT801"/>
      <c r="AU801"/>
      <c r="AV801"/>
    </row>
    <row r="802" spans="41:48" x14ac:dyDescent="0.35">
      <c r="AO802"/>
      <c r="AP802"/>
      <c r="AQ802"/>
      <c r="AR802"/>
      <c r="AS802"/>
      <c r="AT802"/>
      <c r="AU802"/>
      <c r="AV802"/>
    </row>
    <row r="803" spans="41:48" x14ac:dyDescent="0.35">
      <c r="AO803"/>
      <c r="AP803"/>
      <c r="AQ803"/>
      <c r="AR803"/>
      <c r="AS803"/>
      <c r="AT803"/>
      <c r="AU803"/>
      <c r="AV803"/>
    </row>
    <row r="804" spans="41:48" x14ac:dyDescent="0.35">
      <c r="AO804"/>
      <c r="AP804"/>
      <c r="AQ804"/>
      <c r="AR804"/>
      <c r="AS804"/>
      <c r="AT804"/>
      <c r="AU804"/>
      <c r="AV804"/>
    </row>
    <row r="805" spans="41:48" x14ac:dyDescent="0.35">
      <c r="AO805"/>
      <c r="AP805"/>
      <c r="AQ805"/>
      <c r="AR805"/>
      <c r="AS805"/>
      <c r="AT805"/>
      <c r="AU805"/>
      <c r="AV805"/>
    </row>
    <row r="806" spans="41:48" x14ac:dyDescent="0.35">
      <c r="AO806"/>
      <c r="AP806"/>
      <c r="AQ806"/>
      <c r="AR806"/>
      <c r="AS806"/>
      <c r="AT806"/>
      <c r="AU806"/>
      <c r="AV806"/>
    </row>
    <row r="807" spans="41:48" x14ac:dyDescent="0.35">
      <c r="AO807"/>
      <c r="AP807"/>
      <c r="AQ807"/>
      <c r="AR807"/>
      <c r="AS807"/>
      <c r="AT807"/>
      <c r="AU807"/>
      <c r="AV807"/>
    </row>
    <row r="808" spans="41:48" x14ac:dyDescent="0.35">
      <c r="AO808"/>
      <c r="AP808"/>
      <c r="AQ808"/>
      <c r="AR808"/>
      <c r="AS808"/>
      <c r="AT808"/>
      <c r="AU808"/>
      <c r="AV808"/>
    </row>
    <row r="809" spans="41:48" x14ac:dyDescent="0.35">
      <c r="AO809"/>
      <c r="AP809"/>
      <c r="AQ809"/>
      <c r="AR809"/>
      <c r="AS809"/>
      <c r="AT809"/>
      <c r="AU809"/>
      <c r="AV809"/>
    </row>
    <row r="810" spans="41:48" x14ac:dyDescent="0.35">
      <c r="AO810"/>
      <c r="AP810"/>
      <c r="AQ810"/>
      <c r="AR810"/>
      <c r="AS810"/>
      <c r="AT810"/>
      <c r="AU810"/>
      <c r="AV810"/>
    </row>
    <row r="811" spans="41:48" x14ac:dyDescent="0.35">
      <c r="AO811"/>
      <c r="AP811"/>
      <c r="AQ811"/>
      <c r="AR811"/>
      <c r="AS811"/>
      <c r="AT811"/>
      <c r="AU811"/>
      <c r="AV811"/>
    </row>
    <row r="812" spans="41:48" x14ac:dyDescent="0.35">
      <c r="AO812"/>
      <c r="AP812"/>
      <c r="AQ812"/>
      <c r="AR812"/>
      <c r="AS812"/>
      <c r="AT812"/>
      <c r="AU812"/>
      <c r="AV812"/>
    </row>
    <row r="813" spans="41:48" x14ac:dyDescent="0.35">
      <c r="AO813"/>
      <c r="AP813"/>
      <c r="AQ813"/>
      <c r="AR813"/>
      <c r="AS813"/>
      <c r="AT813"/>
      <c r="AU813"/>
      <c r="AV813"/>
    </row>
    <row r="814" spans="41:48" x14ac:dyDescent="0.35">
      <c r="AO814"/>
      <c r="AP814"/>
      <c r="AQ814"/>
      <c r="AR814"/>
      <c r="AS814"/>
      <c r="AT814"/>
      <c r="AU814"/>
      <c r="AV814"/>
    </row>
    <row r="815" spans="41:48" x14ac:dyDescent="0.35">
      <c r="AO815"/>
      <c r="AP815"/>
      <c r="AQ815"/>
      <c r="AR815"/>
      <c r="AS815"/>
      <c r="AT815"/>
      <c r="AU815"/>
      <c r="AV815"/>
    </row>
    <row r="816" spans="41:48" x14ac:dyDescent="0.35">
      <c r="AO816"/>
      <c r="AP816"/>
      <c r="AQ816"/>
      <c r="AR816"/>
      <c r="AS816"/>
      <c r="AT816"/>
      <c r="AU816"/>
      <c r="AV816"/>
    </row>
    <row r="817" spans="41:48" x14ac:dyDescent="0.35">
      <c r="AO817"/>
      <c r="AP817"/>
      <c r="AQ817"/>
      <c r="AR817"/>
      <c r="AS817"/>
      <c r="AT817"/>
      <c r="AU817"/>
      <c r="AV817"/>
    </row>
    <row r="818" spans="41:48" x14ac:dyDescent="0.35">
      <c r="AO818"/>
      <c r="AP818"/>
      <c r="AQ818"/>
      <c r="AR818"/>
      <c r="AS818"/>
      <c r="AT818"/>
      <c r="AU818"/>
      <c r="AV818"/>
    </row>
    <row r="819" spans="41:48" x14ac:dyDescent="0.35">
      <c r="AO819"/>
      <c r="AP819"/>
      <c r="AQ819"/>
      <c r="AR819"/>
      <c r="AS819"/>
      <c r="AT819"/>
      <c r="AU819"/>
      <c r="AV819"/>
    </row>
    <row r="820" spans="41:48" x14ac:dyDescent="0.35">
      <c r="AO820"/>
      <c r="AP820"/>
      <c r="AQ820"/>
      <c r="AR820"/>
      <c r="AS820"/>
      <c r="AT820"/>
      <c r="AU820"/>
      <c r="AV820"/>
    </row>
    <row r="821" spans="41:48" x14ac:dyDescent="0.35">
      <c r="AO821"/>
      <c r="AP821"/>
      <c r="AQ821"/>
      <c r="AR821"/>
      <c r="AS821"/>
      <c r="AT821"/>
      <c r="AU821"/>
      <c r="AV821"/>
    </row>
    <row r="822" spans="41:48" x14ac:dyDescent="0.35">
      <c r="AO822"/>
      <c r="AP822"/>
      <c r="AQ822"/>
      <c r="AR822"/>
      <c r="AS822"/>
      <c r="AT822"/>
      <c r="AU822"/>
      <c r="AV822"/>
    </row>
    <row r="823" spans="41:48" x14ac:dyDescent="0.35">
      <c r="AO823"/>
      <c r="AP823"/>
      <c r="AQ823"/>
      <c r="AR823"/>
      <c r="AS823"/>
      <c r="AT823"/>
      <c r="AU823"/>
      <c r="AV823"/>
    </row>
    <row r="824" spans="41:48" x14ac:dyDescent="0.35">
      <c r="AO824"/>
      <c r="AP824"/>
      <c r="AQ824"/>
      <c r="AR824"/>
      <c r="AS824"/>
      <c r="AT824"/>
      <c r="AU824"/>
      <c r="AV824"/>
    </row>
    <row r="825" spans="41:48" x14ac:dyDescent="0.35">
      <c r="AO825"/>
      <c r="AP825"/>
      <c r="AQ825"/>
      <c r="AR825"/>
      <c r="AS825"/>
      <c r="AT825"/>
      <c r="AU825"/>
      <c r="AV825"/>
    </row>
    <row r="826" spans="41:48" x14ac:dyDescent="0.35">
      <c r="AO826"/>
      <c r="AP826"/>
      <c r="AQ826"/>
      <c r="AR826"/>
      <c r="AS826"/>
      <c r="AT826"/>
      <c r="AU826"/>
      <c r="AV826"/>
    </row>
    <row r="827" spans="41:48" x14ac:dyDescent="0.35">
      <c r="AO827"/>
      <c r="AP827"/>
      <c r="AQ827"/>
      <c r="AR827"/>
      <c r="AS827"/>
      <c r="AT827"/>
      <c r="AU827"/>
      <c r="AV827"/>
    </row>
    <row r="828" spans="41:48" x14ac:dyDescent="0.35">
      <c r="AO828"/>
      <c r="AP828"/>
      <c r="AQ828"/>
      <c r="AR828"/>
      <c r="AS828"/>
      <c r="AT828"/>
      <c r="AU828"/>
      <c r="AV828"/>
    </row>
    <row r="829" spans="41:48" x14ac:dyDescent="0.35">
      <c r="AO829"/>
      <c r="AP829"/>
      <c r="AQ829"/>
      <c r="AR829"/>
      <c r="AS829"/>
      <c r="AT829"/>
      <c r="AU829"/>
      <c r="AV829"/>
    </row>
    <row r="830" spans="41:48" x14ac:dyDescent="0.35">
      <c r="AO830"/>
      <c r="AP830"/>
      <c r="AQ830"/>
      <c r="AR830"/>
      <c r="AS830"/>
      <c r="AT830"/>
      <c r="AU830"/>
      <c r="AV830"/>
    </row>
    <row r="831" spans="41:48" x14ac:dyDescent="0.35">
      <c r="AO831"/>
      <c r="AP831"/>
      <c r="AQ831"/>
      <c r="AR831"/>
      <c r="AS831"/>
      <c r="AT831"/>
      <c r="AU831"/>
      <c r="AV831"/>
    </row>
    <row r="832" spans="41:48" x14ac:dyDescent="0.35">
      <c r="AO832"/>
      <c r="AP832"/>
      <c r="AQ832"/>
      <c r="AR832"/>
      <c r="AS832"/>
      <c r="AT832"/>
      <c r="AU832"/>
      <c r="AV832"/>
    </row>
    <row r="833" spans="41:48" x14ac:dyDescent="0.35">
      <c r="AO833"/>
      <c r="AP833"/>
      <c r="AQ833"/>
      <c r="AR833"/>
      <c r="AS833"/>
      <c r="AT833"/>
      <c r="AU833"/>
      <c r="AV833"/>
    </row>
    <row r="834" spans="41:48" x14ac:dyDescent="0.35">
      <c r="AO834"/>
      <c r="AP834"/>
      <c r="AQ834"/>
      <c r="AR834"/>
      <c r="AS834"/>
      <c r="AT834"/>
      <c r="AU834"/>
      <c r="AV834"/>
    </row>
    <row r="835" spans="41:48" x14ac:dyDescent="0.35">
      <c r="AO835"/>
      <c r="AP835"/>
      <c r="AQ835"/>
      <c r="AR835"/>
      <c r="AS835"/>
      <c r="AT835"/>
      <c r="AU835"/>
      <c r="AV835"/>
    </row>
    <row r="836" spans="41:48" x14ac:dyDescent="0.35">
      <c r="AO836"/>
      <c r="AP836"/>
      <c r="AQ836"/>
      <c r="AR836"/>
      <c r="AS836"/>
      <c r="AT836"/>
      <c r="AU836"/>
      <c r="AV836"/>
    </row>
    <row r="837" spans="41:48" x14ac:dyDescent="0.35">
      <c r="AO837"/>
      <c r="AP837"/>
      <c r="AQ837"/>
      <c r="AR837"/>
      <c r="AS837"/>
      <c r="AT837"/>
      <c r="AU837"/>
      <c r="AV837"/>
    </row>
    <row r="838" spans="41:48" x14ac:dyDescent="0.35">
      <c r="AO838"/>
      <c r="AP838"/>
      <c r="AQ838"/>
      <c r="AR838"/>
      <c r="AS838"/>
      <c r="AT838"/>
      <c r="AU838"/>
      <c r="AV838"/>
    </row>
    <row r="839" spans="41:48" x14ac:dyDescent="0.35">
      <c r="AO839"/>
      <c r="AP839"/>
      <c r="AQ839"/>
      <c r="AR839"/>
      <c r="AS839"/>
      <c r="AT839"/>
      <c r="AU839"/>
      <c r="AV839"/>
    </row>
    <row r="840" spans="41:48" x14ac:dyDescent="0.35">
      <c r="AO840"/>
      <c r="AP840"/>
      <c r="AQ840"/>
      <c r="AR840"/>
      <c r="AS840"/>
      <c r="AT840"/>
      <c r="AU840"/>
      <c r="AV840"/>
    </row>
    <row r="841" spans="41:48" x14ac:dyDescent="0.35">
      <c r="AO841"/>
      <c r="AP841"/>
      <c r="AQ841"/>
      <c r="AR841"/>
      <c r="AS841"/>
      <c r="AT841"/>
      <c r="AU841"/>
      <c r="AV841"/>
    </row>
    <row r="842" spans="41:48" x14ac:dyDescent="0.35">
      <c r="AO842"/>
      <c r="AP842"/>
      <c r="AQ842"/>
      <c r="AR842"/>
      <c r="AS842"/>
      <c r="AT842"/>
      <c r="AU842"/>
      <c r="AV842"/>
    </row>
    <row r="843" spans="41:48" x14ac:dyDescent="0.35">
      <c r="AO843"/>
      <c r="AP843"/>
      <c r="AQ843"/>
      <c r="AR843"/>
      <c r="AS843"/>
      <c r="AT843"/>
      <c r="AU843"/>
      <c r="AV843"/>
    </row>
    <row r="844" spans="41:48" x14ac:dyDescent="0.35">
      <c r="AO844"/>
      <c r="AP844"/>
      <c r="AQ844"/>
      <c r="AR844"/>
      <c r="AS844"/>
      <c r="AT844"/>
      <c r="AU844"/>
      <c r="AV844"/>
    </row>
    <row r="845" spans="41:48" x14ac:dyDescent="0.35">
      <c r="AO845"/>
      <c r="AP845"/>
      <c r="AQ845"/>
      <c r="AR845"/>
      <c r="AS845"/>
      <c r="AT845"/>
      <c r="AU845"/>
      <c r="AV845"/>
    </row>
    <row r="846" spans="41:48" x14ac:dyDescent="0.35">
      <c r="AO846"/>
      <c r="AP846"/>
      <c r="AQ846"/>
      <c r="AR846"/>
      <c r="AS846"/>
      <c r="AT846"/>
      <c r="AU846"/>
      <c r="AV846"/>
    </row>
    <row r="847" spans="41:48" x14ac:dyDescent="0.35">
      <c r="AO847"/>
      <c r="AP847"/>
      <c r="AQ847"/>
      <c r="AR847"/>
      <c r="AS847"/>
      <c r="AT847"/>
      <c r="AU847"/>
      <c r="AV847"/>
    </row>
    <row r="848" spans="41:48" x14ac:dyDescent="0.35">
      <c r="AO848"/>
      <c r="AP848"/>
      <c r="AQ848"/>
      <c r="AR848"/>
      <c r="AS848"/>
      <c r="AT848"/>
      <c r="AU848"/>
      <c r="AV848"/>
    </row>
    <row r="849" spans="41:48" x14ac:dyDescent="0.35">
      <c r="AO849"/>
      <c r="AP849"/>
      <c r="AQ849"/>
      <c r="AR849"/>
      <c r="AS849"/>
      <c r="AT849"/>
      <c r="AU849"/>
      <c r="AV849"/>
    </row>
    <row r="850" spans="41:48" x14ac:dyDescent="0.35">
      <c r="AO850"/>
      <c r="AP850"/>
      <c r="AQ850"/>
      <c r="AR850"/>
      <c r="AS850"/>
      <c r="AT850"/>
      <c r="AU850"/>
      <c r="AV850"/>
    </row>
    <row r="851" spans="41:48" x14ac:dyDescent="0.35">
      <c r="AO851"/>
      <c r="AP851"/>
      <c r="AQ851"/>
      <c r="AR851"/>
      <c r="AS851"/>
      <c r="AT851"/>
      <c r="AU851"/>
      <c r="AV851"/>
    </row>
    <row r="852" spans="41:48" x14ac:dyDescent="0.35">
      <c r="AO852"/>
      <c r="AP852"/>
      <c r="AQ852"/>
      <c r="AR852"/>
      <c r="AS852"/>
      <c r="AT852"/>
      <c r="AU852"/>
      <c r="AV852"/>
    </row>
    <row r="853" spans="41:48" x14ac:dyDescent="0.35">
      <c r="AO853"/>
      <c r="AP853"/>
      <c r="AQ853"/>
      <c r="AR853"/>
      <c r="AS853"/>
      <c r="AT853"/>
      <c r="AU853"/>
      <c r="AV853"/>
    </row>
    <row r="854" spans="41:48" x14ac:dyDescent="0.35">
      <c r="AO854"/>
      <c r="AP854"/>
      <c r="AQ854"/>
      <c r="AR854"/>
      <c r="AS854"/>
      <c r="AT854"/>
      <c r="AU854"/>
      <c r="AV854"/>
    </row>
    <row r="855" spans="41:48" x14ac:dyDescent="0.35">
      <c r="AO855"/>
      <c r="AP855"/>
      <c r="AQ855"/>
      <c r="AR855"/>
      <c r="AS855"/>
      <c r="AT855"/>
      <c r="AU855"/>
      <c r="AV855"/>
    </row>
    <row r="856" spans="41:48" x14ac:dyDescent="0.35">
      <c r="AO856"/>
      <c r="AP856"/>
      <c r="AQ856"/>
      <c r="AR856"/>
      <c r="AS856"/>
      <c r="AT856"/>
      <c r="AU856"/>
      <c r="AV856"/>
    </row>
    <row r="857" spans="41:48" x14ac:dyDescent="0.35">
      <c r="AO857"/>
      <c r="AP857"/>
      <c r="AQ857"/>
      <c r="AR857"/>
      <c r="AS857"/>
      <c r="AT857"/>
      <c r="AU857"/>
      <c r="AV857"/>
    </row>
    <row r="858" spans="41:48" x14ac:dyDescent="0.35">
      <c r="AO858"/>
      <c r="AP858"/>
      <c r="AQ858"/>
      <c r="AR858"/>
      <c r="AS858"/>
      <c r="AT858"/>
      <c r="AU858"/>
      <c r="AV858"/>
    </row>
    <row r="859" spans="41:48" x14ac:dyDescent="0.35">
      <c r="AO859"/>
      <c r="AP859"/>
      <c r="AQ859"/>
      <c r="AR859"/>
      <c r="AS859"/>
      <c r="AT859"/>
      <c r="AU859"/>
      <c r="AV859"/>
    </row>
    <row r="860" spans="41:48" x14ac:dyDescent="0.35">
      <c r="AO860"/>
      <c r="AP860"/>
      <c r="AQ860"/>
      <c r="AR860"/>
      <c r="AS860"/>
      <c r="AT860"/>
      <c r="AU860"/>
      <c r="AV860"/>
    </row>
    <row r="861" spans="41:48" x14ac:dyDescent="0.35">
      <c r="AO861"/>
      <c r="AP861"/>
      <c r="AQ861"/>
      <c r="AR861"/>
      <c r="AS861"/>
      <c r="AT861"/>
      <c r="AU861"/>
      <c r="AV861"/>
    </row>
    <row r="862" spans="41:48" x14ac:dyDescent="0.35">
      <c r="AO862"/>
      <c r="AP862"/>
      <c r="AQ862"/>
      <c r="AR862"/>
      <c r="AS862"/>
      <c r="AT862"/>
      <c r="AU862"/>
      <c r="AV862"/>
    </row>
    <row r="863" spans="41:48" x14ac:dyDescent="0.35">
      <c r="AO863"/>
      <c r="AP863"/>
      <c r="AQ863"/>
      <c r="AR863"/>
      <c r="AS863"/>
      <c r="AT863"/>
      <c r="AU863"/>
      <c r="AV863"/>
    </row>
    <row r="864" spans="41:48" x14ac:dyDescent="0.35">
      <c r="AO864"/>
      <c r="AP864"/>
      <c r="AQ864"/>
      <c r="AR864"/>
      <c r="AS864"/>
      <c r="AT864"/>
      <c r="AU864"/>
      <c r="AV864"/>
    </row>
    <row r="865" spans="41:48" x14ac:dyDescent="0.35">
      <c r="AO865"/>
      <c r="AP865"/>
      <c r="AQ865"/>
      <c r="AR865"/>
      <c r="AS865"/>
      <c r="AT865"/>
      <c r="AU865"/>
      <c r="AV865"/>
    </row>
    <row r="866" spans="41:48" x14ac:dyDescent="0.35">
      <c r="AO866"/>
      <c r="AP866"/>
      <c r="AQ866"/>
      <c r="AR866"/>
      <c r="AS866"/>
      <c r="AT866"/>
      <c r="AU866"/>
      <c r="AV866"/>
    </row>
    <row r="867" spans="41:48" x14ac:dyDescent="0.35">
      <c r="AO867"/>
      <c r="AP867"/>
      <c r="AQ867"/>
      <c r="AR867"/>
      <c r="AS867"/>
      <c r="AT867"/>
      <c r="AU867"/>
      <c r="AV867"/>
    </row>
    <row r="868" spans="41:48" x14ac:dyDescent="0.35">
      <c r="AO868"/>
      <c r="AP868"/>
      <c r="AQ868"/>
      <c r="AR868"/>
      <c r="AS868"/>
      <c r="AT868"/>
      <c r="AU868"/>
      <c r="AV868"/>
    </row>
    <row r="869" spans="41:48" x14ac:dyDescent="0.35">
      <c r="AO869"/>
      <c r="AP869"/>
      <c r="AQ869"/>
      <c r="AR869"/>
      <c r="AS869"/>
      <c r="AT869"/>
      <c r="AU869"/>
      <c r="AV869"/>
    </row>
    <row r="870" spans="41:48" x14ac:dyDescent="0.35">
      <c r="AO870"/>
      <c r="AP870"/>
      <c r="AQ870"/>
      <c r="AR870"/>
      <c r="AS870"/>
      <c r="AT870"/>
      <c r="AU870"/>
      <c r="AV870"/>
    </row>
    <row r="871" spans="41:48" x14ac:dyDescent="0.35">
      <c r="AO871"/>
      <c r="AP871"/>
      <c r="AQ871"/>
      <c r="AR871"/>
      <c r="AS871"/>
      <c r="AT871"/>
      <c r="AU871"/>
      <c r="AV871"/>
    </row>
    <row r="872" spans="41:48" x14ac:dyDescent="0.35">
      <c r="AO872"/>
      <c r="AP872"/>
      <c r="AQ872"/>
      <c r="AR872"/>
      <c r="AS872"/>
      <c r="AT872"/>
      <c r="AU872"/>
      <c r="AV872"/>
    </row>
    <row r="873" spans="41:48" x14ac:dyDescent="0.35">
      <c r="AO873"/>
      <c r="AP873"/>
      <c r="AQ873"/>
      <c r="AR873"/>
      <c r="AS873"/>
      <c r="AT873"/>
      <c r="AU873"/>
      <c r="AV873"/>
    </row>
    <row r="874" spans="41:48" x14ac:dyDescent="0.35">
      <c r="AO874"/>
      <c r="AP874"/>
      <c r="AQ874"/>
      <c r="AR874"/>
      <c r="AS874"/>
      <c r="AT874"/>
      <c r="AU874"/>
      <c r="AV874"/>
    </row>
    <row r="875" spans="41:48" x14ac:dyDescent="0.35">
      <c r="AO875"/>
      <c r="AP875"/>
      <c r="AQ875"/>
      <c r="AR875"/>
      <c r="AS875"/>
      <c r="AT875"/>
      <c r="AU875"/>
      <c r="AV875"/>
    </row>
    <row r="876" spans="41:48" x14ac:dyDescent="0.35">
      <c r="AO876"/>
      <c r="AP876"/>
      <c r="AQ876"/>
      <c r="AR876"/>
      <c r="AS876"/>
      <c r="AT876"/>
      <c r="AU876"/>
      <c r="AV876"/>
    </row>
    <row r="877" spans="41:48" x14ac:dyDescent="0.35">
      <c r="AO877"/>
      <c r="AP877"/>
      <c r="AQ877"/>
      <c r="AR877"/>
      <c r="AS877"/>
      <c r="AT877"/>
      <c r="AU877"/>
      <c r="AV877"/>
    </row>
    <row r="878" spans="41:48" x14ac:dyDescent="0.35">
      <c r="AO878"/>
      <c r="AP878"/>
      <c r="AQ878"/>
      <c r="AR878"/>
      <c r="AS878"/>
      <c r="AT878"/>
      <c r="AU878"/>
      <c r="AV878"/>
    </row>
    <row r="879" spans="41:48" x14ac:dyDescent="0.35">
      <c r="AO879"/>
      <c r="AP879"/>
      <c r="AQ879"/>
      <c r="AR879"/>
      <c r="AS879"/>
      <c r="AT879"/>
      <c r="AU879"/>
      <c r="AV879"/>
    </row>
    <row r="880" spans="41:48" x14ac:dyDescent="0.35">
      <c r="AO880"/>
      <c r="AP880"/>
      <c r="AQ880"/>
      <c r="AR880"/>
      <c r="AS880"/>
      <c r="AT880"/>
      <c r="AU880"/>
      <c r="AV880"/>
    </row>
    <row r="881" spans="41:48" x14ac:dyDescent="0.35">
      <c r="AO881"/>
      <c r="AP881"/>
      <c r="AQ881"/>
      <c r="AR881"/>
      <c r="AS881"/>
      <c r="AT881"/>
      <c r="AU881"/>
      <c r="AV881"/>
    </row>
    <row r="882" spans="41:48" x14ac:dyDescent="0.35">
      <c r="AO882"/>
      <c r="AP882"/>
      <c r="AQ882"/>
      <c r="AR882"/>
      <c r="AS882"/>
      <c r="AT882"/>
      <c r="AU882"/>
      <c r="AV882"/>
    </row>
    <row r="883" spans="41:48" x14ac:dyDescent="0.35">
      <c r="AO883"/>
      <c r="AP883"/>
      <c r="AQ883"/>
      <c r="AR883"/>
      <c r="AS883"/>
      <c r="AT883"/>
      <c r="AU883"/>
      <c r="AV883"/>
    </row>
    <row r="884" spans="41:48" x14ac:dyDescent="0.35">
      <c r="AO884"/>
      <c r="AP884"/>
      <c r="AQ884"/>
      <c r="AR884"/>
      <c r="AS884"/>
      <c r="AT884"/>
      <c r="AU884"/>
      <c r="AV884"/>
    </row>
    <row r="885" spans="41:48" x14ac:dyDescent="0.35">
      <c r="AO885"/>
      <c r="AP885"/>
      <c r="AQ885"/>
      <c r="AR885"/>
      <c r="AS885"/>
      <c r="AT885"/>
      <c r="AU885"/>
      <c r="AV885"/>
    </row>
    <row r="886" spans="41:48" x14ac:dyDescent="0.35">
      <c r="AO886"/>
      <c r="AP886"/>
      <c r="AQ886"/>
      <c r="AR886"/>
      <c r="AS886"/>
      <c r="AT886"/>
      <c r="AU886"/>
      <c r="AV886"/>
    </row>
    <row r="887" spans="41:48" x14ac:dyDescent="0.35">
      <c r="AO887"/>
      <c r="AP887"/>
      <c r="AQ887"/>
      <c r="AR887"/>
      <c r="AS887"/>
      <c r="AT887"/>
      <c r="AU887"/>
      <c r="AV887"/>
    </row>
    <row r="888" spans="41:48" x14ac:dyDescent="0.35">
      <c r="AO888"/>
      <c r="AP888"/>
      <c r="AQ888"/>
      <c r="AR888"/>
      <c r="AS888"/>
      <c r="AT888"/>
      <c r="AU888"/>
      <c r="AV888"/>
    </row>
    <row r="889" spans="41:48" x14ac:dyDescent="0.35">
      <c r="AO889"/>
      <c r="AP889"/>
      <c r="AQ889"/>
      <c r="AR889"/>
      <c r="AS889"/>
      <c r="AT889"/>
      <c r="AU889"/>
      <c r="AV889"/>
    </row>
    <row r="890" spans="41:48" x14ac:dyDescent="0.35">
      <c r="AO890"/>
      <c r="AP890"/>
      <c r="AQ890"/>
      <c r="AR890"/>
      <c r="AS890"/>
      <c r="AT890"/>
      <c r="AU890"/>
      <c r="AV890"/>
    </row>
    <row r="891" spans="41:48" x14ac:dyDescent="0.35">
      <c r="AO891"/>
      <c r="AP891"/>
      <c r="AQ891"/>
      <c r="AR891"/>
      <c r="AS891"/>
      <c r="AT891"/>
      <c r="AU891"/>
      <c r="AV891"/>
    </row>
    <row r="892" spans="41:48" x14ac:dyDescent="0.35">
      <c r="AO892"/>
      <c r="AP892"/>
      <c r="AQ892"/>
      <c r="AR892"/>
      <c r="AS892"/>
      <c r="AT892"/>
      <c r="AU892"/>
      <c r="AV892"/>
    </row>
    <row r="893" spans="41:48" x14ac:dyDescent="0.35">
      <c r="AO893"/>
      <c r="AP893"/>
      <c r="AQ893"/>
      <c r="AR893"/>
      <c r="AS893"/>
      <c r="AT893"/>
      <c r="AU893"/>
      <c r="AV893"/>
    </row>
    <row r="894" spans="41:48" x14ac:dyDescent="0.35">
      <c r="AO894"/>
      <c r="AP894"/>
      <c r="AQ894"/>
      <c r="AR894"/>
      <c r="AS894"/>
      <c r="AT894"/>
      <c r="AU894"/>
      <c r="AV894"/>
    </row>
    <row r="895" spans="41:48" x14ac:dyDescent="0.35">
      <c r="AO895"/>
      <c r="AP895"/>
      <c r="AQ895"/>
      <c r="AR895"/>
      <c r="AS895"/>
      <c r="AT895"/>
      <c r="AU895"/>
      <c r="AV895"/>
    </row>
    <row r="896" spans="41:48" x14ac:dyDescent="0.35">
      <c r="AO896"/>
      <c r="AP896"/>
      <c r="AQ896"/>
      <c r="AR896"/>
      <c r="AS896"/>
      <c r="AT896"/>
      <c r="AU896"/>
      <c r="AV896"/>
    </row>
    <row r="897" spans="41:48" x14ac:dyDescent="0.35">
      <c r="AO897"/>
      <c r="AP897"/>
      <c r="AQ897"/>
      <c r="AR897"/>
      <c r="AS897"/>
      <c r="AT897"/>
      <c r="AU897"/>
      <c r="AV897"/>
    </row>
    <row r="898" spans="41:48" x14ac:dyDescent="0.35">
      <c r="AO898"/>
      <c r="AP898"/>
      <c r="AQ898"/>
      <c r="AR898"/>
      <c r="AS898"/>
      <c r="AT898"/>
      <c r="AU898"/>
      <c r="AV898"/>
    </row>
    <row r="899" spans="41:48" x14ac:dyDescent="0.35">
      <c r="AO899"/>
      <c r="AP899"/>
      <c r="AQ899"/>
      <c r="AR899"/>
      <c r="AS899"/>
      <c r="AT899"/>
      <c r="AU899"/>
      <c r="AV899"/>
    </row>
    <row r="900" spans="41:48" x14ac:dyDescent="0.35">
      <c r="AO900"/>
      <c r="AP900"/>
      <c r="AQ900"/>
      <c r="AR900"/>
      <c r="AS900"/>
      <c r="AT900"/>
      <c r="AU900"/>
      <c r="AV900"/>
    </row>
    <row r="901" spans="41:48" x14ac:dyDescent="0.35">
      <c r="AO901"/>
      <c r="AP901"/>
      <c r="AQ901"/>
      <c r="AR901"/>
      <c r="AS901"/>
      <c r="AT901"/>
      <c r="AU901"/>
      <c r="AV901"/>
    </row>
    <row r="902" spans="41:48" x14ac:dyDescent="0.35">
      <c r="AO902"/>
      <c r="AP902"/>
      <c r="AQ902"/>
      <c r="AR902"/>
      <c r="AS902"/>
      <c r="AT902"/>
      <c r="AU902"/>
      <c r="AV902"/>
    </row>
    <row r="903" spans="41:48" x14ac:dyDescent="0.35">
      <c r="AO903"/>
      <c r="AP903"/>
      <c r="AQ903"/>
      <c r="AR903"/>
      <c r="AS903"/>
      <c r="AT903"/>
      <c r="AU903"/>
      <c r="AV903"/>
    </row>
    <row r="904" spans="41:48" x14ac:dyDescent="0.35">
      <c r="AO904"/>
      <c r="AP904"/>
      <c r="AQ904"/>
      <c r="AR904"/>
      <c r="AS904"/>
      <c r="AT904"/>
      <c r="AU904"/>
      <c r="AV904"/>
    </row>
    <row r="905" spans="41:48" x14ac:dyDescent="0.35">
      <c r="AO905"/>
      <c r="AP905"/>
      <c r="AQ905"/>
      <c r="AR905"/>
      <c r="AS905"/>
      <c r="AT905"/>
      <c r="AU905"/>
      <c r="AV905"/>
    </row>
    <row r="906" spans="41:48" x14ac:dyDescent="0.35">
      <c r="AO906"/>
      <c r="AP906"/>
      <c r="AQ906"/>
      <c r="AR906"/>
      <c r="AS906"/>
      <c r="AT906"/>
      <c r="AU906"/>
      <c r="AV906"/>
    </row>
    <row r="907" spans="41:48" x14ac:dyDescent="0.35">
      <c r="AO907"/>
      <c r="AP907"/>
      <c r="AQ907"/>
      <c r="AR907"/>
      <c r="AS907"/>
      <c r="AT907"/>
      <c r="AU907"/>
      <c r="AV907"/>
    </row>
    <row r="908" spans="41:48" x14ac:dyDescent="0.35">
      <c r="AO908"/>
      <c r="AP908"/>
      <c r="AQ908"/>
      <c r="AR908"/>
      <c r="AS908"/>
      <c r="AT908"/>
      <c r="AU908"/>
      <c r="AV908"/>
    </row>
    <row r="909" spans="41:48" x14ac:dyDescent="0.35">
      <c r="AO909"/>
      <c r="AP909"/>
      <c r="AQ909"/>
      <c r="AR909"/>
      <c r="AS909"/>
      <c r="AT909"/>
      <c r="AU909"/>
      <c r="AV909"/>
    </row>
    <row r="910" spans="41:48" x14ac:dyDescent="0.35">
      <c r="AO910"/>
      <c r="AP910"/>
      <c r="AQ910"/>
      <c r="AR910"/>
      <c r="AS910"/>
      <c r="AT910"/>
      <c r="AU910"/>
      <c r="AV910"/>
    </row>
    <row r="911" spans="41:48" x14ac:dyDescent="0.35">
      <c r="AO911"/>
      <c r="AP911"/>
      <c r="AQ911"/>
      <c r="AR911"/>
      <c r="AS911"/>
      <c r="AT911"/>
      <c r="AU911"/>
      <c r="AV911"/>
    </row>
    <row r="912" spans="41:48" x14ac:dyDescent="0.35">
      <c r="AO912"/>
      <c r="AP912"/>
      <c r="AQ912"/>
      <c r="AR912"/>
      <c r="AS912"/>
      <c r="AT912"/>
      <c r="AU912"/>
      <c r="AV912"/>
    </row>
    <row r="913" spans="41:48" x14ac:dyDescent="0.35">
      <c r="AO913"/>
      <c r="AP913"/>
      <c r="AQ913"/>
      <c r="AR913"/>
      <c r="AS913"/>
      <c r="AT913"/>
      <c r="AU913"/>
      <c r="AV913"/>
    </row>
    <row r="914" spans="41:48" x14ac:dyDescent="0.35">
      <c r="AO914"/>
      <c r="AP914"/>
      <c r="AQ914"/>
      <c r="AR914"/>
      <c r="AS914"/>
      <c r="AT914"/>
      <c r="AU914"/>
      <c r="AV914"/>
    </row>
    <row r="915" spans="41:48" x14ac:dyDescent="0.35">
      <c r="AO915"/>
      <c r="AP915"/>
      <c r="AQ915"/>
      <c r="AR915"/>
      <c r="AS915"/>
      <c r="AT915"/>
      <c r="AU915"/>
      <c r="AV915"/>
    </row>
    <row r="916" spans="41:48" x14ac:dyDescent="0.35">
      <c r="AO916"/>
      <c r="AP916"/>
      <c r="AQ916"/>
      <c r="AR916"/>
      <c r="AS916"/>
      <c r="AT916"/>
      <c r="AU916"/>
      <c r="AV916"/>
    </row>
    <row r="917" spans="41:48" x14ac:dyDescent="0.35">
      <c r="AO917"/>
      <c r="AP917"/>
      <c r="AQ917"/>
      <c r="AR917"/>
      <c r="AS917"/>
      <c r="AT917"/>
      <c r="AU917"/>
      <c r="AV917"/>
    </row>
    <row r="918" spans="41:48" x14ac:dyDescent="0.35">
      <c r="AO918"/>
      <c r="AP918"/>
      <c r="AQ918"/>
      <c r="AR918"/>
      <c r="AS918"/>
      <c r="AT918"/>
      <c r="AU918"/>
      <c r="AV918"/>
    </row>
    <row r="919" spans="41:48" x14ac:dyDescent="0.35">
      <c r="AO919"/>
      <c r="AP919"/>
      <c r="AQ919"/>
      <c r="AR919"/>
      <c r="AS919"/>
      <c r="AT919"/>
      <c r="AU919"/>
      <c r="AV919"/>
    </row>
    <row r="920" spans="41:48" x14ac:dyDescent="0.35">
      <c r="AO920"/>
      <c r="AP920"/>
      <c r="AQ920"/>
      <c r="AR920"/>
      <c r="AS920"/>
      <c r="AT920"/>
      <c r="AU920"/>
      <c r="AV920"/>
    </row>
    <row r="921" spans="41:48" x14ac:dyDescent="0.35">
      <c r="AO921"/>
      <c r="AP921"/>
      <c r="AQ921"/>
      <c r="AR921"/>
      <c r="AS921"/>
      <c r="AT921"/>
      <c r="AU921"/>
      <c r="AV921"/>
    </row>
    <row r="922" spans="41:48" x14ac:dyDescent="0.35">
      <c r="AO922"/>
      <c r="AP922"/>
      <c r="AQ922"/>
      <c r="AR922"/>
      <c r="AS922"/>
      <c r="AT922"/>
      <c r="AU922"/>
      <c r="AV922"/>
    </row>
    <row r="923" spans="41:48" x14ac:dyDescent="0.35">
      <c r="AO923"/>
      <c r="AP923"/>
      <c r="AQ923"/>
      <c r="AR923"/>
      <c r="AS923"/>
      <c r="AT923"/>
      <c r="AU923"/>
      <c r="AV923"/>
    </row>
    <row r="924" spans="41:48" x14ac:dyDescent="0.35">
      <c r="AO924"/>
      <c r="AP924"/>
      <c r="AQ924"/>
      <c r="AR924"/>
      <c r="AS924"/>
      <c r="AT924"/>
      <c r="AU924"/>
      <c r="AV924"/>
    </row>
    <row r="925" spans="41:48" x14ac:dyDescent="0.35">
      <c r="AO925"/>
      <c r="AP925"/>
      <c r="AQ925"/>
      <c r="AR925"/>
      <c r="AS925"/>
      <c r="AT925"/>
      <c r="AU925"/>
      <c r="AV925"/>
    </row>
    <row r="926" spans="41:48" x14ac:dyDescent="0.35">
      <c r="AO926"/>
      <c r="AP926"/>
      <c r="AQ926"/>
      <c r="AR926"/>
      <c r="AS926"/>
      <c r="AT926"/>
      <c r="AU926"/>
      <c r="AV926"/>
    </row>
    <row r="927" spans="41:48" x14ac:dyDescent="0.35">
      <c r="AO927"/>
      <c r="AP927"/>
      <c r="AQ927"/>
      <c r="AR927"/>
      <c r="AS927"/>
      <c r="AT927"/>
      <c r="AU927"/>
      <c r="AV927"/>
    </row>
    <row r="928" spans="41:48" x14ac:dyDescent="0.35">
      <c r="AO928"/>
      <c r="AP928"/>
      <c r="AQ928"/>
      <c r="AR928"/>
      <c r="AS928"/>
      <c r="AT928"/>
      <c r="AU928"/>
      <c r="AV928"/>
    </row>
    <row r="929" spans="41:48" x14ac:dyDescent="0.35">
      <c r="AO929"/>
      <c r="AP929"/>
      <c r="AQ929"/>
      <c r="AR929"/>
      <c r="AS929"/>
      <c r="AT929"/>
      <c r="AU929"/>
      <c r="AV929"/>
    </row>
    <row r="930" spans="41:48" x14ac:dyDescent="0.35">
      <c r="AO930"/>
      <c r="AP930"/>
      <c r="AQ930"/>
      <c r="AR930"/>
      <c r="AS930"/>
      <c r="AT930"/>
      <c r="AU930"/>
      <c r="AV930"/>
    </row>
    <row r="931" spans="41:48" x14ac:dyDescent="0.35">
      <c r="AO931"/>
      <c r="AP931"/>
      <c r="AQ931"/>
      <c r="AR931"/>
      <c r="AS931"/>
      <c r="AT931"/>
      <c r="AU931"/>
      <c r="AV931"/>
    </row>
    <row r="932" spans="41:48" x14ac:dyDescent="0.35">
      <c r="AO932"/>
      <c r="AP932"/>
      <c r="AQ932"/>
      <c r="AR932"/>
      <c r="AS932"/>
      <c r="AT932"/>
      <c r="AU932"/>
      <c r="AV932"/>
    </row>
    <row r="933" spans="41:48" x14ac:dyDescent="0.35">
      <c r="AO933"/>
      <c r="AP933"/>
      <c r="AQ933"/>
      <c r="AR933"/>
      <c r="AS933"/>
      <c r="AT933"/>
      <c r="AU933"/>
      <c r="AV933"/>
    </row>
    <row r="934" spans="41:48" x14ac:dyDescent="0.35">
      <c r="AO934"/>
      <c r="AP934"/>
      <c r="AQ934"/>
      <c r="AR934"/>
      <c r="AS934"/>
      <c r="AT934"/>
      <c r="AU934"/>
      <c r="AV934"/>
    </row>
    <row r="935" spans="41:48" x14ac:dyDescent="0.35">
      <c r="AO935"/>
      <c r="AP935"/>
      <c r="AQ935"/>
      <c r="AR935"/>
      <c r="AS935"/>
      <c r="AT935"/>
      <c r="AU935"/>
      <c r="AV935"/>
    </row>
    <row r="936" spans="41:48" x14ac:dyDescent="0.35">
      <c r="AO936"/>
      <c r="AP936"/>
      <c r="AQ936"/>
      <c r="AR936"/>
      <c r="AS936"/>
      <c r="AT936"/>
      <c r="AU936"/>
      <c r="AV936"/>
    </row>
    <row r="937" spans="41:48" x14ac:dyDescent="0.35">
      <c r="AO937"/>
      <c r="AP937"/>
      <c r="AQ937"/>
      <c r="AR937"/>
      <c r="AS937"/>
      <c r="AT937"/>
      <c r="AU937"/>
      <c r="AV937"/>
    </row>
    <row r="938" spans="41:48" x14ac:dyDescent="0.35">
      <c r="AO938"/>
      <c r="AP938"/>
      <c r="AQ938"/>
      <c r="AR938"/>
      <c r="AS938"/>
      <c r="AT938"/>
      <c r="AU938"/>
      <c r="AV938"/>
    </row>
    <row r="939" spans="41:48" x14ac:dyDescent="0.35">
      <c r="AO939"/>
      <c r="AP939"/>
      <c r="AQ939"/>
      <c r="AR939"/>
      <c r="AS939"/>
      <c r="AT939"/>
      <c r="AU939"/>
      <c r="AV939"/>
    </row>
    <row r="940" spans="41:48" x14ac:dyDescent="0.35">
      <c r="AO940"/>
      <c r="AP940"/>
      <c r="AQ940"/>
      <c r="AR940"/>
      <c r="AS940"/>
      <c r="AT940"/>
      <c r="AU940"/>
      <c r="AV940"/>
    </row>
    <row r="941" spans="41:48" x14ac:dyDescent="0.35">
      <c r="AO941"/>
      <c r="AP941"/>
      <c r="AQ941"/>
      <c r="AR941"/>
      <c r="AS941"/>
      <c r="AT941"/>
      <c r="AU941"/>
      <c r="AV941"/>
    </row>
    <row r="942" spans="41:48" x14ac:dyDescent="0.35">
      <c r="AO942"/>
      <c r="AP942"/>
      <c r="AQ942"/>
      <c r="AR942"/>
      <c r="AS942"/>
      <c r="AT942"/>
      <c r="AU942"/>
      <c r="AV942"/>
    </row>
    <row r="943" spans="41:48" x14ac:dyDescent="0.35">
      <c r="AO943"/>
      <c r="AP943"/>
      <c r="AQ943"/>
      <c r="AR943"/>
      <c r="AS943"/>
      <c r="AT943"/>
      <c r="AU943"/>
      <c r="AV943"/>
    </row>
    <row r="944" spans="41:48" x14ac:dyDescent="0.35">
      <c r="AO944"/>
      <c r="AP944"/>
      <c r="AQ944"/>
      <c r="AR944"/>
      <c r="AS944"/>
      <c r="AT944"/>
      <c r="AU944"/>
      <c r="AV944"/>
    </row>
    <row r="945" spans="41:48" x14ac:dyDescent="0.35">
      <c r="AO945"/>
      <c r="AP945"/>
      <c r="AQ945"/>
      <c r="AR945"/>
      <c r="AS945"/>
      <c r="AT945"/>
      <c r="AU945"/>
      <c r="AV945"/>
    </row>
    <row r="946" spans="41:48" x14ac:dyDescent="0.35">
      <c r="AO946"/>
      <c r="AP946"/>
      <c r="AQ946"/>
      <c r="AR946"/>
      <c r="AS946"/>
      <c r="AT946"/>
      <c r="AU946"/>
      <c r="AV946"/>
    </row>
    <row r="947" spans="41:48" x14ac:dyDescent="0.35">
      <c r="AO947"/>
      <c r="AP947"/>
      <c r="AQ947"/>
      <c r="AR947"/>
      <c r="AS947"/>
      <c r="AT947"/>
      <c r="AU947"/>
      <c r="AV947"/>
    </row>
    <row r="948" spans="41:48" x14ac:dyDescent="0.35">
      <c r="AO948"/>
      <c r="AP948"/>
      <c r="AQ948"/>
      <c r="AR948"/>
      <c r="AS948"/>
      <c r="AT948"/>
      <c r="AU948"/>
      <c r="AV948"/>
    </row>
    <row r="949" spans="41:48" x14ac:dyDescent="0.35">
      <c r="AO949"/>
      <c r="AP949"/>
      <c r="AQ949"/>
      <c r="AR949"/>
      <c r="AS949"/>
      <c r="AT949"/>
      <c r="AU949"/>
      <c r="AV949"/>
    </row>
    <row r="950" spans="41:48" x14ac:dyDescent="0.35">
      <c r="AO950"/>
      <c r="AP950"/>
      <c r="AQ950"/>
      <c r="AR950"/>
      <c r="AS950"/>
      <c r="AT950"/>
      <c r="AU950"/>
      <c r="AV950"/>
    </row>
    <row r="951" spans="41:48" x14ac:dyDescent="0.35">
      <c r="AO951"/>
      <c r="AP951"/>
      <c r="AQ951"/>
      <c r="AR951"/>
      <c r="AS951"/>
      <c r="AT951"/>
      <c r="AU951"/>
      <c r="AV951"/>
    </row>
    <row r="952" spans="41:48" x14ac:dyDescent="0.35">
      <c r="AO952"/>
      <c r="AP952"/>
      <c r="AQ952"/>
      <c r="AR952"/>
      <c r="AS952"/>
      <c r="AT952"/>
      <c r="AU952"/>
      <c r="AV952"/>
    </row>
    <row r="953" spans="41:48" x14ac:dyDescent="0.35">
      <c r="AO953"/>
      <c r="AP953"/>
      <c r="AQ953"/>
      <c r="AR953"/>
      <c r="AS953"/>
      <c r="AT953"/>
      <c r="AU953"/>
      <c r="AV953"/>
    </row>
    <row r="954" spans="41:48" x14ac:dyDescent="0.35">
      <c r="AO954"/>
      <c r="AP954"/>
      <c r="AQ954"/>
      <c r="AR954"/>
      <c r="AS954"/>
      <c r="AT954"/>
      <c r="AU954"/>
      <c r="AV954"/>
    </row>
    <row r="955" spans="41:48" x14ac:dyDescent="0.35">
      <c r="AO955"/>
      <c r="AP955"/>
      <c r="AQ955"/>
      <c r="AR955"/>
      <c r="AS955"/>
      <c r="AT955"/>
      <c r="AU955"/>
      <c r="AV955"/>
    </row>
    <row r="956" spans="41:48" x14ac:dyDescent="0.35">
      <c r="AO956"/>
      <c r="AP956"/>
      <c r="AQ956"/>
      <c r="AR956"/>
      <c r="AS956"/>
      <c r="AT956"/>
      <c r="AU956"/>
      <c r="AV956"/>
    </row>
    <row r="957" spans="41:48" x14ac:dyDescent="0.35">
      <c r="AO957"/>
      <c r="AP957"/>
      <c r="AQ957"/>
      <c r="AR957"/>
      <c r="AS957"/>
      <c r="AT957"/>
      <c r="AU957"/>
      <c r="AV957"/>
    </row>
    <row r="958" spans="41:48" x14ac:dyDescent="0.35">
      <c r="AO958"/>
      <c r="AP958"/>
      <c r="AQ958"/>
      <c r="AR958"/>
      <c r="AS958"/>
      <c r="AT958"/>
      <c r="AU958"/>
      <c r="AV958"/>
    </row>
    <row r="959" spans="41:48" x14ac:dyDescent="0.35">
      <c r="AO959"/>
      <c r="AP959"/>
      <c r="AQ959"/>
      <c r="AR959"/>
      <c r="AS959"/>
      <c r="AT959"/>
      <c r="AU959"/>
      <c r="AV959"/>
    </row>
    <row r="960" spans="41:48" x14ac:dyDescent="0.35">
      <c r="AO960"/>
      <c r="AP960"/>
      <c r="AQ960"/>
      <c r="AR960"/>
      <c r="AS960"/>
      <c r="AT960"/>
      <c r="AU960"/>
      <c r="AV960"/>
    </row>
    <row r="961" spans="41:48" x14ac:dyDescent="0.35">
      <c r="AO961"/>
      <c r="AP961"/>
      <c r="AQ961"/>
      <c r="AR961"/>
      <c r="AS961"/>
      <c r="AT961"/>
      <c r="AU961"/>
      <c r="AV961"/>
    </row>
    <row r="962" spans="41:48" x14ac:dyDescent="0.35">
      <c r="AO962"/>
      <c r="AP962"/>
      <c r="AQ962"/>
      <c r="AR962"/>
      <c r="AS962"/>
      <c r="AT962"/>
      <c r="AU962"/>
      <c r="AV962"/>
    </row>
    <row r="963" spans="41:48" x14ac:dyDescent="0.35">
      <c r="AO963"/>
      <c r="AP963"/>
      <c r="AQ963"/>
      <c r="AR963"/>
      <c r="AS963"/>
      <c r="AT963"/>
      <c r="AU963"/>
      <c r="AV963"/>
    </row>
    <row r="964" spans="41:48" x14ac:dyDescent="0.35">
      <c r="AO964"/>
      <c r="AP964"/>
      <c r="AQ964"/>
      <c r="AR964"/>
      <c r="AS964"/>
      <c r="AT964"/>
      <c r="AU964"/>
      <c r="AV964"/>
    </row>
    <row r="965" spans="41:48" x14ac:dyDescent="0.35">
      <c r="AO965"/>
      <c r="AP965"/>
      <c r="AQ965"/>
      <c r="AR965"/>
      <c r="AS965"/>
      <c r="AT965"/>
      <c r="AU965"/>
      <c r="AV965"/>
    </row>
    <row r="966" spans="41:48" x14ac:dyDescent="0.35">
      <c r="AO966"/>
      <c r="AP966"/>
      <c r="AQ966"/>
      <c r="AR966"/>
      <c r="AS966"/>
      <c r="AT966"/>
      <c r="AU966"/>
      <c r="AV966"/>
    </row>
    <row r="967" spans="41:48" x14ac:dyDescent="0.35">
      <c r="AO967"/>
      <c r="AP967"/>
      <c r="AQ967"/>
      <c r="AR967"/>
      <c r="AS967"/>
      <c r="AT967"/>
      <c r="AU967"/>
      <c r="AV967"/>
    </row>
    <row r="968" spans="41:48" x14ac:dyDescent="0.35">
      <c r="AO968"/>
      <c r="AP968"/>
      <c r="AQ968"/>
      <c r="AR968"/>
      <c r="AS968"/>
      <c r="AT968"/>
      <c r="AU968"/>
      <c r="AV968"/>
    </row>
    <row r="969" spans="41:48" x14ac:dyDescent="0.35">
      <c r="AO969"/>
      <c r="AP969"/>
      <c r="AQ969"/>
      <c r="AR969"/>
      <c r="AS969"/>
      <c r="AT969"/>
      <c r="AU969"/>
      <c r="AV969"/>
    </row>
    <row r="970" spans="41:48" x14ac:dyDescent="0.35">
      <c r="AO970"/>
      <c r="AP970"/>
      <c r="AQ970"/>
      <c r="AR970"/>
      <c r="AS970"/>
      <c r="AT970"/>
      <c r="AU970"/>
      <c r="AV970"/>
    </row>
    <row r="971" spans="41:48" x14ac:dyDescent="0.35">
      <c r="AO971"/>
      <c r="AP971"/>
      <c r="AQ971"/>
      <c r="AR971"/>
      <c r="AS971"/>
      <c r="AT971"/>
      <c r="AU971"/>
      <c r="AV971"/>
    </row>
    <row r="972" spans="41:48" x14ac:dyDescent="0.35">
      <c r="AO972"/>
      <c r="AP972"/>
      <c r="AQ972"/>
      <c r="AR972"/>
      <c r="AS972"/>
      <c r="AT972"/>
      <c r="AU972"/>
      <c r="AV972"/>
    </row>
    <row r="973" spans="41:48" x14ac:dyDescent="0.35">
      <c r="AO973"/>
      <c r="AP973"/>
      <c r="AQ973"/>
      <c r="AR973"/>
      <c r="AS973"/>
      <c r="AT973"/>
      <c r="AU973"/>
      <c r="AV973"/>
    </row>
    <row r="974" spans="41:48" x14ac:dyDescent="0.35">
      <c r="AO974"/>
      <c r="AP974"/>
      <c r="AQ974"/>
      <c r="AR974"/>
      <c r="AS974"/>
      <c r="AT974"/>
      <c r="AU974"/>
      <c r="AV974"/>
    </row>
    <row r="975" spans="41:48" x14ac:dyDescent="0.35">
      <c r="AO975"/>
      <c r="AP975"/>
      <c r="AQ975"/>
      <c r="AR975"/>
      <c r="AS975"/>
      <c r="AT975"/>
      <c r="AU975"/>
      <c r="AV975"/>
    </row>
    <row r="976" spans="41:48" x14ac:dyDescent="0.35">
      <c r="AO976"/>
      <c r="AP976"/>
      <c r="AQ976"/>
      <c r="AR976"/>
      <c r="AS976"/>
      <c r="AT976"/>
      <c r="AU976"/>
      <c r="AV976"/>
    </row>
    <row r="977" spans="41:48" x14ac:dyDescent="0.35">
      <c r="AO977"/>
      <c r="AP977"/>
      <c r="AQ977"/>
      <c r="AR977"/>
      <c r="AS977"/>
      <c r="AT977"/>
      <c r="AU977"/>
      <c r="AV977"/>
    </row>
    <row r="978" spans="41:48" x14ac:dyDescent="0.35">
      <c r="AO978"/>
      <c r="AP978"/>
      <c r="AQ978"/>
      <c r="AR978"/>
      <c r="AS978"/>
      <c r="AT978"/>
      <c r="AU978"/>
      <c r="AV978"/>
    </row>
    <row r="979" spans="41:48" x14ac:dyDescent="0.35">
      <c r="AO979"/>
      <c r="AP979"/>
      <c r="AQ979"/>
      <c r="AR979"/>
      <c r="AS979"/>
      <c r="AT979"/>
      <c r="AU979"/>
      <c r="AV979"/>
    </row>
    <row r="980" spans="41:48" x14ac:dyDescent="0.35">
      <c r="AO980"/>
      <c r="AP980"/>
      <c r="AQ980"/>
      <c r="AR980"/>
      <c r="AS980"/>
      <c r="AT980"/>
      <c r="AU980"/>
      <c r="AV980"/>
    </row>
    <row r="981" spans="41:48" x14ac:dyDescent="0.35">
      <c r="AO981"/>
      <c r="AP981"/>
      <c r="AQ981"/>
      <c r="AR981"/>
      <c r="AS981"/>
      <c r="AT981"/>
      <c r="AU981"/>
      <c r="AV981"/>
    </row>
    <row r="982" spans="41:48" x14ac:dyDescent="0.35">
      <c r="AO982"/>
      <c r="AP982"/>
      <c r="AQ982"/>
      <c r="AR982"/>
      <c r="AS982"/>
      <c r="AT982"/>
      <c r="AU982"/>
      <c r="AV982"/>
    </row>
    <row r="983" spans="41:48" x14ac:dyDescent="0.35">
      <c r="AO983"/>
      <c r="AP983"/>
      <c r="AQ983"/>
      <c r="AR983"/>
      <c r="AS983"/>
      <c r="AT983"/>
      <c r="AU983"/>
      <c r="AV983"/>
    </row>
    <row r="984" spans="41:48" x14ac:dyDescent="0.35">
      <c r="AO984"/>
      <c r="AP984"/>
      <c r="AQ984"/>
      <c r="AR984"/>
      <c r="AS984"/>
      <c r="AT984"/>
      <c r="AU984"/>
      <c r="AV984"/>
    </row>
    <row r="985" spans="41:48" x14ac:dyDescent="0.35">
      <c r="AO985"/>
      <c r="AP985"/>
      <c r="AQ985"/>
      <c r="AR985"/>
      <c r="AS985"/>
      <c r="AT985"/>
      <c r="AU985"/>
      <c r="AV985"/>
    </row>
    <row r="986" spans="41:48" x14ac:dyDescent="0.35">
      <c r="AO986"/>
      <c r="AP986"/>
      <c r="AQ986"/>
      <c r="AR986"/>
      <c r="AS986"/>
      <c r="AT986"/>
      <c r="AU986"/>
      <c r="AV986"/>
    </row>
    <row r="987" spans="41:48" x14ac:dyDescent="0.35">
      <c r="AO987"/>
      <c r="AP987"/>
      <c r="AQ987"/>
      <c r="AR987"/>
      <c r="AS987"/>
      <c r="AT987"/>
      <c r="AU987"/>
      <c r="AV987"/>
    </row>
    <row r="988" spans="41:48" x14ac:dyDescent="0.35">
      <c r="AO988"/>
      <c r="AP988"/>
      <c r="AQ988"/>
      <c r="AR988"/>
      <c r="AS988"/>
      <c r="AT988"/>
      <c r="AU988"/>
      <c r="AV988"/>
    </row>
    <row r="989" spans="41:48" x14ac:dyDescent="0.35">
      <c r="AO989"/>
      <c r="AP989"/>
      <c r="AQ989"/>
      <c r="AR989"/>
      <c r="AS989"/>
      <c r="AT989"/>
      <c r="AU989"/>
      <c r="AV989"/>
    </row>
    <row r="990" spans="41:48" x14ac:dyDescent="0.35">
      <c r="AO990"/>
      <c r="AP990"/>
      <c r="AQ990"/>
      <c r="AR990"/>
      <c r="AS990"/>
      <c r="AT990"/>
      <c r="AU990"/>
      <c r="AV990"/>
    </row>
    <row r="991" spans="41:48" x14ac:dyDescent="0.35">
      <c r="AO991"/>
      <c r="AP991"/>
      <c r="AQ991"/>
      <c r="AR991"/>
      <c r="AS991"/>
      <c r="AT991"/>
      <c r="AU991"/>
      <c r="AV991"/>
    </row>
    <row r="992" spans="41:48" x14ac:dyDescent="0.35">
      <c r="AO992"/>
      <c r="AP992"/>
      <c r="AQ992"/>
      <c r="AR992"/>
      <c r="AS992"/>
      <c r="AT992"/>
      <c r="AU992"/>
      <c r="AV992"/>
    </row>
    <row r="993" spans="41:48" x14ac:dyDescent="0.35">
      <c r="AO993"/>
      <c r="AP993"/>
      <c r="AQ993"/>
      <c r="AR993"/>
      <c r="AS993"/>
      <c r="AT993"/>
      <c r="AU993"/>
      <c r="AV993"/>
    </row>
    <row r="994" spans="41:48" x14ac:dyDescent="0.35">
      <c r="AO994"/>
      <c r="AP994"/>
      <c r="AQ994"/>
      <c r="AR994"/>
      <c r="AS994"/>
      <c r="AT994"/>
      <c r="AU994"/>
      <c r="AV994"/>
    </row>
    <row r="995" spans="41:48" x14ac:dyDescent="0.35">
      <c r="AO995"/>
      <c r="AP995"/>
      <c r="AQ995"/>
      <c r="AR995"/>
      <c r="AS995"/>
      <c r="AT995"/>
      <c r="AU995"/>
      <c r="AV995"/>
    </row>
    <row r="996" spans="41:48" x14ac:dyDescent="0.35">
      <c r="AO996"/>
      <c r="AP996"/>
      <c r="AQ996"/>
      <c r="AR996"/>
      <c r="AS996"/>
      <c r="AT996"/>
      <c r="AU996"/>
      <c r="AV996"/>
    </row>
    <row r="997" spans="41:48" x14ac:dyDescent="0.35">
      <c r="AO997"/>
      <c r="AP997"/>
      <c r="AQ997"/>
      <c r="AR997"/>
      <c r="AS997"/>
      <c r="AT997"/>
      <c r="AU997"/>
      <c r="AV997"/>
    </row>
    <row r="998" spans="41:48" x14ac:dyDescent="0.35">
      <c r="AO998"/>
      <c r="AP998"/>
      <c r="AQ998"/>
      <c r="AR998"/>
      <c r="AS998"/>
      <c r="AT998"/>
      <c r="AU998"/>
      <c r="AV998"/>
    </row>
    <row r="999" spans="41:48" x14ac:dyDescent="0.35">
      <c r="AO999"/>
      <c r="AP999"/>
      <c r="AQ999"/>
      <c r="AR999"/>
      <c r="AS999"/>
      <c r="AT999"/>
      <c r="AU999"/>
      <c r="AV999"/>
    </row>
    <row r="1000" spans="41:48" x14ac:dyDescent="0.35">
      <c r="AO1000"/>
      <c r="AP1000"/>
      <c r="AQ1000"/>
      <c r="AR1000"/>
      <c r="AS1000"/>
      <c r="AT1000"/>
      <c r="AU1000"/>
      <c r="AV1000"/>
    </row>
    <row r="1001" spans="41:48" x14ac:dyDescent="0.35">
      <c r="AO1001"/>
      <c r="AP1001"/>
      <c r="AQ1001"/>
      <c r="AR1001"/>
      <c r="AS1001"/>
      <c r="AT1001"/>
      <c r="AU1001"/>
      <c r="AV1001"/>
    </row>
    <row r="1002" spans="41:48" x14ac:dyDescent="0.35">
      <c r="AO1002"/>
      <c r="AP1002"/>
      <c r="AQ1002"/>
      <c r="AR1002"/>
      <c r="AS1002"/>
      <c r="AT1002"/>
      <c r="AU1002"/>
      <c r="AV1002"/>
    </row>
    <row r="1003" spans="41:48" x14ac:dyDescent="0.35">
      <c r="AO1003"/>
      <c r="AP1003"/>
      <c r="AQ1003"/>
      <c r="AR1003"/>
      <c r="AS1003"/>
      <c r="AT1003"/>
      <c r="AU1003"/>
      <c r="AV1003"/>
    </row>
    <row r="1004" spans="41:48" x14ac:dyDescent="0.35">
      <c r="AO1004"/>
      <c r="AP1004"/>
      <c r="AQ1004"/>
      <c r="AR1004"/>
      <c r="AS1004"/>
      <c r="AT1004"/>
      <c r="AU1004"/>
      <c r="AV1004"/>
    </row>
    <row r="1005" spans="41:48" x14ac:dyDescent="0.35">
      <c r="AO1005"/>
      <c r="AP1005"/>
      <c r="AQ1005"/>
      <c r="AR1005"/>
      <c r="AS1005"/>
      <c r="AT1005"/>
      <c r="AU1005"/>
      <c r="AV1005"/>
    </row>
    <row r="1006" spans="41:48" x14ac:dyDescent="0.35">
      <c r="AO1006"/>
      <c r="AP1006"/>
      <c r="AQ1006"/>
      <c r="AR1006"/>
      <c r="AS1006"/>
      <c r="AT1006"/>
      <c r="AU1006"/>
      <c r="AV1006"/>
    </row>
    <row r="1007" spans="41:48" x14ac:dyDescent="0.35">
      <c r="AO1007"/>
      <c r="AP1007"/>
      <c r="AQ1007"/>
      <c r="AR1007"/>
      <c r="AS1007"/>
      <c r="AT1007"/>
      <c r="AU1007"/>
      <c r="AV1007"/>
    </row>
    <row r="1008" spans="41:48" x14ac:dyDescent="0.35">
      <c r="AO1008"/>
      <c r="AP1008"/>
      <c r="AQ1008"/>
      <c r="AR1008"/>
      <c r="AS1008"/>
      <c r="AT1008"/>
      <c r="AU1008"/>
      <c r="AV1008"/>
    </row>
    <row r="1009" spans="41:48" x14ac:dyDescent="0.35">
      <c r="AO1009"/>
      <c r="AP1009"/>
      <c r="AQ1009"/>
      <c r="AR1009"/>
      <c r="AS1009"/>
      <c r="AT1009"/>
      <c r="AU1009"/>
      <c r="AV1009"/>
    </row>
    <row r="1010" spans="41:48" x14ac:dyDescent="0.35">
      <c r="AO1010"/>
      <c r="AP1010"/>
      <c r="AQ1010"/>
      <c r="AR1010"/>
      <c r="AS1010"/>
      <c r="AT1010"/>
      <c r="AU1010"/>
      <c r="AV1010"/>
    </row>
    <row r="1011" spans="41:48" x14ac:dyDescent="0.35">
      <c r="AO1011"/>
      <c r="AP1011"/>
      <c r="AQ1011"/>
      <c r="AR1011"/>
      <c r="AS1011"/>
      <c r="AT1011"/>
      <c r="AU1011"/>
      <c r="AV1011"/>
    </row>
    <row r="1012" spans="41:48" x14ac:dyDescent="0.35">
      <c r="AO1012"/>
      <c r="AP1012"/>
      <c r="AQ1012"/>
      <c r="AR1012"/>
      <c r="AS1012"/>
      <c r="AT1012"/>
      <c r="AU1012"/>
      <c r="AV1012"/>
    </row>
    <row r="1013" spans="41:48" x14ac:dyDescent="0.35">
      <c r="AO1013"/>
      <c r="AP1013"/>
      <c r="AQ1013"/>
      <c r="AR1013"/>
      <c r="AS1013"/>
      <c r="AT1013"/>
      <c r="AU1013"/>
      <c r="AV1013"/>
    </row>
    <row r="1014" spans="41:48" x14ac:dyDescent="0.35">
      <c r="AO1014"/>
      <c r="AP1014"/>
      <c r="AQ1014"/>
      <c r="AR1014"/>
      <c r="AS1014"/>
      <c r="AT1014"/>
      <c r="AU1014"/>
      <c r="AV1014"/>
    </row>
    <row r="1015" spans="41:48" x14ac:dyDescent="0.35">
      <c r="AO1015"/>
      <c r="AP1015"/>
      <c r="AQ1015"/>
      <c r="AR1015"/>
      <c r="AS1015"/>
      <c r="AT1015"/>
      <c r="AU1015"/>
      <c r="AV1015"/>
    </row>
    <row r="1016" spans="41:48" x14ac:dyDescent="0.35">
      <c r="AO1016"/>
      <c r="AP1016"/>
      <c r="AQ1016"/>
      <c r="AR1016"/>
      <c r="AS1016"/>
      <c r="AT1016"/>
      <c r="AU1016"/>
      <c r="AV1016"/>
    </row>
    <row r="1017" spans="41:48" x14ac:dyDescent="0.35">
      <c r="AO1017"/>
      <c r="AP1017"/>
      <c r="AQ1017"/>
      <c r="AR1017"/>
      <c r="AS1017"/>
      <c r="AT1017"/>
      <c r="AU1017"/>
      <c r="AV1017"/>
    </row>
    <row r="1018" spans="41:48" x14ac:dyDescent="0.35">
      <c r="AO1018"/>
      <c r="AP1018"/>
      <c r="AQ1018"/>
      <c r="AR1018"/>
      <c r="AS1018"/>
      <c r="AT1018"/>
      <c r="AU1018"/>
      <c r="AV1018"/>
    </row>
    <row r="1019" spans="41:48" x14ac:dyDescent="0.35">
      <c r="AO1019"/>
      <c r="AP1019"/>
      <c r="AQ1019"/>
      <c r="AR1019"/>
      <c r="AS1019"/>
      <c r="AT1019"/>
      <c r="AU1019"/>
      <c r="AV1019"/>
    </row>
    <row r="1020" spans="41:48" x14ac:dyDescent="0.35">
      <c r="AO1020"/>
      <c r="AP1020"/>
      <c r="AQ1020"/>
      <c r="AR1020"/>
      <c r="AS1020"/>
      <c r="AT1020"/>
      <c r="AU1020"/>
      <c r="AV1020"/>
    </row>
    <row r="1021" spans="41:48" x14ac:dyDescent="0.35">
      <c r="AO1021"/>
      <c r="AP1021"/>
      <c r="AQ1021"/>
      <c r="AR1021"/>
      <c r="AS1021"/>
      <c r="AT1021"/>
      <c r="AU1021"/>
      <c r="AV1021"/>
    </row>
    <row r="1022" spans="41:48" x14ac:dyDescent="0.35">
      <c r="AO1022"/>
      <c r="AP1022"/>
      <c r="AQ1022"/>
      <c r="AR1022"/>
      <c r="AS1022"/>
      <c r="AT1022"/>
      <c r="AU1022"/>
      <c r="AV1022"/>
    </row>
    <row r="1023" spans="41:48" x14ac:dyDescent="0.35">
      <c r="AO1023"/>
      <c r="AP1023"/>
      <c r="AQ1023"/>
      <c r="AR1023"/>
      <c r="AS1023"/>
      <c r="AT1023"/>
      <c r="AU1023"/>
      <c r="AV1023"/>
    </row>
    <row r="1024" spans="41:48" x14ac:dyDescent="0.35">
      <c r="AO1024"/>
      <c r="AP1024"/>
      <c r="AQ1024"/>
      <c r="AR1024"/>
      <c r="AS1024"/>
      <c r="AT1024"/>
      <c r="AU1024"/>
      <c r="AV1024"/>
    </row>
    <row r="1025" spans="41:48" x14ac:dyDescent="0.35">
      <c r="AO1025"/>
      <c r="AP1025"/>
      <c r="AQ1025"/>
      <c r="AR1025"/>
      <c r="AS1025"/>
      <c r="AT1025"/>
      <c r="AU1025"/>
      <c r="AV1025"/>
    </row>
    <row r="1026" spans="41:48" x14ac:dyDescent="0.35">
      <c r="AO1026"/>
      <c r="AP1026"/>
      <c r="AQ1026"/>
      <c r="AR1026"/>
      <c r="AS1026"/>
      <c r="AT1026"/>
      <c r="AU1026"/>
      <c r="AV1026"/>
    </row>
    <row r="1027" spans="41:48" x14ac:dyDescent="0.35">
      <c r="AO1027"/>
      <c r="AP1027"/>
      <c r="AQ1027"/>
      <c r="AR1027"/>
      <c r="AS1027"/>
      <c r="AT1027"/>
      <c r="AU1027"/>
      <c r="AV1027"/>
    </row>
    <row r="1028" spans="41:48" x14ac:dyDescent="0.35">
      <c r="AO1028"/>
      <c r="AP1028"/>
      <c r="AQ1028"/>
      <c r="AR1028"/>
      <c r="AS1028"/>
      <c r="AT1028"/>
      <c r="AU1028"/>
      <c r="AV1028"/>
    </row>
    <row r="1029" spans="41:48" x14ac:dyDescent="0.35">
      <c r="AO1029"/>
      <c r="AP1029"/>
      <c r="AQ1029"/>
      <c r="AR1029"/>
      <c r="AS1029"/>
      <c r="AT1029"/>
      <c r="AU1029"/>
      <c r="AV1029"/>
    </row>
    <row r="1030" spans="41:48" x14ac:dyDescent="0.35">
      <c r="AO1030"/>
      <c r="AP1030"/>
      <c r="AQ1030"/>
      <c r="AR1030"/>
      <c r="AS1030"/>
      <c r="AT1030"/>
      <c r="AU1030"/>
      <c r="AV1030"/>
    </row>
    <row r="1031" spans="41:48" x14ac:dyDescent="0.35">
      <c r="AO1031"/>
      <c r="AP1031"/>
      <c r="AQ1031"/>
      <c r="AR1031"/>
      <c r="AS1031"/>
      <c r="AT1031"/>
      <c r="AU1031"/>
      <c r="AV1031"/>
    </row>
    <row r="1032" spans="41:48" x14ac:dyDescent="0.35">
      <c r="AO1032"/>
      <c r="AP1032"/>
      <c r="AQ1032"/>
      <c r="AR1032"/>
      <c r="AS1032"/>
      <c r="AT1032"/>
      <c r="AU1032"/>
      <c r="AV1032"/>
    </row>
    <row r="1033" spans="41:48" x14ac:dyDescent="0.35">
      <c r="AO1033"/>
      <c r="AP1033"/>
      <c r="AQ1033"/>
      <c r="AR1033"/>
      <c r="AS1033"/>
      <c r="AT1033"/>
      <c r="AU1033"/>
      <c r="AV1033"/>
    </row>
    <row r="1034" spans="41:48" x14ac:dyDescent="0.35">
      <c r="AO1034"/>
      <c r="AP1034"/>
      <c r="AQ1034"/>
      <c r="AR1034"/>
      <c r="AS1034"/>
      <c r="AT1034"/>
      <c r="AU1034"/>
      <c r="AV1034"/>
    </row>
    <row r="1035" spans="41:48" x14ac:dyDescent="0.35">
      <c r="AO1035"/>
      <c r="AP1035"/>
      <c r="AQ1035"/>
      <c r="AR1035"/>
      <c r="AS1035"/>
      <c r="AT1035"/>
      <c r="AU1035"/>
      <c r="AV1035"/>
    </row>
    <row r="1036" spans="41:48" x14ac:dyDescent="0.35">
      <c r="AO1036"/>
      <c r="AP1036"/>
      <c r="AQ1036"/>
      <c r="AR1036"/>
      <c r="AS1036"/>
      <c r="AT1036"/>
      <c r="AU1036"/>
      <c r="AV1036"/>
    </row>
    <row r="1037" spans="41:48" x14ac:dyDescent="0.35">
      <c r="AO1037"/>
      <c r="AP1037"/>
      <c r="AQ1037"/>
      <c r="AR1037"/>
      <c r="AS1037"/>
      <c r="AT1037"/>
      <c r="AU1037"/>
      <c r="AV1037"/>
    </row>
    <row r="1038" spans="41:48" x14ac:dyDescent="0.35">
      <c r="AO1038"/>
      <c r="AP1038"/>
      <c r="AQ1038"/>
      <c r="AR1038"/>
      <c r="AS1038"/>
      <c r="AT1038"/>
      <c r="AU1038"/>
      <c r="AV1038"/>
    </row>
    <row r="1039" spans="41:48" x14ac:dyDescent="0.35">
      <c r="AO1039"/>
      <c r="AP1039"/>
      <c r="AQ1039"/>
      <c r="AR1039"/>
      <c r="AS1039"/>
      <c r="AT1039"/>
      <c r="AU1039"/>
      <c r="AV1039"/>
    </row>
    <row r="1040" spans="41:48" x14ac:dyDescent="0.35">
      <c r="AO1040"/>
      <c r="AP1040"/>
      <c r="AQ1040"/>
      <c r="AR1040"/>
      <c r="AS1040"/>
      <c r="AT1040"/>
      <c r="AU1040"/>
      <c r="AV1040"/>
    </row>
    <row r="1041" spans="41:48" x14ac:dyDescent="0.35">
      <c r="AO1041"/>
      <c r="AP1041"/>
      <c r="AQ1041"/>
      <c r="AR1041"/>
      <c r="AS1041"/>
      <c r="AT1041"/>
      <c r="AU1041"/>
      <c r="AV1041"/>
    </row>
    <row r="1042" spans="41:48" x14ac:dyDescent="0.35">
      <c r="AO1042"/>
      <c r="AP1042"/>
      <c r="AQ1042"/>
      <c r="AR1042"/>
      <c r="AS1042"/>
      <c r="AT1042"/>
      <c r="AU1042"/>
      <c r="AV1042"/>
    </row>
    <row r="1043" spans="41:48" x14ac:dyDescent="0.35">
      <c r="AO1043"/>
      <c r="AP1043"/>
      <c r="AQ1043"/>
      <c r="AR1043"/>
      <c r="AS1043"/>
      <c r="AT1043"/>
      <c r="AU1043"/>
      <c r="AV1043"/>
    </row>
    <row r="1044" spans="41:48" x14ac:dyDescent="0.35">
      <c r="AO1044"/>
      <c r="AP1044"/>
      <c r="AQ1044"/>
      <c r="AR1044"/>
      <c r="AS1044"/>
      <c r="AT1044"/>
      <c r="AU1044"/>
      <c r="AV1044"/>
    </row>
    <row r="1045" spans="41:48" x14ac:dyDescent="0.35">
      <c r="AO1045"/>
      <c r="AP1045"/>
      <c r="AQ1045"/>
      <c r="AR1045"/>
      <c r="AS1045"/>
      <c r="AT1045"/>
      <c r="AU1045"/>
      <c r="AV1045"/>
    </row>
    <row r="1046" spans="41:48" x14ac:dyDescent="0.35">
      <c r="AO1046"/>
      <c r="AP1046"/>
      <c r="AQ1046"/>
      <c r="AR1046"/>
      <c r="AS1046"/>
      <c r="AT1046"/>
      <c r="AU1046"/>
      <c r="AV1046"/>
    </row>
    <row r="1047" spans="41:48" x14ac:dyDescent="0.35">
      <c r="AO1047"/>
      <c r="AP1047"/>
      <c r="AQ1047"/>
      <c r="AR1047"/>
      <c r="AS1047"/>
      <c r="AT1047"/>
      <c r="AU1047"/>
      <c r="AV1047"/>
    </row>
    <row r="1048" spans="41:48" x14ac:dyDescent="0.35">
      <c r="AO1048"/>
      <c r="AP1048"/>
      <c r="AQ1048"/>
      <c r="AR1048"/>
      <c r="AS1048"/>
      <c r="AT1048"/>
      <c r="AU1048"/>
      <c r="AV1048"/>
    </row>
    <row r="1049" spans="41:48" x14ac:dyDescent="0.35">
      <c r="AO1049"/>
      <c r="AP1049"/>
      <c r="AQ1049"/>
      <c r="AR1049"/>
      <c r="AS1049"/>
      <c r="AT1049"/>
      <c r="AU1049"/>
      <c r="AV1049"/>
    </row>
    <row r="1050" spans="41:48" x14ac:dyDescent="0.35">
      <c r="AO1050"/>
      <c r="AP1050"/>
      <c r="AQ1050"/>
      <c r="AR1050"/>
      <c r="AS1050"/>
      <c r="AT1050"/>
      <c r="AU1050"/>
      <c r="AV1050"/>
    </row>
    <row r="1051" spans="41:48" x14ac:dyDescent="0.35">
      <c r="AO1051"/>
      <c r="AP1051"/>
      <c r="AQ1051"/>
      <c r="AR1051"/>
      <c r="AS1051"/>
      <c r="AT1051"/>
      <c r="AU1051"/>
      <c r="AV1051"/>
    </row>
    <row r="1052" spans="41:48" x14ac:dyDescent="0.35">
      <c r="AO1052"/>
      <c r="AP1052"/>
      <c r="AQ1052"/>
      <c r="AR1052"/>
      <c r="AS1052"/>
      <c r="AT1052"/>
      <c r="AU1052"/>
      <c r="AV1052"/>
    </row>
    <row r="1053" spans="41:48" x14ac:dyDescent="0.35">
      <c r="AO1053"/>
      <c r="AP1053"/>
      <c r="AQ1053"/>
      <c r="AR1053"/>
      <c r="AS1053"/>
      <c r="AT1053"/>
      <c r="AU1053"/>
      <c r="AV1053"/>
    </row>
    <row r="1054" spans="41:48" x14ac:dyDescent="0.35">
      <c r="AO1054"/>
      <c r="AP1054"/>
      <c r="AQ1054"/>
      <c r="AR1054"/>
      <c r="AS1054"/>
      <c r="AT1054"/>
      <c r="AU1054"/>
      <c r="AV1054"/>
    </row>
    <row r="1055" spans="41:48" x14ac:dyDescent="0.35">
      <c r="AO1055"/>
      <c r="AP1055"/>
      <c r="AQ1055"/>
      <c r="AR1055"/>
      <c r="AS1055"/>
      <c r="AT1055"/>
      <c r="AU1055"/>
      <c r="AV1055"/>
    </row>
    <row r="1056" spans="41:48" x14ac:dyDescent="0.35">
      <c r="AO1056"/>
      <c r="AP1056"/>
      <c r="AQ1056"/>
      <c r="AR1056"/>
      <c r="AS1056"/>
      <c r="AT1056"/>
      <c r="AU1056"/>
      <c r="AV1056"/>
    </row>
    <row r="1057" spans="41:48" x14ac:dyDescent="0.35">
      <c r="AO1057"/>
      <c r="AP1057"/>
      <c r="AQ1057"/>
      <c r="AR1057"/>
      <c r="AS1057"/>
      <c r="AT1057"/>
      <c r="AU1057"/>
      <c r="AV1057"/>
    </row>
    <row r="1058" spans="41:48" x14ac:dyDescent="0.35">
      <c r="AO1058"/>
      <c r="AP1058"/>
      <c r="AQ1058"/>
      <c r="AR1058"/>
      <c r="AS1058"/>
      <c r="AT1058"/>
      <c r="AU1058"/>
      <c r="AV1058"/>
    </row>
    <row r="1059" spans="41:48" x14ac:dyDescent="0.35">
      <c r="AO1059"/>
      <c r="AP1059"/>
      <c r="AQ1059"/>
      <c r="AR1059"/>
      <c r="AS1059"/>
      <c r="AT1059"/>
      <c r="AU1059"/>
      <c r="AV1059"/>
    </row>
    <row r="1060" spans="41:48" x14ac:dyDescent="0.35">
      <c r="AO1060"/>
      <c r="AP1060"/>
      <c r="AQ1060"/>
      <c r="AR1060"/>
      <c r="AS1060"/>
      <c r="AT1060"/>
      <c r="AU1060"/>
      <c r="AV1060"/>
    </row>
    <row r="1061" spans="41:48" x14ac:dyDescent="0.35">
      <c r="AO1061"/>
      <c r="AP1061"/>
      <c r="AQ1061"/>
      <c r="AR1061"/>
      <c r="AS1061"/>
      <c r="AT1061"/>
      <c r="AU1061"/>
      <c r="AV1061"/>
    </row>
    <row r="1062" spans="41:48" x14ac:dyDescent="0.35">
      <c r="AO1062"/>
      <c r="AP1062"/>
      <c r="AQ1062"/>
      <c r="AR1062"/>
      <c r="AS1062"/>
      <c r="AT1062"/>
      <c r="AU1062"/>
      <c r="AV1062"/>
    </row>
    <row r="1063" spans="41:48" x14ac:dyDescent="0.35">
      <c r="AO1063"/>
      <c r="AP1063"/>
      <c r="AQ1063"/>
      <c r="AR1063"/>
      <c r="AS1063"/>
      <c r="AT1063"/>
      <c r="AU1063"/>
      <c r="AV1063"/>
    </row>
    <row r="1064" spans="41:48" x14ac:dyDescent="0.35">
      <c r="AO1064"/>
      <c r="AP1064"/>
      <c r="AQ1064"/>
      <c r="AR1064"/>
      <c r="AS1064"/>
      <c r="AT1064"/>
      <c r="AU1064"/>
      <c r="AV1064"/>
    </row>
    <row r="1065" spans="41:48" x14ac:dyDescent="0.35">
      <c r="AO1065"/>
      <c r="AP1065"/>
      <c r="AQ1065"/>
      <c r="AR1065"/>
      <c r="AS1065"/>
      <c r="AT1065"/>
      <c r="AU1065"/>
      <c r="AV1065"/>
    </row>
    <row r="1066" spans="41:48" x14ac:dyDescent="0.35">
      <c r="AO1066"/>
      <c r="AP1066"/>
      <c r="AQ1066"/>
      <c r="AR1066"/>
      <c r="AS1066"/>
      <c r="AT1066"/>
      <c r="AU1066"/>
      <c r="AV1066"/>
    </row>
    <row r="1067" spans="41:48" x14ac:dyDescent="0.35">
      <c r="AO1067"/>
      <c r="AP1067"/>
      <c r="AQ1067"/>
      <c r="AR1067"/>
      <c r="AS1067"/>
      <c r="AT1067"/>
      <c r="AU1067"/>
      <c r="AV1067"/>
    </row>
    <row r="1068" spans="41:48" x14ac:dyDescent="0.35">
      <c r="AO1068"/>
      <c r="AP1068"/>
      <c r="AQ1068"/>
      <c r="AR1068"/>
      <c r="AS1068"/>
      <c r="AT1068"/>
      <c r="AU1068"/>
      <c r="AV1068"/>
    </row>
    <row r="1069" spans="41:48" x14ac:dyDescent="0.35">
      <c r="AO1069"/>
      <c r="AP1069"/>
      <c r="AQ1069"/>
      <c r="AR1069"/>
      <c r="AS1069"/>
      <c r="AT1069"/>
      <c r="AU1069"/>
      <c r="AV1069"/>
    </row>
    <row r="1070" spans="41:48" x14ac:dyDescent="0.35">
      <c r="AO1070"/>
      <c r="AP1070"/>
      <c r="AQ1070"/>
      <c r="AR1070"/>
      <c r="AS1070"/>
      <c r="AT1070"/>
      <c r="AU1070"/>
      <c r="AV1070"/>
    </row>
    <row r="1071" spans="41:48" x14ac:dyDescent="0.35">
      <c r="AO1071"/>
      <c r="AP1071"/>
      <c r="AQ1071"/>
      <c r="AR1071"/>
      <c r="AS1071"/>
      <c r="AT1071"/>
      <c r="AU1071"/>
      <c r="AV1071"/>
    </row>
    <row r="1072" spans="41:48" x14ac:dyDescent="0.35">
      <c r="AO1072"/>
      <c r="AP1072"/>
      <c r="AQ1072"/>
      <c r="AR1072"/>
      <c r="AS1072"/>
      <c r="AT1072"/>
      <c r="AU1072"/>
      <c r="AV1072"/>
    </row>
    <row r="1073" spans="41:48" x14ac:dyDescent="0.35">
      <c r="AO1073"/>
      <c r="AP1073"/>
      <c r="AQ1073"/>
      <c r="AR1073"/>
      <c r="AS1073"/>
      <c r="AT1073"/>
      <c r="AU1073"/>
      <c r="AV1073"/>
    </row>
    <row r="1074" spans="41:48" x14ac:dyDescent="0.35">
      <c r="AO1074"/>
      <c r="AP1074"/>
      <c r="AQ1074"/>
      <c r="AR1074"/>
      <c r="AS1074"/>
      <c r="AT1074"/>
      <c r="AU1074"/>
      <c r="AV1074"/>
    </row>
    <row r="1075" spans="41:48" x14ac:dyDescent="0.35">
      <c r="AO1075"/>
      <c r="AP1075"/>
      <c r="AQ1075"/>
      <c r="AR1075"/>
      <c r="AS1075"/>
      <c r="AT1075"/>
      <c r="AU1075"/>
      <c r="AV1075"/>
    </row>
    <row r="1076" spans="41:48" x14ac:dyDescent="0.35">
      <c r="AO1076"/>
      <c r="AP1076"/>
      <c r="AQ1076"/>
      <c r="AR1076"/>
      <c r="AS1076"/>
      <c r="AT1076"/>
      <c r="AU1076"/>
      <c r="AV1076"/>
    </row>
    <row r="1077" spans="41:48" x14ac:dyDescent="0.35">
      <c r="AO1077"/>
      <c r="AP1077"/>
      <c r="AQ1077"/>
      <c r="AR1077"/>
      <c r="AS1077"/>
      <c r="AT1077"/>
      <c r="AU1077"/>
      <c r="AV1077"/>
    </row>
    <row r="1078" spans="41:48" x14ac:dyDescent="0.35">
      <c r="AO1078"/>
      <c r="AP1078"/>
      <c r="AQ1078"/>
      <c r="AR1078"/>
      <c r="AS1078"/>
      <c r="AT1078"/>
      <c r="AU1078"/>
      <c r="AV1078"/>
    </row>
    <row r="1079" spans="41:48" x14ac:dyDescent="0.35">
      <c r="AO1079"/>
      <c r="AP1079"/>
      <c r="AQ1079"/>
      <c r="AR1079"/>
      <c r="AS1079"/>
      <c r="AT1079"/>
      <c r="AU1079"/>
      <c r="AV1079"/>
    </row>
    <row r="1080" spans="41:48" x14ac:dyDescent="0.35">
      <c r="AO1080"/>
      <c r="AP1080"/>
      <c r="AQ1080"/>
      <c r="AR1080"/>
      <c r="AS1080"/>
      <c r="AT1080"/>
      <c r="AU1080"/>
      <c r="AV1080"/>
    </row>
    <row r="1081" spans="41:48" x14ac:dyDescent="0.35">
      <c r="AO1081"/>
      <c r="AP1081"/>
      <c r="AQ1081"/>
      <c r="AR1081"/>
      <c r="AS1081"/>
      <c r="AT1081"/>
      <c r="AU1081"/>
      <c r="AV1081"/>
    </row>
    <row r="1082" spans="41:48" x14ac:dyDescent="0.35">
      <c r="AO1082"/>
      <c r="AP1082"/>
      <c r="AQ1082"/>
      <c r="AR1082"/>
      <c r="AS1082"/>
      <c r="AT1082"/>
      <c r="AU1082"/>
      <c r="AV1082"/>
    </row>
    <row r="1083" spans="41:48" x14ac:dyDescent="0.35">
      <c r="AO1083"/>
      <c r="AP1083"/>
      <c r="AQ1083"/>
      <c r="AR1083"/>
      <c r="AS1083"/>
      <c r="AT1083"/>
      <c r="AU1083"/>
      <c r="AV1083"/>
    </row>
    <row r="1084" spans="41:48" x14ac:dyDescent="0.35">
      <c r="AO1084"/>
      <c r="AP1084"/>
      <c r="AQ1084"/>
      <c r="AR1084"/>
      <c r="AS1084"/>
      <c r="AT1084"/>
      <c r="AU1084"/>
      <c r="AV1084"/>
    </row>
    <row r="1085" spans="41:48" x14ac:dyDescent="0.35">
      <c r="AO1085"/>
      <c r="AP1085"/>
      <c r="AQ1085"/>
      <c r="AR1085"/>
      <c r="AS1085"/>
      <c r="AT1085"/>
      <c r="AU1085"/>
      <c r="AV1085"/>
    </row>
    <row r="1086" spans="41:48" x14ac:dyDescent="0.35">
      <c r="AO1086"/>
      <c r="AP1086"/>
      <c r="AQ1086"/>
      <c r="AR1086"/>
      <c r="AS1086"/>
      <c r="AT1086"/>
      <c r="AU1086"/>
      <c r="AV1086"/>
    </row>
    <row r="1087" spans="41:48" x14ac:dyDescent="0.35">
      <c r="AO1087"/>
      <c r="AP1087"/>
      <c r="AQ1087"/>
      <c r="AR1087"/>
      <c r="AS1087"/>
      <c r="AT1087"/>
      <c r="AU1087"/>
      <c r="AV1087"/>
    </row>
    <row r="1088" spans="41:48" x14ac:dyDescent="0.35">
      <c r="AO1088"/>
      <c r="AP1088"/>
      <c r="AQ1088"/>
      <c r="AR1088"/>
      <c r="AS1088"/>
      <c r="AT1088"/>
      <c r="AU1088"/>
      <c r="AV1088"/>
    </row>
    <row r="1089" spans="41:48" x14ac:dyDescent="0.35">
      <c r="AO1089"/>
      <c r="AP1089"/>
      <c r="AQ1089"/>
      <c r="AR1089"/>
      <c r="AS1089"/>
      <c r="AT1089"/>
      <c r="AU1089"/>
      <c r="AV1089"/>
    </row>
    <row r="1090" spans="41:48" x14ac:dyDescent="0.35">
      <c r="AO1090"/>
      <c r="AP1090"/>
      <c r="AQ1090"/>
      <c r="AR1090"/>
      <c r="AS1090"/>
      <c r="AT1090"/>
      <c r="AU1090"/>
      <c r="AV1090"/>
    </row>
    <row r="1091" spans="41:48" x14ac:dyDescent="0.35">
      <c r="AO1091"/>
      <c r="AP1091"/>
      <c r="AQ1091"/>
      <c r="AR1091"/>
      <c r="AS1091"/>
      <c r="AT1091"/>
      <c r="AU1091"/>
      <c r="AV1091"/>
    </row>
    <row r="1092" spans="41:48" x14ac:dyDescent="0.35">
      <c r="AO1092"/>
      <c r="AP1092"/>
      <c r="AQ1092"/>
      <c r="AR1092"/>
      <c r="AS1092"/>
      <c r="AT1092"/>
      <c r="AU1092"/>
      <c r="AV1092"/>
    </row>
    <row r="1093" spans="41:48" x14ac:dyDescent="0.35">
      <c r="AO1093"/>
      <c r="AP1093"/>
      <c r="AQ1093"/>
      <c r="AR1093"/>
      <c r="AS1093"/>
      <c r="AT1093"/>
      <c r="AU1093"/>
      <c r="AV1093"/>
    </row>
    <row r="1094" spans="41:48" x14ac:dyDescent="0.35">
      <c r="AO1094"/>
      <c r="AP1094"/>
      <c r="AQ1094"/>
      <c r="AR1094"/>
      <c r="AS1094"/>
      <c r="AT1094"/>
      <c r="AU1094"/>
      <c r="AV1094"/>
    </row>
    <row r="1095" spans="41:48" x14ac:dyDescent="0.35">
      <c r="AO1095"/>
      <c r="AP1095"/>
      <c r="AQ1095"/>
      <c r="AR1095"/>
      <c r="AS1095"/>
      <c r="AT1095"/>
      <c r="AU1095"/>
      <c r="AV1095"/>
    </row>
    <row r="1096" spans="41:48" x14ac:dyDescent="0.35">
      <c r="AO1096"/>
      <c r="AP1096"/>
      <c r="AQ1096"/>
      <c r="AR1096"/>
      <c r="AS1096"/>
      <c r="AT1096"/>
      <c r="AU1096"/>
      <c r="AV1096"/>
    </row>
    <row r="1097" spans="41:48" x14ac:dyDescent="0.35">
      <c r="AO1097"/>
      <c r="AP1097"/>
      <c r="AQ1097"/>
      <c r="AR1097"/>
      <c r="AS1097"/>
      <c r="AT1097"/>
      <c r="AU1097"/>
      <c r="AV1097"/>
    </row>
    <row r="1098" spans="41:48" x14ac:dyDescent="0.35">
      <c r="AO1098"/>
      <c r="AP1098"/>
      <c r="AQ1098"/>
      <c r="AR1098"/>
      <c r="AS1098"/>
      <c r="AT1098"/>
      <c r="AU1098"/>
      <c r="AV1098"/>
    </row>
    <row r="1099" spans="41:48" x14ac:dyDescent="0.35">
      <c r="AO1099"/>
      <c r="AP1099"/>
      <c r="AQ1099"/>
      <c r="AR1099"/>
      <c r="AS1099"/>
      <c r="AT1099"/>
      <c r="AU1099"/>
      <c r="AV1099"/>
    </row>
    <row r="1100" spans="41:48" x14ac:dyDescent="0.35">
      <c r="AO1100"/>
      <c r="AP1100"/>
      <c r="AQ1100"/>
      <c r="AR1100"/>
      <c r="AS1100"/>
      <c r="AT1100"/>
      <c r="AU1100"/>
      <c r="AV1100"/>
    </row>
    <row r="1101" spans="41:48" x14ac:dyDescent="0.35">
      <c r="AO1101"/>
      <c r="AP1101"/>
      <c r="AQ1101"/>
      <c r="AR1101"/>
      <c r="AS1101"/>
      <c r="AT1101"/>
      <c r="AU1101"/>
      <c r="AV1101"/>
    </row>
    <row r="1102" spans="41:48" x14ac:dyDescent="0.35">
      <c r="AO1102"/>
      <c r="AP1102"/>
      <c r="AQ1102"/>
      <c r="AR1102"/>
      <c r="AS1102"/>
      <c r="AT1102"/>
      <c r="AU1102"/>
      <c r="AV1102"/>
    </row>
    <row r="1103" spans="41:48" x14ac:dyDescent="0.35">
      <c r="AO1103"/>
      <c r="AP1103"/>
      <c r="AQ1103"/>
      <c r="AR1103"/>
      <c r="AS1103"/>
      <c r="AT1103"/>
      <c r="AU1103"/>
      <c r="AV1103"/>
    </row>
    <row r="1104" spans="41:48" x14ac:dyDescent="0.35">
      <c r="AO1104"/>
      <c r="AP1104"/>
      <c r="AQ1104"/>
      <c r="AR1104"/>
      <c r="AS1104"/>
      <c r="AT1104"/>
      <c r="AU1104"/>
      <c r="AV1104"/>
    </row>
    <row r="1105" spans="41:48" x14ac:dyDescent="0.35">
      <c r="AO1105"/>
      <c r="AP1105"/>
      <c r="AQ1105"/>
      <c r="AR1105"/>
      <c r="AS1105"/>
      <c r="AT1105"/>
      <c r="AU1105"/>
      <c r="AV1105"/>
    </row>
    <row r="1106" spans="41:48" x14ac:dyDescent="0.35">
      <c r="AO1106"/>
      <c r="AP1106"/>
      <c r="AQ1106"/>
      <c r="AR1106"/>
      <c r="AS1106"/>
      <c r="AT1106"/>
      <c r="AU1106"/>
      <c r="AV1106"/>
    </row>
    <row r="1107" spans="41:48" x14ac:dyDescent="0.35">
      <c r="AO1107"/>
      <c r="AP1107"/>
      <c r="AQ1107"/>
      <c r="AR1107"/>
      <c r="AS1107"/>
      <c r="AT1107"/>
      <c r="AU1107"/>
      <c r="AV1107"/>
    </row>
    <row r="1108" spans="41:48" x14ac:dyDescent="0.35">
      <c r="AO1108"/>
      <c r="AP1108"/>
      <c r="AQ1108"/>
      <c r="AR1108"/>
      <c r="AS1108"/>
      <c r="AT1108"/>
      <c r="AU1108"/>
      <c r="AV1108"/>
    </row>
    <row r="1109" spans="41:48" x14ac:dyDescent="0.35">
      <c r="AO1109"/>
      <c r="AP1109"/>
      <c r="AQ1109"/>
      <c r="AR1109"/>
      <c r="AS1109"/>
      <c r="AT1109"/>
      <c r="AU1109"/>
      <c r="AV1109"/>
    </row>
    <row r="1110" spans="41:48" x14ac:dyDescent="0.35">
      <c r="AO1110"/>
      <c r="AP1110"/>
      <c r="AQ1110"/>
      <c r="AR1110"/>
      <c r="AS1110"/>
      <c r="AT1110"/>
      <c r="AU1110"/>
      <c r="AV1110"/>
    </row>
    <row r="1111" spans="41:48" x14ac:dyDescent="0.35">
      <c r="AO1111"/>
      <c r="AP1111"/>
      <c r="AQ1111"/>
      <c r="AR1111"/>
      <c r="AS1111"/>
      <c r="AT1111"/>
      <c r="AU1111"/>
      <c r="AV1111"/>
    </row>
    <row r="1112" spans="41:48" x14ac:dyDescent="0.35">
      <c r="AO1112"/>
      <c r="AP1112"/>
      <c r="AQ1112"/>
      <c r="AR1112"/>
      <c r="AS1112"/>
      <c r="AT1112"/>
      <c r="AU1112"/>
      <c r="AV1112"/>
    </row>
    <row r="1113" spans="41:48" x14ac:dyDescent="0.35">
      <c r="AO1113"/>
      <c r="AP1113"/>
      <c r="AQ1113"/>
      <c r="AR1113"/>
      <c r="AS1113"/>
      <c r="AT1113"/>
      <c r="AU1113"/>
      <c r="AV1113"/>
    </row>
    <row r="1114" spans="41:48" x14ac:dyDescent="0.35">
      <c r="AO1114"/>
      <c r="AP1114"/>
      <c r="AQ1114"/>
      <c r="AR1114"/>
      <c r="AS1114"/>
      <c r="AT1114"/>
      <c r="AU1114"/>
      <c r="AV1114"/>
    </row>
    <row r="1115" spans="41:48" x14ac:dyDescent="0.35">
      <c r="AO1115"/>
      <c r="AP1115"/>
      <c r="AQ1115"/>
      <c r="AR1115"/>
      <c r="AS1115"/>
      <c r="AT1115"/>
      <c r="AU1115"/>
      <c r="AV1115"/>
    </row>
    <row r="1116" spans="41:48" x14ac:dyDescent="0.35">
      <c r="AO1116"/>
      <c r="AP1116"/>
      <c r="AQ1116"/>
      <c r="AR1116"/>
      <c r="AS1116"/>
      <c r="AT1116"/>
      <c r="AU1116"/>
      <c r="AV1116"/>
    </row>
    <row r="1117" spans="41:48" x14ac:dyDescent="0.35">
      <c r="AO1117"/>
      <c r="AP1117"/>
      <c r="AQ1117"/>
      <c r="AR1117"/>
      <c r="AS1117"/>
      <c r="AT1117"/>
      <c r="AU1117"/>
      <c r="AV1117"/>
    </row>
    <row r="1118" spans="41:48" x14ac:dyDescent="0.35">
      <c r="AO1118"/>
      <c r="AP1118"/>
      <c r="AQ1118"/>
      <c r="AR1118"/>
      <c r="AS1118"/>
      <c r="AT1118"/>
      <c r="AU1118"/>
      <c r="AV1118"/>
    </row>
    <row r="1119" spans="41:48" x14ac:dyDescent="0.35">
      <c r="AO1119"/>
      <c r="AP1119"/>
      <c r="AQ1119"/>
      <c r="AR1119"/>
      <c r="AS1119"/>
      <c r="AT1119"/>
      <c r="AU1119"/>
      <c r="AV1119"/>
    </row>
    <row r="1120" spans="41:48" x14ac:dyDescent="0.35">
      <c r="AO1120"/>
      <c r="AP1120"/>
      <c r="AQ1120"/>
      <c r="AR1120"/>
      <c r="AS1120"/>
      <c r="AT1120"/>
      <c r="AU1120"/>
      <c r="AV1120"/>
    </row>
    <row r="1121" spans="41:48" x14ac:dyDescent="0.35">
      <c r="AO1121"/>
      <c r="AP1121"/>
      <c r="AQ1121"/>
      <c r="AR1121"/>
      <c r="AS1121"/>
      <c r="AT1121"/>
      <c r="AU1121"/>
      <c r="AV1121"/>
    </row>
    <row r="1122" spans="41:48" x14ac:dyDescent="0.35">
      <c r="AO1122"/>
      <c r="AP1122"/>
      <c r="AQ1122"/>
      <c r="AR1122"/>
      <c r="AS1122"/>
      <c r="AT1122"/>
      <c r="AU1122"/>
      <c r="AV1122"/>
    </row>
    <row r="1123" spans="41:48" x14ac:dyDescent="0.35">
      <c r="AO1123"/>
      <c r="AP1123"/>
      <c r="AQ1123"/>
      <c r="AR1123"/>
      <c r="AS1123"/>
      <c r="AT1123"/>
      <c r="AU1123"/>
      <c r="AV1123"/>
    </row>
    <row r="1124" spans="41:48" x14ac:dyDescent="0.35">
      <c r="AO1124"/>
      <c r="AP1124"/>
      <c r="AQ1124"/>
      <c r="AR1124"/>
      <c r="AS1124"/>
      <c r="AT1124"/>
      <c r="AU1124"/>
      <c r="AV1124"/>
    </row>
    <row r="1125" spans="41:48" x14ac:dyDescent="0.35">
      <c r="AO1125"/>
      <c r="AP1125"/>
      <c r="AQ1125"/>
      <c r="AR1125"/>
      <c r="AS1125"/>
      <c r="AT1125"/>
      <c r="AU1125"/>
      <c r="AV1125"/>
    </row>
    <row r="1126" spans="41:48" x14ac:dyDescent="0.35">
      <c r="AO1126"/>
      <c r="AP1126"/>
      <c r="AQ1126"/>
      <c r="AR1126"/>
      <c r="AS1126"/>
      <c r="AT1126"/>
      <c r="AU1126"/>
      <c r="AV1126"/>
    </row>
    <row r="1127" spans="41:48" x14ac:dyDescent="0.35">
      <c r="AO1127"/>
      <c r="AP1127"/>
      <c r="AQ1127"/>
      <c r="AR1127"/>
      <c r="AS1127"/>
      <c r="AT1127"/>
      <c r="AU1127"/>
      <c r="AV1127"/>
    </row>
    <row r="1128" spans="41:48" x14ac:dyDescent="0.35">
      <c r="AO1128"/>
      <c r="AP1128"/>
      <c r="AQ1128"/>
      <c r="AR1128"/>
      <c r="AS1128"/>
      <c r="AT1128"/>
      <c r="AU1128"/>
      <c r="AV1128"/>
    </row>
    <row r="1129" spans="41:48" x14ac:dyDescent="0.35">
      <c r="AO1129"/>
      <c r="AP1129"/>
      <c r="AQ1129"/>
      <c r="AR1129"/>
      <c r="AS1129"/>
      <c r="AT1129"/>
      <c r="AU1129"/>
      <c r="AV1129"/>
    </row>
    <row r="1130" spans="41:48" x14ac:dyDescent="0.35">
      <c r="AO1130"/>
      <c r="AP1130"/>
      <c r="AQ1130"/>
      <c r="AR1130"/>
      <c r="AS1130"/>
      <c r="AT1130"/>
      <c r="AU1130"/>
      <c r="AV1130"/>
    </row>
    <row r="1131" spans="41:48" x14ac:dyDescent="0.35">
      <c r="AO1131"/>
      <c r="AP1131"/>
      <c r="AQ1131"/>
      <c r="AR1131"/>
      <c r="AS1131"/>
      <c r="AT1131"/>
      <c r="AU1131"/>
      <c r="AV1131"/>
    </row>
    <row r="1132" spans="41:48" x14ac:dyDescent="0.35">
      <c r="AO1132"/>
      <c r="AP1132"/>
      <c r="AQ1132"/>
      <c r="AR1132"/>
      <c r="AS1132"/>
      <c r="AT1132"/>
      <c r="AU1132"/>
      <c r="AV1132"/>
    </row>
    <row r="1133" spans="41:48" x14ac:dyDescent="0.35">
      <c r="AO1133"/>
      <c r="AP1133"/>
      <c r="AQ1133"/>
      <c r="AR1133"/>
      <c r="AS1133"/>
      <c r="AT1133"/>
      <c r="AU1133"/>
      <c r="AV1133"/>
    </row>
    <row r="1134" spans="41:48" x14ac:dyDescent="0.35">
      <c r="AO1134"/>
      <c r="AP1134"/>
      <c r="AQ1134"/>
      <c r="AR1134"/>
      <c r="AS1134"/>
      <c r="AT1134"/>
      <c r="AU1134"/>
      <c r="AV1134"/>
    </row>
    <row r="1135" spans="41:48" x14ac:dyDescent="0.35">
      <c r="AO1135"/>
      <c r="AP1135"/>
      <c r="AQ1135"/>
      <c r="AR1135"/>
      <c r="AS1135"/>
      <c r="AT1135"/>
      <c r="AU1135"/>
      <c r="AV1135"/>
    </row>
    <row r="1136" spans="41:48" x14ac:dyDescent="0.35">
      <c r="AO1136"/>
      <c r="AP1136"/>
      <c r="AQ1136"/>
      <c r="AR1136"/>
      <c r="AS1136"/>
      <c r="AT1136"/>
      <c r="AU1136"/>
      <c r="AV1136"/>
    </row>
    <row r="1137" spans="41:48" x14ac:dyDescent="0.35">
      <c r="AO1137"/>
      <c r="AP1137"/>
      <c r="AQ1137"/>
      <c r="AR1137"/>
      <c r="AS1137"/>
      <c r="AT1137"/>
      <c r="AU1137"/>
      <c r="AV1137"/>
    </row>
    <row r="1138" spans="41:48" x14ac:dyDescent="0.35">
      <c r="AO1138"/>
      <c r="AP1138"/>
      <c r="AQ1138"/>
      <c r="AR1138"/>
      <c r="AS1138"/>
      <c r="AT1138"/>
      <c r="AU1138"/>
      <c r="AV1138"/>
    </row>
    <row r="1139" spans="41:48" x14ac:dyDescent="0.35">
      <c r="AO1139"/>
      <c r="AP1139"/>
      <c r="AQ1139"/>
      <c r="AR1139"/>
      <c r="AS1139"/>
      <c r="AT1139"/>
      <c r="AU1139"/>
      <c r="AV1139"/>
    </row>
    <row r="1140" spans="41:48" x14ac:dyDescent="0.35">
      <c r="AO1140"/>
      <c r="AP1140"/>
      <c r="AQ1140"/>
      <c r="AR1140"/>
      <c r="AS1140"/>
      <c r="AT1140"/>
      <c r="AU1140"/>
      <c r="AV1140"/>
    </row>
    <row r="1141" spans="41:48" x14ac:dyDescent="0.35">
      <c r="AO1141"/>
      <c r="AP1141"/>
      <c r="AQ1141"/>
      <c r="AR1141"/>
      <c r="AS1141"/>
      <c r="AT1141"/>
      <c r="AU1141"/>
      <c r="AV1141"/>
    </row>
    <row r="1142" spans="41:48" x14ac:dyDescent="0.35">
      <c r="AO1142"/>
      <c r="AP1142"/>
      <c r="AQ1142"/>
      <c r="AR1142"/>
      <c r="AS1142"/>
      <c r="AT1142"/>
      <c r="AU1142"/>
      <c r="AV1142"/>
    </row>
    <row r="1143" spans="41:48" x14ac:dyDescent="0.35">
      <c r="AO1143"/>
      <c r="AP1143"/>
      <c r="AQ1143"/>
      <c r="AR1143"/>
      <c r="AS1143"/>
      <c r="AT1143"/>
      <c r="AU1143"/>
      <c r="AV1143"/>
    </row>
    <row r="1144" spans="41:48" x14ac:dyDescent="0.35">
      <c r="AO1144"/>
      <c r="AP1144"/>
      <c r="AQ1144"/>
      <c r="AR1144"/>
      <c r="AS1144"/>
      <c r="AT1144"/>
      <c r="AU1144"/>
      <c r="AV1144"/>
    </row>
    <row r="1145" spans="41:48" x14ac:dyDescent="0.35">
      <c r="AO1145"/>
      <c r="AP1145"/>
      <c r="AQ1145"/>
      <c r="AR1145"/>
      <c r="AS1145"/>
      <c r="AT1145"/>
      <c r="AU1145"/>
      <c r="AV1145"/>
    </row>
    <row r="1146" spans="41:48" x14ac:dyDescent="0.35">
      <c r="AO1146"/>
      <c r="AP1146"/>
      <c r="AQ1146"/>
      <c r="AR1146"/>
      <c r="AS1146"/>
      <c r="AT1146"/>
      <c r="AU1146"/>
      <c r="AV1146"/>
    </row>
    <row r="1147" spans="41:48" x14ac:dyDescent="0.35">
      <c r="AO1147"/>
      <c r="AP1147"/>
      <c r="AQ1147"/>
      <c r="AR1147"/>
      <c r="AS1147"/>
      <c r="AT1147"/>
      <c r="AU1147"/>
      <c r="AV1147"/>
    </row>
    <row r="1148" spans="41:48" x14ac:dyDescent="0.35">
      <c r="AO1148"/>
      <c r="AP1148"/>
      <c r="AQ1148"/>
      <c r="AR1148"/>
      <c r="AS1148"/>
      <c r="AT1148"/>
      <c r="AU1148"/>
      <c r="AV1148"/>
    </row>
    <row r="1149" spans="41:48" x14ac:dyDescent="0.35">
      <c r="AO1149"/>
      <c r="AP1149"/>
      <c r="AQ1149"/>
      <c r="AR1149"/>
      <c r="AS1149"/>
      <c r="AT1149"/>
      <c r="AU1149"/>
      <c r="AV1149"/>
    </row>
    <row r="1150" spans="41:48" x14ac:dyDescent="0.35">
      <c r="AO1150"/>
      <c r="AP1150"/>
      <c r="AQ1150"/>
      <c r="AR1150"/>
      <c r="AS1150"/>
      <c r="AT1150"/>
      <c r="AU1150"/>
      <c r="AV1150"/>
    </row>
    <row r="1151" spans="41:48" x14ac:dyDescent="0.35">
      <c r="AO1151"/>
      <c r="AP1151"/>
      <c r="AQ1151"/>
      <c r="AR1151"/>
      <c r="AS1151"/>
      <c r="AT1151"/>
      <c r="AU1151"/>
      <c r="AV1151"/>
    </row>
    <row r="1152" spans="41:48" x14ac:dyDescent="0.35">
      <c r="AO1152"/>
      <c r="AP1152"/>
      <c r="AQ1152"/>
      <c r="AR1152"/>
      <c r="AS1152"/>
      <c r="AT1152"/>
      <c r="AU1152"/>
      <c r="AV1152"/>
    </row>
    <row r="1153" spans="41:48" x14ac:dyDescent="0.35">
      <c r="AO1153"/>
      <c r="AP1153"/>
      <c r="AQ1153"/>
      <c r="AR1153"/>
      <c r="AS1153"/>
      <c r="AT1153"/>
      <c r="AU1153"/>
      <c r="AV1153"/>
    </row>
    <row r="1154" spans="41:48" x14ac:dyDescent="0.35">
      <c r="AO1154"/>
      <c r="AP1154"/>
      <c r="AQ1154"/>
      <c r="AR1154"/>
      <c r="AS1154"/>
      <c r="AT1154"/>
      <c r="AU1154"/>
      <c r="AV1154"/>
    </row>
    <row r="1155" spans="41:48" x14ac:dyDescent="0.35">
      <c r="AO1155"/>
      <c r="AP1155"/>
      <c r="AQ1155"/>
      <c r="AR1155"/>
      <c r="AS1155"/>
      <c r="AT1155"/>
      <c r="AU1155"/>
      <c r="AV1155"/>
    </row>
    <row r="1156" spans="41:48" x14ac:dyDescent="0.35">
      <c r="AO1156"/>
      <c r="AP1156"/>
      <c r="AQ1156"/>
      <c r="AR1156"/>
      <c r="AS1156"/>
      <c r="AT1156"/>
      <c r="AU1156"/>
      <c r="AV1156"/>
    </row>
    <row r="1157" spans="41:48" x14ac:dyDescent="0.35">
      <c r="AO1157"/>
      <c r="AP1157"/>
      <c r="AQ1157"/>
      <c r="AR1157"/>
      <c r="AS1157"/>
      <c r="AT1157"/>
      <c r="AU1157"/>
      <c r="AV1157"/>
    </row>
    <row r="1158" spans="41:48" x14ac:dyDescent="0.35">
      <c r="AO1158"/>
      <c r="AP1158"/>
      <c r="AQ1158"/>
      <c r="AR1158"/>
      <c r="AS1158"/>
      <c r="AT1158"/>
      <c r="AU1158"/>
      <c r="AV1158"/>
    </row>
    <row r="1159" spans="41:48" x14ac:dyDescent="0.35">
      <c r="AO1159"/>
      <c r="AP1159"/>
      <c r="AQ1159"/>
      <c r="AR1159"/>
      <c r="AS1159"/>
      <c r="AT1159"/>
      <c r="AU1159"/>
      <c r="AV1159"/>
    </row>
    <row r="1160" spans="41:48" x14ac:dyDescent="0.35">
      <c r="AO1160"/>
      <c r="AP1160"/>
      <c r="AQ1160"/>
      <c r="AR1160"/>
      <c r="AS1160"/>
      <c r="AT1160"/>
      <c r="AU1160"/>
      <c r="AV1160"/>
    </row>
    <row r="1161" spans="41:48" x14ac:dyDescent="0.35">
      <c r="AO1161"/>
      <c r="AP1161"/>
      <c r="AQ1161"/>
      <c r="AR1161"/>
      <c r="AS1161"/>
      <c r="AT1161"/>
      <c r="AU1161"/>
      <c r="AV1161"/>
    </row>
    <row r="1162" spans="41:48" x14ac:dyDescent="0.35">
      <c r="AO1162"/>
      <c r="AP1162"/>
      <c r="AQ1162"/>
      <c r="AR1162"/>
      <c r="AS1162"/>
      <c r="AT1162"/>
      <c r="AU1162"/>
      <c r="AV1162"/>
    </row>
    <row r="1163" spans="41:48" x14ac:dyDescent="0.35">
      <c r="AO1163"/>
      <c r="AP1163"/>
      <c r="AQ1163"/>
      <c r="AR1163"/>
      <c r="AS1163"/>
      <c r="AT1163"/>
      <c r="AU1163"/>
      <c r="AV1163"/>
    </row>
    <row r="1164" spans="41:48" x14ac:dyDescent="0.35">
      <c r="AO1164"/>
      <c r="AP1164"/>
      <c r="AQ1164"/>
      <c r="AR1164"/>
      <c r="AS1164"/>
      <c r="AT1164"/>
      <c r="AU1164"/>
      <c r="AV1164"/>
    </row>
    <row r="1165" spans="41:48" x14ac:dyDescent="0.35">
      <c r="AO1165"/>
      <c r="AP1165"/>
      <c r="AQ1165"/>
      <c r="AR1165"/>
      <c r="AS1165"/>
      <c r="AT1165"/>
      <c r="AU1165"/>
      <c r="AV1165"/>
    </row>
    <row r="1166" spans="41:48" x14ac:dyDescent="0.35">
      <c r="AO1166"/>
      <c r="AP1166"/>
      <c r="AQ1166"/>
      <c r="AR1166"/>
      <c r="AS1166"/>
      <c r="AT1166"/>
      <c r="AU1166"/>
      <c r="AV1166"/>
    </row>
    <row r="1167" spans="41:48" x14ac:dyDescent="0.35">
      <c r="AO1167"/>
      <c r="AP1167"/>
      <c r="AQ1167"/>
      <c r="AR1167"/>
      <c r="AS1167"/>
      <c r="AT1167"/>
      <c r="AU1167"/>
      <c r="AV1167"/>
    </row>
    <row r="1168" spans="41:48" x14ac:dyDescent="0.35">
      <c r="AO1168"/>
      <c r="AP1168"/>
      <c r="AQ1168"/>
      <c r="AR1168"/>
      <c r="AS1168"/>
      <c r="AT1168"/>
      <c r="AU1168"/>
      <c r="AV1168"/>
    </row>
    <row r="1169" spans="41:48" x14ac:dyDescent="0.35">
      <c r="AO1169"/>
      <c r="AP1169"/>
      <c r="AQ1169"/>
      <c r="AR1169"/>
      <c r="AS1169"/>
      <c r="AT1169"/>
      <c r="AU1169"/>
      <c r="AV1169"/>
    </row>
    <row r="1170" spans="41:48" x14ac:dyDescent="0.35">
      <c r="AO1170"/>
      <c r="AP1170"/>
      <c r="AQ1170"/>
      <c r="AR1170"/>
      <c r="AS1170"/>
      <c r="AT1170"/>
      <c r="AU1170"/>
      <c r="AV1170"/>
    </row>
    <row r="1171" spans="41:48" x14ac:dyDescent="0.35">
      <c r="AO1171"/>
      <c r="AP1171"/>
      <c r="AQ1171"/>
      <c r="AR1171"/>
      <c r="AS1171"/>
      <c r="AT1171"/>
      <c r="AU1171"/>
      <c r="AV1171"/>
    </row>
    <row r="1172" spans="41:48" x14ac:dyDescent="0.35">
      <c r="AO1172"/>
      <c r="AP1172"/>
      <c r="AQ1172"/>
      <c r="AR1172"/>
      <c r="AS1172"/>
      <c r="AT1172"/>
      <c r="AU1172"/>
      <c r="AV1172"/>
    </row>
    <row r="1173" spans="41:48" x14ac:dyDescent="0.35">
      <c r="AO1173"/>
      <c r="AP1173"/>
      <c r="AQ1173"/>
      <c r="AR1173"/>
      <c r="AS1173"/>
      <c r="AT1173"/>
      <c r="AU1173"/>
      <c r="AV1173"/>
    </row>
    <row r="1174" spans="41:48" x14ac:dyDescent="0.35">
      <c r="AO1174"/>
      <c r="AP1174"/>
      <c r="AQ1174"/>
      <c r="AR1174"/>
      <c r="AS1174"/>
      <c r="AT1174"/>
      <c r="AU1174"/>
      <c r="AV1174"/>
    </row>
    <row r="1175" spans="41:48" x14ac:dyDescent="0.35">
      <c r="AO1175"/>
      <c r="AP1175"/>
      <c r="AQ1175"/>
      <c r="AR1175"/>
      <c r="AS1175"/>
      <c r="AT1175"/>
      <c r="AU1175"/>
      <c r="AV1175"/>
    </row>
    <row r="1176" spans="41:48" x14ac:dyDescent="0.35">
      <c r="AO1176"/>
      <c r="AP1176"/>
      <c r="AQ1176"/>
      <c r="AR1176"/>
      <c r="AS1176"/>
      <c r="AT1176"/>
      <c r="AU1176"/>
      <c r="AV1176"/>
    </row>
    <row r="1177" spans="41:48" x14ac:dyDescent="0.35">
      <c r="AO1177"/>
      <c r="AP1177"/>
      <c r="AQ1177"/>
      <c r="AR1177"/>
      <c r="AS1177"/>
      <c r="AT1177"/>
      <c r="AU1177"/>
      <c r="AV1177"/>
    </row>
    <row r="1178" spans="41:48" x14ac:dyDescent="0.35">
      <c r="AO1178"/>
      <c r="AP1178"/>
      <c r="AQ1178"/>
      <c r="AR1178"/>
      <c r="AS1178"/>
      <c r="AT1178"/>
      <c r="AU1178"/>
      <c r="AV1178"/>
    </row>
    <row r="1179" spans="41:48" x14ac:dyDescent="0.35">
      <c r="AO1179"/>
      <c r="AP1179"/>
      <c r="AQ1179"/>
      <c r="AR1179"/>
      <c r="AS1179"/>
      <c r="AT1179"/>
      <c r="AU1179"/>
      <c r="AV1179"/>
    </row>
    <row r="1180" spans="41:48" x14ac:dyDescent="0.35">
      <c r="AO1180"/>
      <c r="AP1180"/>
      <c r="AQ1180"/>
      <c r="AR1180"/>
      <c r="AS1180"/>
      <c r="AT1180"/>
      <c r="AU1180"/>
      <c r="AV1180"/>
    </row>
    <row r="1181" spans="41:48" x14ac:dyDescent="0.35">
      <c r="AO1181"/>
      <c r="AP1181"/>
      <c r="AQ1181"/>
      <c r="AR1181"/>
      <c r="AS1181"/>
      <c r="AT1181"/>
      <c r="AU1181"/>
      <c r="AV1181"/>
    </row>
    <row r="1182" spans="41:48" x14ac:dyDescent="0.35">
      <c r="AO1182"/>
      <c r="AP1182"/>
      <c r="AQ1182"/>
      <c r="AR1182"/>
      <c r="AS1182"/>
      <c r="AT1182"/>
      <c r="AU1182"/>
      <c r="AV1182"/>
    </row>
    <row r="1183" spans="41:48" x14ac:dyDescent="0.35">
      <c r="AO1183"/>
      <c r="AP1183"/>
      <c r="AQ1183"/>
      <c r="AR1183"/>
      <c r="AS1183"/>
      <c r="AT1183"/>
      <c r="AU1183"/>
      <c r="AV1183"/>
    </row>
    <row r="1184" spans="41:48" x14ac:dyDescent="0.35">
      <c r="AO1184"/>
      <c r="AP1184"/>
      <c r="AQ1184"/>
      <c r="AR1184"/>
      <c r="AS1184"/>
      <c r="AT1184"/>
      <c r="AU1184"/>
      <c r="AV1184"/>
    </row>
    <row r="1185" spans="41:48" x14ac:dyDescent="0.35">
      <c r="AO1185"/>
      <c r="AP1185"/>
      <c r="AQ1185"/>
      <c r="AR1185"/>
      <c r="AS1185"/>
      <c r="AT1185"/>
      <c r="AU1185"/>
      <c r="AV1185"/>
    </row>
    <row r="1186" spans="41:48" x14ac:dyDescent="0.35">
      <c r="AO1186"/>
      <c r="AP1186"/>
      <c r="AQ1186"/>
      <c r="AR1186"/>
      <c r="AS1186"/>
      <c r="AT1186"/>
      <c r="AU1186"/>
      <c r="AV1186"/>
    </row>
    <row r="1187" spans="41:48" x14ac:dyDescent="0.35">
      <c r="AO1187"/>
      <c r="AP1187"/>
      <c r="AQ1187"/>
      <c r="AR1187"/>
      <c r="AS1187"/>
      <c r="AT1187"/>
      <c r="AU1187"/>
      <c r="AV1187"/>
    </row>
    <row r="1188" spans="41:48" x14ac:dyDescent="0.35">
      <c r="AO1188"/>
      <c r="AP1188"/>
      <c r="AQ1188"/>
      <c r="AR1188"/>
      <c r="AS1188"/>
      <c r="AT1188"/>
      <c r="AU1188"/>
      <c r="AV1188"/>
    </row>
    <row r="1189" spans="41:48" x14ac:dyDescent="0.35">
      <c r="AO1189"/>
      <c r="AP1189"/>
      <c r="AQ1189"/>
      <c r="AR1189"/>
      <c r="AS1189"/>
      <c r="AT1189"/>
      <c r="AU1189"/>
      <c r="AV1189"/>
    </row>
    <row r="1190" spans="41:48" x14ac:dyDescent="0.35">
      <c r="AO1190"/>
      <c r="AP1190"/>
      <c r="AQ1190"/>
      <c r="AR1190"/>
      <c r="AS1190"/>
      <c r="AT1190"/>
      <c r="AU1190"/>
      <c r="AV1190"/>
    </row>
    <row r="1191" spans="41:48" x14ac:dyDescent="0.35">
      <c r="AO1191"/>
      <c r="AP1191"/>
      <c r="AQ1191"/>
      <c r="AR1191"/>
      <c r="AS1191"/>
      <c r="AT1191"/>
      <c r="AU1191"/>
      <c r="AV1191"/>
    </row>
    <row r="1192" spans="41:48" x14ac:dyDescent="0.35">
      <c r="AO1192"/>
      <c r="AP1192"/>
      <c r="AQ1192"/>
      <c r="AR1192"/>
      <c r="AS1192"/>
      <c r="AT1192"/>
      <c r="AU1192"/>
      <c r="AV1192"/>
    </row>
    <row r="1193" spans="41:48" x14ac:dyDescent="0.35">
      <c r="AO1193"/>
      <c r="AP1193"/>
      <c r="AQ1193"/>
      <c r="AR1193"/>
      <c r="AS1193"/>
      <c r="AT1193"/>
      <c r="AU1193"/>
      <c r="AV1193"/>
    </row>
    <row r="1194" spans="41:48" x14ac:dyDescent="0.35">
      <c r="AO1194"/>
      <c r="AP1194"/>
      <c r="AQ1194"/>
      <c r="AR1194"/>
      <c r="AS1194"/>
      <c r="AT1194"/>
      <c r="AU1194"/>
      <c r="AV1194"/>
    </row>
    <row r="1195" spans="41:48" x14ac:dyDescent="0.35">
      <c r="AO1195"/>
      <c r="AP1195"/>
      <c r="AQ1195"/>
      <c r="AR1195"/>
      <c r="AS1195"/>
      <c r="AT1195"/>
      <c r="AU1195"/>
      <c r="AV1195"/>
    </row>
    <row r="1196" spans="41:48" x14ac:dyDescent="0.35">
      <c r="AO1196"/>
      <c r="AP1196"/>
      <c r="AQ1196"/>
      <c r="AR1196"/>
      <c r="AS1196"/>
      <c r="AT1196"/>
      <c r="AU1196"/>
      <c r="AV1196"/>
    </row>
    <row r="1197" spans="41:48" x14ac:dyDescent="0.35">
      <c r="AO1197"/>
      <c r="AP1197"/>
      <c r="AQ1197"/>
      <c r="AR1197"/>
      <c r="AS1197"/>
      <c r="AT1197"/>
      <c r="AU1197"/>
      <c r="AV1197"/>
    </row>
    <row r="1198" spans="41:48" x14ac:dyDescent="0.35">
      <c r="AO1198"/>
      <c r="AP1198"/>
      <c r="AQ1198"/>
      <c r="AR1198"/>
      <c r="AS1198"/>
      <c r="AT1198"/>
      <c r="AU1198"/>
      <c r="AV1198"/>
    </row>
    <row r="1199" spans="41:48" x14ac:dyDescent="0.35">
      <c r="AO1199"/>
      <c r="AP1199"/>
      <c r="AQ1199"/>
      <c r="AR1199"/>
      <c r="AS1199"/>
      <c r="AT1199"/>
      <c r="AU1199"/>
      <c r="AV1199"/>
    </row>
    <row r="1200" spans="41:48" x14ac:dyDescent="0.35">
      <c r="AO1200"/>
      <c r="AP1200"/>
      <c r="AQ1200"/>
      <c r="AR1200"/>
      <c r="AS1200"/>
      <c r="AT1200"/>
      <c r="AU1200"/>
      <c r="AV1200"/>
    </row>
    <row r="1201" spans="41:48" x14ac:dyDescent="0.35">
      <c r="AO1201"/>
      <c r="AP1201"/>
      <c r="AQ1201"/>
      <c r="AR1201"/>
      <c r="AS1201"/>
      <c r="AT1201"/>
      <c r="AU1201"/>
      <c r="AV1201"/>
    </row>
    <row r="1202" spans="41:48" x14ac:dyDescent="0.35">
      <c r="AO1202"/>
      <c r="AP1202"/>
      <c r="AQ1202"/>
      <c r="AR1202"/>
      <c r="AS1202"/>
      <c r="AT1202"/>
      <c r="AU1202"/>
      <c r="AV1202"/>
    </row>
    <row r="1203" spans="41:48" x14ac:dyDescent="0.35">
      <c r="AO1203"/>
      <c r="AP1203"/>
      <c r="AQ1203"/>
      <c r="AR1203"/>
      <c r="AS1203"/>
      <c r="AT1203"/>
      <c r="AU1203"/>
      <c r="AV1203"/>
    </row>
    <row r="1204" spans="41:48" x14ac:dyDescent="0.35">
      <c r="AO1204"/>
      <c r="AP1204"/>
      <c r="AQ1204"/>
      <c r="AR1204"/>
      <c r="AS1204"/>
      <c r="AT1204"/>
      <c r="AU1204"/>
      <c r="AV1204"/>
    </row>
    <row r="1205" spans="41:48" x14ac:dyDescent="0.35">
      <c r="AO1205"/>
      <c r="AP1205"/>
      <c r="AQ1205"/>
      <c r="AR1205"/>
      <c r="AS1205"/>
      <c r="AT1205"/>
      <c r="AU1205"/>
      <c r="AV1205"/>
    </row>
    <row r="1206" spans="41:48" x14ac:dyDescent="0.35">
      <c r="AO1206"/>
      <c r="AP1206"/>
      <c r="AQ1206"/>
      <c r="AR1206"/>
      <c r="AS1206"/>
      <c r="AT1206"/>
      <c r="AU1206"/>
      <c r="AV1206"/>
    </row>
    <row r="1207" spans="41:48" x14ac:dyDescent="0.35">
      <c r="AO1207"/>
      <c r="AP1207"/>
      <c r="AQ1207"/>
      <c r="AR1207"/>
      <c r="AS1207"/>
      <c r="AT1207"/>
      <c r="AU1207"/>
      <c r="AV1207"/>
    </row>
    <row r="1208" spans="41:48" x14ac:dyDescent="0.35">
      <c r="AO1208"/>
      <c r="AP1208"/>
      <c r="AQ1208"/>
      <c r="AR1208"/>
      <c r="AS1208"/>
      <c r="AT1208"/>
      <c r="AU1208"/>
      <c r="AV1208"/>
    </row>
    <row r="1209" spans="41:48" x14ac:dyDescent="0.35">
      <c r="AO1209"/>
      <c r="AP1209"/>
      <c r="AQ1209"/>
      <c r="AR1209"/>
      <c r="AS1209"/>
      <c r="AT1209"/>
      <c r="AU1209"/>
      <c r="AV1209"/>
    </row>
    <row r="1210" spans="41:48" x14ac:dyDescent="0.35">
      <c r="AO1210"/>
      <c r="AP1210"/>
      <c r="AQ1210"/>
      <c r="AR1210"/>
      <c r="AS1210"/>
      <c r="AT1210"/>
      <c r="AU1210"/>
      <c r="AV1210"/>
    </row>
    <row r="1211" spans="41:48" x14ac:dyDescent="0.35">
      <c r="AO1211"/>
      <c r="AP1211"/>
      <c r="AQ1211"/>
      <c r="AR1211"/>
      <c r="AS1211"/>
      <c r="AT1211"/>
      <c r="AU1211"/>
      <c r="AV1211"/>
    </row>
    <row r="1212" spans="41:48" x14ac:dyDescent="0.35">
      <c r="AO1212"/>
      <c r="AP1212"/>
      <c r="AQ1212"/>
      <c r="AR1212"/>
      <c r="AS1212"/>
      <c r="AT1212"/>
      <c r="AU1212"/>
      <c r="AV1212"/>
    </row>
    <row r="1213" spans="41:48" x14ac:dyDescent="0.35">
      <c r="AO1213"/>
      <c r="AP1213"/>
      <c r="AQ1213"/>
      <c r="AR1213"/>
      <c r="AS1213"/>
      <c r="AT1213"/>
      <c r="AU1213"/>
      <c r="AV1213"/>
    </row>
    <row r="1214" spans="41:48" x14ac:dyDescent="0.35">
      <c r="AO1214"/>
      <c r="AP1214"/>
      <c r="AQ1214"/>
      <c r="AR1214"/>
      <c r="AS1214"/>
      <c r="AT1214"/>
      <c r="AU1214"/>
      <c r="AV1214"/>
    </row>
    <row r="1215" spans="41:48" x14ac:dyDescent="0.35">
      <c r="AO1215"/>
      <c r="AP1215"/>
      <c r="AQ1215"/>
      <c r="AR1215"/>
      <c r="AS1215"/>
      <c r="AT1215"/>
      <c r="AU1215"/>
      <c r="AV1215"/>
    </row>
    <row r="1216" spans="41:48" x14ac:dyDescent="0.35">
      <c r="AO1216"/>
      <c r="AP1216"/>
      <c r="AQ1216"/>
      <c r="AR1216"/>
      <c r="AS1216"/>
      <c r="AT1216"/>
      <c r="AU1216"/>
      <c r="AV1216"/>
    </row>
    <row r="1217" spans="41:48" x14ac:dyDescent="0.35">
      <c r="AO1217"/>
      <c r="AP1217"/>
      <c r="AQ1217"/>
      <c r="AR1217"/>
      <c r="AS1217"/>
      <c r="AT1217"/>
      <c r="AU1217"/>
      <c r="AV1217"/>
    </row>
    <row r="1218" spans="41:48" x14ac:dyDescent="0.35">
      <c r="AO1218"/>
      <c r="AP1218"/>
      <c r="AQ1218"/>
      <c r="AR1218"/>
      <c r="AS1218"/>
      <c r="AT1218"/>
      <c r="AU1218"/>
      <c r="AV1218"/>
    </row>
    <row r="1219" spans="41:48" x14ac:dyDescent="0.35">
      <c r="AO1219"/>
      <c r="AP1219"/>
      <c r="AQ1219"/>
      <c r="AR1219"/>
      <c r="AS1219"/>
      <c r="AT1219"/>
      <c r="AU1219"/>
      <c r="AV1219"/>
    </row>
    <row r="1220" spans="41:48" x14ac:dyDescent="0.35">
      <c r="AO1220"/>
      <c r="AP1220"/>
      <c r="AQ1220"/>
      <c r="AR1220"/>
      <c r="AS1220"/>
      <c r="AT1220"/>
      <c r="AU1220"/>
      <c r="AV1220"/>
    </row>
    <row r="1221" spans="41:48" x14ac:dyDescent="0.35">
      <c r="AO1221"/>
      <c r="AP1221"/>
      <c r="AQ1221"/>
      <c r="AR1221"/>
      <c r="AS1221"/>
      <c r="AT1221"/>
      <c r="AU1221"/>
      <c r="AV1221"/>
    </row>
    <row r="1222" spans="41:48" x14ac:dyDescent="0.35">
      <c r="AO1222"/>
      <c r="AP1222"/>
      <c r="AQ1222"/>
      <c r="AR1222"/>
      <c r="AS1222"/>
      <c r="AT1222"/>
      <c r="AU1222"/>
      <c r="AV1222"/>
    </row>
    <row r="1223" spans="41:48" x14ac:dyDescent="0.35">
      <c r="AO1223"/>
      <c r="AP1223"/>
      <c r="AQ1223"/>
      <c r="AR1223"/>
      <c r="AS1223"/>
      <c r="AT1223"/>
      <c r="AU1223"/>
      <c r="AV1223"/>
    </row>
    <row r="1224" spans="41:48" x14ac:dyDescent="0.35">
      <c r="AO1224"/>
      <c r="AP1224"/>
      <c r="AQ1224"/>
      <c r="AR1224"/>
      <c r="AS1224"/>
      <c r="AT1224"/>
      <c r="AU1224"/>
      <c r="AV1224"/>
    </row>
    <row r="1225" spans="41:48" x14ac:dyDescent="0.35">
      <c r="AO1225"/>
      <c r="AP1225"/>
      <c r="AQ1225"/>
      <c r="AR1225"/>
      <c r="AS1225"/>
      <c r="AT1225"/>
      <c r="AU1225"/>
      <c r="AV1225"/>
    </row>
    <row r="1226" spans="41:48" x14ac:dyDescent="0.35">
      <c r="AO1226"/>
      <c r="AP1226"/>
      <c r="AQ1226"/>
      <c r="AR1226"/>
      <c r="AS1226"/>
      <c r="AT1226"/>
      <c r="AU1226"/>
      <c r="AV1226"/>
    </row>
    <row r="1227" spans="41:48" x14ac:dyDescent="0.35">
      <c r="AO1227"/>
      <c r="AP1227"/>
      <c r="AQ1227"/>
      <c r="AR1227"/>
      <c r="AS1227"/>
      <c r="AT1227"/>
      <c r="AU1227"/>
      <c r="AV1227"/>
    </row>
    <row r="1228" spans="41:48" x14ac:dyDescent="0.35">
      <c r="AO1228"/>
      <c r="AP1228"/>
      <c r="AQ1228"/>
      <c r="AR1228"/>
      <c r="AS1228"/>
      <c r="AT1228"/>
      <c r="AU1228"/>
      <c r="AV1228"/>
    </row>
    <row r="1229" spans="41:48" x14ac:dyDescent="0.35">
      <c r="AO1229"/>
      <c r="AP1229"/>
      <c r="AQ1229"/>
      <c r="AR1229"/>
      <c r="AS1229"/>
      <c r="AT1229"/>
      <c r="AU1229"/>
      <c r="AV1229"/>
    </row>
    <row r="1230" spans="41:48" x14ac:dyDescent="0.35">
      <c r="AO1230"/>
      <c r="AP1230"/>
      <c r="AQ1230"/>
      <c r="AR1230"/>
      <c r="AS1230"/>
      <c r="AT1230"/>
      <c r="AU1230"/>
      <c r="AV1230"/>
    </row>
    <row r="1231" spans="41:48" x14ac:dyDescent="0.35">
      <c r="AO1231"/>
      <c r="AP1231"/>
      <c r="AQ1231"/>
      <c r="AR1231"/>
      <c r="AS1231"/>
      <c r="AT1231"/>
      <c r="AU1231"/>
      <c r="AV1231"/>
    </row>
    <row r="1232" spans="41:48" x14ac:dyDescent="0.35">
      <c r="AO1232"/>
      <c r="AP1232"/>
      <c r="AQ1232"/>
      <c r="AR1232"/>
      <c r="AS1232"/>
      <c r="AT1232"/>
      <c r="AU1232"/>
      <c r="AV1232"/>
    </row>
    <row r="1233" spans="41:48" x14ac:dyDescent="0.35">
      <c r="AO1233"/>
      <c r="AP1233"/>
      <c r="AQ1233"/>
      <c r="AR1233"/>
      <c r="AS1233"/>
      <c r="AT1233"/>
      <c r="AU1233"/>
      <c r="AV1233"/>
    </row>
    <row r="1234" spans="41:48" x14ac:dyDescent="0.35">
      <c r="AO1234"/>
      <c r="AP1234"/>
      <c r="AQ1234"/>
      <c r="AR1234"/>
      <c r="AS1234"/>
      <c r="AT1234"/>
      <c r="AU1234"/>
      <c r="AV1234"/>
    </row>
    <row r="1235" spans="41:48" x14ac:dyDescent="0.35">
      <c r="AO1235"/>
      <c r="AP1235"/>
      <c r="AQ1235"/>
      <c r="AR1235"/>
      <c r="AS1235"/>
      <c r="AT1235"/>
      <c r="AU1235"/>
      <c r="AV1235"/>
    </row>
    <row r="1236" spans="41:48" x14ac:dyDescent="0.35">
      <c r="AO1236"/>
      <c r="AP1236"/>
      <c r="AQ1236"/>
      <c r="AR1236"/>
      <c r="AS1236"/>
      <c r="AT1236"/>
      <c r="AU1236"/>
      <c r="AV1236"/>
    </row>
    <row r="1237" spans="41:48" x14ac:dyDescent="0.35">
      <c r="AO1237"/>
      <c r="AP1237"/>
      <c r="AQ1237"/>
      <c r="AR1237"/>
      <c r="AS1237"/>
      <c r="AT1237"/>
      <c r="AU1237"/>
      <c r="AV1237"/>
    </row>
    <row r="1238" spans="41:48" x14ac:dyDescent="0.35">
      <c r="AO1238"/>
      <c r="AP1238"/>
      <c r="AQ1238"/>
      <c r="AR1238"/>
      <c r="AS1238"/>
      <c r="AT1238"/>
      <c r="AU1238"/>
      <c r="AV1238"/>
    </row>
    <row r="1239" spans="41:48" x14ac:dyDescent="0.35">
      <c r="AO1239"/>
      <c r="AP1239"/>
      <c r="AQ1239"/>
      <c r="AR1239"/>
      <c r="AS1239"/>
      <c r="AT1239"/>
      <c r="AU1239"/>
      <c r="AV1239"/>
    </row>
    <row r="1240" spans="41:48" x14ac:dyDescent="0.35">
      <c r="AO1240"/>
      <c r="AP1240"/>
      <c r="AQ1240"/>
      <c r="AR1240"/>
      <c r="AS1240"/>
      <c r="AT1240"/>
      <c r="AU1240"/>
      <c r="AV1240"/>
    </row>
    <row r="1241" spans="41:48" x14ac:dyDescent="0.35">
      <c r="AO1241"/>
      <c r="AP1241"/>
      <c r="AQ1241"/>
      <c r="AR1241"/>
      <c r="AS1241"/>
      <c r="AT1241"/>
      <c r="AU1241"/>
      <c r="AV1241"/>
    </row>
    <row r="1242" spans="41:48" x14ac:dyDescent="0.35">
      <c r="AO1242"/>
      <c r="AP1242"/>
      <c r="AQ1242"/>
      <c r="AR1242"/>
      <c r="AS1242"/>
      <c r="AT1242"/>
      <c r="AU1242"/>
      <c r="AV1242"/>
    </row>
    <row r="1243" spans="41:48" x14ac:dyDescent="0.35">
      <c r="AO1243"/>
      <c r="AP1243"/>
      <c r="AQ1243"/>
      <c r="AR1243"/>
      <c r="AS1243"/>
      <c r="AT1243"/>
      <c r="AU1243"/>
      <c r="AV1243"/>
    </row>
    <row r="1244" spans="41:48" x14ac:dyDescent="0.35">
      <c r="AO1244"/>
      <c r="AP1244"/>
      <c r="AQ1244"/>
      <c r="AR1244"/>
      <c r="AS1244"/>
      <c r="AT1244"/>
      <c r="AU1244"/>
      <c r="AV1244"/>
    </row>
    <row r="1245" spans="41:48" x14ac:dyDescent="0.35">
      <c r="AO1245"/>
      <c r="AP1245"/>
      <c r="AQ1245"/>
      <c r="AR1245"/>
      <c r="AS1245"/>
      <c r="AT1245"/>
      <c r="AU1245"/>
      <c r="AV1245"/>
    </row>
    <row r="1246" spans="41:48" x14ac:dyDescent="0.35">
      <c r="AO1246"/>
      <c r="AP1246"/>
      <c r="AQ1246"/>
      <c r="AR1246"/>
      <c r="AS1246"/>
      <c r="AT1246"/>
      <c r="AU1246"/>
      <c r="AV1246"/>
    </row>
    <row r="1247" spans="41:48" x14ac:dyDescent="0.35">
      <c r="AO1247"/>
      <c r="AP1247"/>
      <c r="AQ1247"/>
      <c r="AR1247"/>
      <c r="AS1247"/>
      <c r="AT1247"/>
      <c r="AU1247"/>
      <c r="AV1247"/>
    </row>
    <row r="1248" spans="41:48" x14ac:dyDescent="0.35">
      <c r="AO1248"/>
      <c r="AP1248"/>
      <c r="AQ1248"/>
      <c r="AR1248"/>
      <c r="AS1248"/>
      <c r="AT1248"/>
      <c r="AU1248"/>
      <c r="AV1248"/>
    </row>
    <row r="1249" spans="41:48" x14ac:dyDescent="0.35">
      <c r="AO1249"/>
      <c r="AP1249"/>
      <c r="AQ1249"/>
      <c r="AR1249"/>
      <c r="AS1249"/>
      <c r="AT1249"/>
      <c r="AU1249"/>
      <c r="AV1249"/>
    </row>
    <row r="1250" spans="41:48" x14ac:dyDescent="0.35">
      <c r="AO1250"/>
      <c r="AP1250"/>
      <c r="AQ1250"/>
      <c r="AR1250"/>
      <c r="AS1250"/>
      <c r="AT1250"/>
      <c r="AU1250"/>
      <c r="AV1250"/>
    </row>
    <row r="1251" spans="41:48" x14ac:dyDescent="0.35">
      <c r="AO1251"/>
      <c r="AP1251"/>
      <c r="AQ1251"/>
      <c r="AR1251"/>
      <c r="AS1251"/>
      <c r="AT1251"/>
      <c r="AU1251"/>
      <c r="AV1251"/>
    </row>
    <row r="1252" spans="41:48" x14ac:dyDescent="0.35">
      <c r="AO1252"/>
      <c r="AP1252"/>
      <c r="AQ1252"/>
      <c r="AR1252"/>
      <c r="AS1252"/>
      <c r="AT1252"/>
      <c r="AU1252"/>
      <c r="AV1252"/>
    </row>
    <row r="1253" spans="41:48" x14ac:dyDescent="0.35">
      <c r="AO1253"/>
      <c r="AP1253"/>
      <c r="AQ1253"/>
      <c r="AR1253"/>
      <c r="AS1253"/>
      <c r="AT1253"/>
      <c r="AU1253"/>
      <c r="AV1253"/>
    </row>
    <row r="1254" spans="41:48" x14ac:dyDescent="0.35">
      <c r="AO1254"/>
      <c r="AP1254"/>
      <c r="AQ1254"/>
      <c r="AR1254"/>
      <c r="AS1254"/>
      <c r="AT1254"/>
      <c r="AU1254"/>
      <c r="AV1254"/>
    </row>
    <row r="1255" spans="41:48" x14ac:dyDescent="0.35">
      <c r="AO1255"/>
      <c r="AP1255"/>
      <c r="AQ1255"/>
      <c r="AR1255"/>
      <c r="AS1255"/>
      <c r="AT1255"/>
      <c r="AU1255"/>
      <c r="AV1255"/>
    </row>
    <row r="1256" spans="41:48" x14ac:dyDescent="0.35">
      <c r="AO1256"/>
      <c r="AP1256"/>
      <c r="AQ1256"/>
      <c r="AR1256"/>
      <c r="AS1256"/>
      <c r="AT1256"/>
      <c r="AU1256"/>
      <c r="AV1256"/>
    </row>
    <row r="1257" spans="41:48" x14ac:dyDescent="0.35">
      <c r="AO1257"/>
      <c r="AP1257"/>
      <c r="AQ1257"/>
      <c r="AR1257"/>
      <c r="AS1257"/>
      <c r="AT1257"/>
      <c r="AU1257"/>
      <c r="AV1257"/>
    </row>
    <row r="1258" spans="41:48" x14ac:dyDescent="0.35">
      <c r="AO1258"/>
      <c r="AP1258"/>
      <c r="AQ1258"/>
      <c r="AR1258"/>
      <c r="AS1258"/>
      <c r="AT1258"/>
      <c r="AU1258"/>
      <c r="AV1258"/>
    </row>
    <row r="1259" spans="41:48" x14ac:dyDescent="0.35">
      <c r="AO1259"/>
      <c r="AP1259"/>
      <c r="AQ1259"/>
      <c r="AR1259"/>
      <c r="AS1259"/>
      <c r="AT1259"/>
      <c r="AU1259"/>
      <c r="AV1259"/>
    </row>
    <row r="1260" spans="41:48" x14ac:dyDescent="0.35">
      <c r="AO1260"/>
      <c r="AP1260"/>
      <c r="AQ1260"/>
      <c r="AR1260"/>
      <c r="AS1260"/>
      <c r="AT1260"/>
      <c r="AU1260"/>
      <c r="AV1260"/>
    </row>
    <row r="1261" spans="41:48" x14ac:dyDescent="0.35">
      <c r="AO1261"/>
      <c r="AP1261"/>
      <c r="AQ1261"/>
      <c r="AR1261"/>
      <c r="AS1261"/>
      <c r="AT1261"/>
      <c r="AU1261"/>
      <c r="AV1261"/>
    </row>
    <row r="1262" spans="41:48" x14ac:dyDescent="0.35">
      <c r="AO1262"/>
      <c r="AP1262"/>
      <c r="AQ1262"/>
      <c r="AR1262"/>
      <c r="AS1262"/>
      <c r="AT1262"/>
      <c r="AU1262"/>
      <c r="AV1262"/>
    </row>
    <row r="1263" spans="41:48" x14ac:dyDescent="0.35">
      <c r="AO1263"/>
      <c r="AP1263"/>
      <c r="AQ1263"/>
      <c r="AR1263"/>
      <c r="AS1263"/>
      <c r="AT1263"/>
      <c r="AU1263"/>
      <c r="AV1263"/>
    </row>
    <row r="1264" spans="41:48" x14ac:dyDescent="0.35">
      <c r="AO1264"/>
      <c r="AP1264"/>
      <c r="AQ1264"/>
      <c r="AR1264"/>
      <c r="AS1264"/>
      <c r="AT1264"/>
      <c r="AU1264"/>
      <c r="AV1264"/>
    </row>
    <row r="1265" spans="41:48" x14ac:dyDescent="0.35">
      <c r="AO1265"/>
      <c r="AP1265"/>
      <c r="AQ1265"/>
      <c r="AR1265"/>
      <c r="AS1265"/>
      <c r="AT1265"/>
      <c r="AU1265"/>
      <c r="AV1265"/>
    </row>
    <row r="1266" spans="41:48" x14ac:dyDescent="0.35">
      <c r="AO1266"/>
      <c r="AP1266"/>
      <c r="AQ1266"/>
      <c r="AR1266"/>
      <c r="AS1266"/>
      <c r="AT1266"/>
      <c r="AU1266"/>
      <c r="AV1266"/>
    </row>
    <row r="1267" spans="41:48" x14ac:dyDescent="0.35">
      <c r="AO1267"/>
      <c r="AP1267"/>
      <c r="AQ1267"/>
      <c r="AR1267"/>
      <c r="AS1267"/>
      <c r="AT1267"/>
      <c r="AU1267"/>
      <c r="AV1267"/>
    </row>
    <row r="1268" spans="41:48" x14ac:dyDescent="0.35">
      <c r="AO1268"/>
      <c r="AP1268"/>
      <c r="AQ1268"/>
      <c r="AR1268"/>
      <c r="AS1268"/>
      <c r="AT1268"/>
      <c r="AU1268"/>
      <c r="AV1268"/>
    </row>
    <row r="1269" spans="41:48" x14ac:dyDescent="0.35">
      <c r="AO1269"/>
      <c r="AP1269"/>
      <c r="AQ1269"/>
      <c r="AR1269"/>
      <c r="AS1269"/>
      <c r="AT1269"/>
      <c r="AU1269"/>
      <c r="AV1269"/>
    </row>
    <row r="1270" spans="41:48" x14ac:dyDescent="0.35">
      <c r="AO1270"/>
      <c r="AP1270"/>
      <c r="AQ1270"/>
      <c r="AR1270"/>
      <c r="AS1270"/>
      <c r="AT1270"/>
      <c r="AU1270"/>
      <c r="AV1270"/>
    </row>
    <row r="1271" spans="41:48" x14ac:dyDescent="0.35">
      <c r="AO1271"/>
      <c r="AP1271"/>
      <c r="AQ1271"/>
      <c r="AR1271"/>
      <c r="AS1271"/>
      <c r="AT1271"/>
      <c r="AU1271"/>
      <c r="AV1271"/>
    </row>
    <row r="1272" spans="41:48" x14ac:dyDescent="0.35">
      <c r="AO1272"/>
      <c r="AP1272"/>
      <c r="AQ1272"/>
      <c r="AR1272"/>
      <c r="AS1272"/>
      <c r="AT1272"/>
      <c r="AU1272"/>
      <c r="AV1272"/>
    </row>
    <row r="1273" spans="41:48" x14ac:dyDescent="0.35">
      <c r="AO1273"/>
      <c r="AP1273"/>
      <c r="AQ1273"/>
      <c r="AR1273"/>
      <c r="AS1273"/>
      <c r="AT1273"/>
      <c r="AU1273"/>
      <c r="AV1273"/>
    </row>
    <row r="1274" spans="41:48" x14ac:dyDescent="0.35">
      <c r="AO1274"/>
      <c r="AP1274"/>
      <c r="AQ1274"/>
      <c r="AR1274"/>
      <c r="AS1274"/>
      <c r="AT1274"/>
      <c r="AU1274"/>
      <c r="AV1274"/>
    </row>
    <row r="1275" spans="41:48" x14ac:dyDescent="0.35">
      <c r="AO1275"/>
      <c r="AP1275"/>
      <c r="AQ1275"/>
      <c r="AR1275"/>
      <c r="AS1275"/>
      <c r="AT1275"/>
      <c r="AU1275"/>
      <c r="AV1275"/>
    </row>
    <row r="1276" spans="41:48" x14ac:dyDescent="0.35">
      <c r="AO1276"/>
      <c r="AP1276"/>
      <c r="AQ1276"/>
      <c r="AR1276"/>
      <c r="AS1276"/>
      <c r="AT1276"/>
      <c r="AU1276"/>
      <c r="AV1276"/>
    </row>
    <row r="1277" spans="41:48" x14ac:dyDescent="0.35">
      <c r="AO1277"/>
      <c r="AP1277"/>
      <c r="AQ1277"/>
      <c r="AR1277"/>
      <c r="AS1277"/>
      <c r="AT1277"/>
      <c r="AU1277"/>
      <c r="AV1277"/>
    </row>
    <row r="1278" spans="41:48" x14ac:dyDescent="0.35">
      <c r="AO1278"/>
      <c r="AP1278"/>
      <c r="AQ1278"/>
      <c r="AR1278"/>
      <c r="AS1278"/>
      <c r="AT1278"/>
      <c r="AU1278"/>
      <c r="AV1278"/>
    </row>
    <row r="1279" spans="41:48" x14ac:dyDescent="0.35">
      <c r="AO1279"/>
      <c r="AP1279"/>
      <c r="AQ1279"/>
      <c r="AR1279"/>
      <c r="AS1279"/>
      <c r="AT1279"/>
      <c r="AU1279"/>
      <c r="AV1279"/>
    </row>
    <row r="1280" spans="41:48" x14ac:dyDescent="0.35">
      <c r="AO1280"/>
      <c r="AP1280"/>
      <c r="AQ1280"/>
      <c r="AR1280"/>
      <c r="AS1280"/>
      <c r="AT1280"/>
      <c r="AU1280"/>
      <c r="AV1280"/>
    </row>
    <row r="1281" spans="41:48" x14ac:dyDescent="0.35">
      <c r="AO1281"/>
      <c r="AP1281"/>
      <c r="AQ1281"/>
      <c r="AR1281"/>
      <c r="AS1281"/>
      <c r="AT1281"/>
      <c r="AU1281"/>
      <c r="AV1281"/>
    </row>
    <row r="1282" spans="41:48" x14ac:dyDescent="0.35">
      <c r="AO1282"/>
      <c r="AP1282"/>
      <c r="AQ1282"/>
      <c r="AR1282"/>
      <c r="AS1282"/>
      <c r="AT1282"/>
      <c r="AU1282"/>
      <c r="AV1282"/>
    </row>
    <row r="1283" spans="41:48" x14ac:dyDescent="0.35">
      <c r="AO1283"/>
      <c r="AP1283"/>
      <c r="AQ1283"/>
      <c r="AR1283"/>
      <c r="AS1283"/>
      <c r="AT1283"/>
      <c r="AU1283"/>
      <c r="AV1283"/>
    </row>
    <row r="1284" spans="41:48" x14ac:dyDescent="0.35">
      <c r="AO1284"/>
      <c r="AP1284"/>
      <c r="AQ1284"/>
      <c r="AR1284"/>
      <c r="AS1284"/>
      <c r="AT1284"/>
      <c r="AU1284"/>
      <c r="AV1284"/>
    </row>
    <row r="1285" spans="41:48" x14ac:dyDescent="0.35">
      <c r="AO1285"/>
      <c r="AP1285"/>
      <c r="AQ1285"/>
      <c r="AR1285"/>
      <c r="AS1285"/>
      <c r="AT1285"/>
      <c r="AU1285"/>
      <c r="AV1285"/>
    </row>
    <row r="1286" spans="41:48" x14ac:dyDescent="0.35">
      <c r="AO1286"/>
      <c r="AP1286"/>
      <c r="AQ1286"/>
      <c r="AR1286"/>
      <c r="AS1286"/>
      <c r="AT1286"/>
      <c r="AU1286"/>
      <c r="AV1286"/>
    </row>
    <row r="1287" spans="41:48" x14ac:dyDescent="0.35">
      <c r="AO1287"/>
      <c r="AP1287"/>
      <c r="AQ1287"/>
      <c r="AR1287"/>
      <c r="AS1287"/>
      <c r="AT1287"/>
      <c r="AU1287"/>
      <c r="AV1287"/>
    </row>
    <row r="1288" spans="41:48" x14ac:dyDescent="0.35">
      <c r="AO1288"/>
      <c r="AP1288"/>
      <c r="AQ1288"/>
      <c r="AR1288"/>
      <c r="AS1288"/>
      <c r="AT1288"/>
      <c r="AU1288"/>
      <c r="AV1288"/>
    </row>
    <row r="1289" spans="41:48" x14ac:dyDescent="0.35">
      <c r="AO1289"/>
      <c r="AP1289"/>
      <c r="AQ1289"/>
      <c r="AR1289"/>
      <c r="AS1289"/>
      <c r="AT1289"/>
      <c r="AU1289"/>
      <c r="AV1289"/>
    </row>
    <row r="1290" spans="41:48" x14ac:dyDescent="0.35">
      <c r="AO1290"/>
      <c r="AP1290"/>
      <c r="AQ1290"/>
      <c r="AR1290"/>
      <c r="AS1290"/>
      <c r="AT1290"/>
      <c r="AU1290"/>
      <c r="AV1290"/>
    </row>
    <row r="1291" spans="41:48" x14ac:dyDescent="0.35">
      <c r="AO1291"/>
      <c r="AP1291"/>
      <c r="AQ1291"/>
      <c r="AR1291"/>
      <c r="AS1291"/>
      <c r="AT1291"/>
      <c r="AU1291"/>
      <c r="AV1291"/>
    </row>
    <row r="1292" spans="41:48" x14ac:dyDescent="0.35">
      <c r="AO1292"/>
      <c r="AP1292"/>
      <c r="AQ1292"/>
      <c r="AR1292"/>
      <c r="AS1292"/>
      <c r="AT1292"/>
      <c r="AU1292"/>
      <c r="AV1292"/>
    </row>
    <row r="1293" spans="41:48" x14ac:dyDescent="0.35">
      <c r="AO1293"/>
      <c r="AP1293"/>
      <c r="AQ1293"/>
      <c r="AR1293"/>
      <c r="AS1293"/>
      <c r="AT1293"/>
      <c r="AU1293"/>
      <c r="AV1293"/>
    </row>
    <row r="1294" spans="41:48" x14ac:dyDescent="0.35">
      <c r="AO1294"/>
      <c r="AP1294"/>
      <c r="AQ1294"/>
      <c r="AR1294"/>
      <c r="AS1294"/>
      <c r="AT1294"/>
      <c r="AU1294"/>
      <c r="AV1294"/>
    </row>
    <row r="1295" spans="41:48" x14ac:dyDescent="0.35">
      <c r="AO1295"/>
      <c r="AP1295"/>
      <c r="AQ1295"/>
      <c r="AR1295"/>
      <c r="AS1295"/>
      <c r="AT1295"/>
      <c r="AU1295"/>
      <c r="AV1295"/>
    </row>
    <row r="1296" spans="41:48" x14ac:dyDescent="0.35">
      <c r="AO1296"/>
      <c r="AP1296"/>
      <c r="AQ1296"/>
      <c r="AR1296"/>
      <c r="AS1296"/>
      <c r="AT1296"/>
      <c r="AU1296"/>
      <c r="AV1296"/>
    </row>
    <row r="1297" spans="41:48" x14ac:dyDescent="0.35">
      <c r="AO1297"/>
      <c r="AP1297"/>
      <c r="AQ1297"/>
      <c r="AR1297"/>
      <c r="AS1297"/>
      <c r="AT1297"/>
      <c r="AU1297"/>
      <c r="AV1297"/>
    </row>
    <row r="1298" spans="41:48" x14ac:dyDescent="0.35">
      <c r="AO1298"/>
      <c r="AP1298"/>
      <c r="AQ1298"/>
      <c r="AR1298"/>
      <c r="AS1298"/>
      <c r="AT1298"/>
      <c r="AU1298"/>
      <c r="AV1298"/>
    </row>
    <row r="1299" spans="41:48" x14ac:dyDescent="0.35">
      <c r="AO1299"/>
      <c r="AP1299"/>
      <c r="AQ1299"/>
      <c r="AR1299"/>
      <c r="AS1299"/>
      <c r="AT1299"/>
      <c r="AU1299"/>
      <c r="AV1299"/>
    </row>
    <row r="1300" spans="41:48" x14ac:dyDescent="0.35">
      <c r="AO1300"/>
      <c r="AP1300"/>
      <c r="AQ1300"/>
      <c r="AR1300"/>
      <c r="AS1300"/>
      <c r="AT1300"/>
      <c r="AU1300"/>
      <c r="AV1300"/>
    </row>
    <row r="1301" spans="41:48" x14ac:dyDescent="0.35">
      <c r="AO1301"/>
      <c r="AP1301"/>
      <c r="AQ1301"/>
      <c r="AR1301"/>
      <c r="AS1301"/>
      <c r="AT1301"/>
      <c r="AU1301"/>
      <c r="AV1301"/>
    </row>
    <row r="1302" spans="41:48" x14ac:dyDescent="0.35">
      <c r="AO1302"/>
      <c r="AP1302"/>
      <c r="AQ1302"/>
      <c r="AR1302"/>
      <c r="AS1302"/>
      <c r="AT1302"/>
      <c r="AU1302"/>
      <c r="AV1302"/>
    </row>
    <row r="1303" spans="41:48" x14ac:dyDescent="0.35">
      <c r="AO1303"/>
      <c r="AP1303"/>
      <c r="AQ1303"/>
      <c r="AR1303"/>
      <c r="AS1303"/>
      <c r="AT1303"/>
      <c r="AU1303"/>
      <c r="AV1303"/>
    </row>
    <row r="1304" spans="41:48" x14ac:dyDescent="0.35">
      <c r="AO1304"/>
      <c r="AP1304"/>
      <c r="AQ1304"/>
      <c r="AR1304"/>
      <c r="AS1304"/>
      <c r="AT1304"/>
      <c r="AU1304"/>
      <c r="AV1304"/>
    </row>
    <row r="1305" spans="41:48" x14ac:dyDescent="0.35">
      <c r="AO1305"/>
      <c r="AP1305"/>
      <c r="AQ1305"/>
      <c r="AR1305"/>
      <c r="AS1305"/>
      <c r="AT1305"/>
      <c r="AU1305"/>
      <c r="AV1305"/>
    </row>
    <row r="1306" spans="41:48" x14ac:dyDescent="0.35">
      <c r="AO1306"/>
      <c r="AP1306"/>
      <c r="AQ1306"/>
      <c r="AR1306"/>
      <c r="AS1306"/>
      <c r="AT1306"/>
      <c r="AU1306"/>
      <c r="AV1306"/>
    </row>
    <row r="1307" spans="41:48" x14ac:dyDescent="0.35">
      <c r="AO1307"/>
      <c r="AP1307"/>
      <c r="AQ1307"/>
      <c r="AR1307"/>
      <c r="AS1307"/>
      <c r="AT1307"/>
      <c r="AU1307"/>
      <c r="AV1307"/>
    </row>
    <row r="1308" spans="41:48" x14ac:dyDescent="0.35">
      <c r="AO1308"/>
      <c r="AP1308"/>
      <c r="AQ1308"/>
      <c r="AR1308"/>
      <c r="AS1308"/>
      <c r="AT1308"/>
      <c r="AU1308"/>
      <c r="AV1308"/>
    </row>
    <row r="1309" spans="41:48" x14ac:dyDescent="0.35">
      <c r="AO1309"/>
      <c r="AP1309"/>
      <c r="AQ1309"/>
      <c r="AR1309"/>
      <c r="AS1309"/>
      <c r="AT1309"/>
      <c r="AU1309"/>
      <c r="AV1309"/>
    </row>
    <row r="1310" spans="41:48" x14ac:dyDescent="0.35">
      <c r="AO1310"/>
      <c r="AP1310"/>
      <c r="AQ1310"/>
      <c r="AR1310"/>
      <c r="AS1310"/>
      <c r="AT1310"/>
      <c r="AU1310"/>
      <c r="AV1310"/>
    </row>
    <row r="1311" spans="41:48" x14ac:dyDescent="0.35">
      <c r="AO1311"/>
      <c r="AP1311"/>
      <c r="AQ1311"/>
      <c r="AR1311"/>
      <c r="AS1311"/>
      <c r="AT1311"/>
      <c r="AU1311"/>
      <c r="AV1311"/>
    </row>
    <row r="1312" spans="41:48" x14ac:dyDescent="0.35">
      <c r="AO1312"/>
      <c r="AP1312"/>
      <c r="AQ1312"/>
      <c r="AR1312"/>
      <c r="AS1312"/>
      <c r="AT1312"/>
      <c r="AU1312"/>
      <c r="AV1312"/>
    </row>
    <row r="1313" spans="41:48" x14ac:dyDescent="0.35">
      <c r="AO1313"/>
      <c r="AP1313"/>
      <c r="AQ1313"/>
      <c r="AR1313"/>
      <c r="AS1313"/>
      <c r="AT1313"/>
      <c r="AU1313"/>
      <c r="AV1313"/>
    </row>
    <row r="1314" spans="41:48" x14ac:dyDescent="0.35">
      <c r="AO1314"/>
      <c r="AP1314"/>
      <c r="AQ1314"/>
      <c r="AR1314"/>
      <c r="AS1314"/>
      <c r="AT1314"/>
      <c r="AU1314"/>
      <c r="AV1314"/>
    </row>
    <row r="1315" spans="41:48" x14ac:dyDescent="0.35">
      <c r="AO1315"/>
      <c r="AP1315"/>
      <c r="AQ1315"/>
      <c r="AR1315"/>
      <c r="AS1315"/>
      <c r="AT1315"/>
      <c r="AU1315"/>
      <c r="AV1315"/>
    </row>
    <row r="1316" spans="41:48" x14ac:dyDescent="0.35">
      <c r="AO1316"/>
      <c r="AP1316"/>
      <c r="AQ1316"/>
      <c r="AR1316"/>
      <c r="AS1316"/>
      <c r="AT1316"/>
      <c r="AU1316"/>
      <c r="AV1316"/>
    </row>
    <row r="1317" spans="41:48" x14ac:dyDescent="0.35">
      <c r="AO1317"/>
      <c r="AP1317"/>
      <c r="AQ1317"/>
      <c r="AR1317"/>
      <c r="AS1317"/>
      <c r="AT1317"/>
      <c r="AU1317"/>
      <c r="AV1317"/>
    </row>
    <row r="1318" spans="41:48" x14ac:dyDescent="0.35">
      <c r="AO1318"/>
      <c r="AP1318"/>
      <c r="AQ1318"/>
      <c r="AR1318"/>
      <c r="AS1318"/>
      <c r="AT1318"/>
      <c r="AU1318"/>
      <c r="AV1318"/>
    </row>
    <row r="1319" spans="41:48" x14ac:dyDescent="0.35">
      <c r="AO1319"/>
      <c r="AP1319"/>
      <c r="AQ1319"/>
      <c r="AR1319"/>
      <c r="AS1319"/>
      <c r="AT1319"/>
      <c r="AU1319"/>
      <c r="AV1319"/>
    </row>
    <row r="1320" spans="41:48" x14ac:dyDescent="0.35">
      <c r="AO1320"/>
      <c r="AP1320"/>
      <c r="AQ1320"/>
      <c r="AR1320"/>
      <c r="AS1320"/>
      <c r="AT1320"/>
      <c r="AU1320"/>
      <c r="AV1320"/>
    </row>
    <row r="1321" spans="41:48" x14ac:dyDescent="0.35">
      <c r="AO1321"/>
      <c r="AP1321"/>
      <c r="AQ1321"/>
      <c r="AR1321"/>
      <c r="AS1321"/>
      <c r="AT1321"/>
      <c r="AU1321"/>
      <c r="AV1321"/>
    </row>
    <row r="1322" spans="41:48" x14ac:dyDescent="0.35">
      <c r="AO1322"/>
      <c r="AP1322"/>
      <c r="AQ1322"/>
      <c r="AR1322"/>
      <c r="AS1322"/>
      <c r="AT1322"/>
      <c r="AU1322"/>
      <c r="AV1322"/>
    </row>
    <row r="1323" spans="41:48" x14ac:dyDescent="0.35">
      <c r="AO1323"/>
      <c r="AP1323"/>
      <c r="AQ1323"/>
      <c r="AR1323"/>
      <c r="AS1323"/>
      <c r="AT1323"/>
      <c r="AU1323"/>
      <c r="AV1323"/>
    </row>
    <row r="1324" spans="41:48" x14ac:dyDescent="0.35">
      <c r="AO1324"/>
      <c r="AP1324"/>
      <c r="AQ1324"/>
      <c r="AR1324"/>
      <c r="AS1324"/>
      <c r="AT1324"/>
      <c r="AU1324"/>
      <c r="AV1324"/>
    </row>
    <row r="1325" spans="41:48" x14ac:dyDescent="0.35">
      <c r="AO1325"/>
      <c r="AP1325"/>
      <c r="AQ1325"/>
      <c r="AR1325"/>
      <c r="AS1325"/>
      <c r="AT1325"/>
      <c r="AU1325"/>
      <c r="AV1325"/>
    </row>
    <row r="1326" spans="41:48" x14ac:dyDescent="0.35">
      <c r="AO1326"/>
      <c r="AP1326"/>
      <c r="AQ1326"/>
      <c r="AR1326"/>
      <c r="AS1326"/>
      <c r="AT1326"/>
      <c r="AU1326"/>
      <c r="AV1326"/>
    </row>
    <row r="1327" spans="41:48" x14ac:dyDescent="0.35">
      <c r="AO1327"/>
      <c r="AP1327"/>
      <c r="AQ1327"/>
      <c r="AR1327"/>
      <c r="AS1327"/>
      <c r="AT1327"/>
      <c r="AU1327"/>
      <c r="AV1327"/>
    </row>
    <row r="1328" spans="41:48" x14ac:dyDescent="0.35">
      <c r="AO1328"/>
      <c r="AP1328"/>
      <c r="AQ1328"/>
      <c r="AR1328"/>
      <c r="AS1328"/>
      <c r="AT1328"/>
      <c r="AU1328"/>
      <c r="AV1328"/>
    </row>
    <row r="1329" spans="41:48" x14ac:dyDescent="0.35">
      <c r="AO1329"/>
      <c r="AP1329"/>
      <c r="AQ1329"/>
      <c r="AR1329"/>
      <c r="AS1329"/>
      <c r="AT1329"/>
      <c r="AU1329"/>
      <c r="AV1329"/>
    </row>
    <row r="1330" spans="41:48" x14ac:dyDescent="0.35">
      <c r="AO1330"/>
      <c r="AP1330"/>
      <c r="AQ1330"/>
      <c r="AR1330"/>
      <c r="AS1330"/>
      <c r="AT1330"/>
      <c r="AU1330"/>
      <c r="AV1330"/>
    </row>
    <row r="1331" spans="41:48" x14ac:dyDescent="0.35">
      <c r="AO1331"/>
      <c r="AP1331"/>
      <c r="AQ1331"/>
      <c r="AR1331"/>
      <c r="AS1331"/>
      <c r="AT1331"/>
      <c r="AU1331"/>
      <c r="AV1331"/>
    </row>
    <row r="1332" spans="41:48" x14ac:dyDescent="0.35">
      <c r="AO1332"/>
      <c r="AP1332"/>
      <c r="AQ1332"/>
      <c r="AR1332"/>
      <c r="AS1332"/>
      <c r="AT1332"/>
      <c r="AU1332"/>
      <c r="AV1332"/>
    </row>
    <row r="1333" spans="41:48" x14ac:dyDescent="0.35">
      <c r="AO1333"/>
      <c r="AP1333"/>
      <c r="AQ1333"/>
      <c r="AR1333"/>
      <c r="AS1333"/>
      <c r="AT1333"/>
      <c r="AU1333"/>
      <c r="AV1333"/>
    </row>
    <row r="1334" spans="41:48" x14ac:dyDescent="0.35">
      <c r="AO1334"/>
      <c r="AP1334"/>
      <c r="AQ1334"/>
      <c r="AR1334"/>
      <c r="AS1334"/>
      <c r="AT1334"/>
      <c r="AU1334"/>
      <c r="AV1334"/>
    </row>
    <row r="1335" spans="41:48" x14ac:dyDescent="0.35">
      <c r="AO1335"/>
      <c r="AP1335"/>
      <c r="AQ1335"/>
      <c r="AR1335"/>
      <c r="AS1335"/>
      <c r="AT1335"/>
      <c r="AU1335"/>
      <c r="AV1335"/>
    </row>
    <row r="1336" spans="41:48" x14ac:dyDescent="0.35">
      <c r="AO1336"/>
      <c r="AP1336"/>
      <c r="AQ1336"/>
      <c r="AR1336"/>
      <c r="AS1336"/>
      <c r="AT1336"/>
      <c r="AU1336"/>
      <c r="AV1336"/>
    </row>
    <row r="1337" spans="41:48" x14ac:dyDescent="0.35">
      <c r="AO1337"/>
      <c r="AP1337"/>
      <c r="AQ1337"/>
      <c r="AR1337"/>
      <c r="AS1337"/>
      <c r="AT1337"/>
      <c r="AU1337"/>
      <c r="AV1337"/>
    </row>
    <row r="1338" spans="41:48" x14ac:dyDescent="0.35">
      <c r="AO1338"/>
      <c r="AP1338"/>
      <c r="AQ1338"/>
      <c r="AR1338"/>
      <c r="AS1338"/>
      <c r="AT1338"/>
      <c r="AU1338"/>
      <c r="AV1338"/>
    </row>
    <row r="1339" spans="41:48" x14ac:dyDescent="0.35">
      <c r="AO1339"/>
      <c r="AP1339"/>
      <c r="AQ1339"/>
      <c r="AR1339"/>
      <c r="AS1339"/>
      <c r="AT1339"/>
      <c r="AU1339"/>
      <c r="AV1339"/>
    </row>
    <row r="1340" spans="41:48" x14ac:dyDescent="0.35">
      <c r="AO1340"/>
      <c r="AP1340"/>
      <c r="AQ1340"/>
      <c r="AR1340"/>
      <c r="AS1340"/>
      <c r="AT1340"/>
      <c r="AU1340"/>
      <c r="AV1340"/>
    </row>
    <row r="1341" spans="41:48" x14ac:dyDescent="0.35">
      <c r="AO1341"/>
      <c r="AP1341"/>
      <c r="AQ1341"/>
      <c r="AR1341"/>
      <c r="AS1341"/>
      <c r="AT1341"/>
      <c r="AU1341"/>
      <c r="AV1341"/>
    </row>
    <row r="1342" spans="41:48" x14ac:dyDescent="0.35">
      <c r="AO1342"/>
      <c r="AP1342"/>
      <c r="AQ1342"/>
      <c r="AR1342"/>
      <c r="AS1342"/>
      <c r="AT1342"/>
      <c r="AU1342"/>
      <c r="AV1342"/>
    </row>
    <row r="1343" spans="41:48" x14ac:dyDescent="0.35">
      <c r="AO1343"/>
      <c r="AP1343"/>
      <c r="AQ1343"/>
      <c r="AR1343"/>
      <c r="AS1343"/>
      <c r="AT1343"/>
      <c r="AU1343"/>
      <c r="AV1343"/>
    </row>
    <row r="1344" spans="41:48" x14ac:dyDescent="0.35">
      <c r="AO1344"/>
      <c r="AP1344"/>
      <c r="AQ1344"/>
      <c r="AR1344"/>
      <c r="AS1344"/>
      <c r="AT1344"/>
      <c r="AU1344"/>
      <c r="AV1344"/>
    </row>
    <row r="1345" spans="41:48" x14ac:dyDescent="0.35">
      <c r="AO1345"/>
      <c r="AP1345"/>
      <c r="AQ1345"/>
      <c r="AR1345"/>
      <c r="AS1345"/>
      <c r="AT1345"/>
      <c r="AU1345"/>
      <c r="AV1345"/>
    </row>
    <row r="1346" spans="41:48" x14ac:dyDescent="0.35">
      <c r="AO1346"/>
      <c r="AP1346"/>
      <c r="AQ1346"/>
      <c r="AR1346"/>
      <c r="AS1346"/>
      <c r="AT1346"/>
      <c r="AU1346"/>
      <c r="AV1346"/>
    </row>
    <row r="1347" spans="41:48" x14ac:dyDescent="0.35">
      <c r="AO1347"/>
      <c r="AP1347"/>
      <c r="AQ1347"/>
      <c r="AR1347"/>
      <c r="AS1347"/>
      <c r="AT1347"/>
      <c r="AU1347"/>
      <c r="AV1347"/>
    </row>
    <row r="1348" spans="41:48" x14ac:dyDescent="0.35">
      <c r="AO1348"/>
      <c r="AP1348"/>
      <c r="AQ1348"/>
      <c r="AR1348"/>
      <c r="AS1348"/>
      <c r="AT1348"/>
      <c r="AU1348"/>
      <c r="AV1348"/>
    </row>
    <row r="1349" spans="41:48" x14ac:dyDescent="0.35">
      <c r="AO1349"/>
      <c r="AP1349"/>
      <c r="AQ1349"/>
      <c r="AR1349"/>
      <c r="AS1349"/>
      <c r="AT1349"/>
      <c r="AU1349"/>
      <c r="AV1349"/>
    </row>
    <row r="1350" spans="41:48" x14ac:dyDescent="0.35">
      <c r="AO1350"/>
      <c r="AP1350"/>
      <c r="AQ1350"/>
      <c r="AR1350"/>
      <c r="AS1350"/>
      <c r="AT1350"/>
      <c r="AU1350"/>
      <c r="AV1350"/>
    </row>
    <row r="1351" spans="41:48" x14ac:dyDescent="0.35">
      <c r="AO1351"/>
      <c r="AP1351"/>
      <c r="AQ1351"/>
      <c r="AR1351"/>
      <c r="AS1351"/>
      <c r="AT1351"/>
      <c r="AU1351"/>
      <c r="AV1351"/>
    </row>
    <row r="1352" spans="41:48" x14ac:dyDescent="0.35">
      <c r="AO1352"/>
      <c r="AP1352"/>
      <c r="AQ1352"/>
      <c r="AR1352"/>
      <c r="AS1352"/>
      <c r="AT1352"/>
      <c r="AU1352"/>
      <c r="AV1352"/>
    </row>
    <row r="1353" spans="41:48" x14ac:dyDescent="0.35">
      <c r="AO1353"/>
      <c r="AP1353"/>
      <c r="AQ1353"/>
      <c r="AR1353"/>
      <c r="AS1353"/>
      <c r="AT1353"/>
      <c r="AU1353"/>
      <c r="AV1353"/>
    </row>
    <row r="1354" spans="41:48" x14ac:dyDescent="0.35">
      <c r="AO1354"/>
      <c r="AP1354"/>
      <c r="AQ1354"/>
      <c r="AR1354"/>
      <c r="AS1354"/>
      <c r="AT1354"/>
      <c r="AU1354"/>
      <c r="AV1354"/>
    </row>
    <row r="1355" spans="41:48" x14ac:dyDescent="0.35">
      <c r="AO1355"/>
      <c r="AP1355"/>
      <c r="AQ1355"/>
      <c r="AR1355"/>
      <c r="AS1355"/>
      <c r="AT1355"/>
      <c r="AU1355"/>
      <c r="AV1355"/>
    </row>
    <row r="1356" spans="41:48" x14ac:dyDescent="0.35">
      <c r="AO1356"/>
      <c r="AP1356"/>
      <c r="AQ1356"/>
      <c r="AR1356"/>
      <c r="AS1356"/>
      <c r="AT1356"/>
      <c r="AU1356"/>
      <c r="AV1356"/>
    </row>
    <row r="1357" spans="41:48" x14ac:dyDescent="0.35">
      <c r="AO1357"/>
      <c r="AP1357"/>
      <c r="AQ1357"/>
      <c r="AR1357"/>
      <c r="AS1357"/>
      <c r="AT1357"/>
      <c r="AU1357"/>
      <c r="AV1357"/>
    </row>
    <row r="1358" spans="41:48" x14ac:dyDescent="0.35">
      <c r="AO1358"/>
      <c r="AP1358"/>
      <c r="AQ1358"/>
      <c r="AR1358"/>
      <c r="AS1358"/>
      <c r="AT1358"/>
      <c r="AU1358"/>
      <c r="AV1358"/>
    </row>
    <row r="1359" spans="41:48" x14ac:dyDescent="0.35">
      <c r="AO1359"/>
      <c r="AP1359"/>
      <c r="AQ1359"/>
      <c r="AR1359"/>
      <c r="AS1359"/>
      <c r="AT1359"/>
      <c r="AU1359"/>
      <c r="AV1359"/>
    </row>
    <row r="1360" spans="41:48" x14ac:dyDescent="0.35">
      <c r="AO1360"/>
      <c r="AP1360"/>
      <c r="AQ1360"/>
      <c r="AR1360"/>
      <c r="AS1360"/>
      <c r="AT1360"/>
      <c r="AU1360"/>
      <c r="AV1360"/>
    </row>
    <row r="1361" spans="41:48" x14ac:dyDescent="0.35">
      <c r="AO1361"/>
      <c r="AP1361"/>
      <c r="AQ1361"/>
      <c r="AR1361"/>
      <c r="AS1361"/>
      <c r="AT1361"/>
      <c r="AU1361"/>
      <c r="AV1361"/>
    </row>
    <row r="1362" spans="41:48" x14ac:dyDescent="0.35">
      <c r="AO1362"/>
      <c r="AP1362"/>
      <c r="AQ1362"/>
      <c r="AR1362"/>
      <c r="AS1362"/>
      <c r="AT1362"/>
      <c r="AU1362"/>
      <c r="AV1362"/>
    </row>
    <row r="1363" spans="41:48" x14ac:dyDescent="0.35">
      <c r="AO1363"/>
      <c r="AP1363"/>
      <c r="AQ1363"/>
      <c r="AR1363"/>
      <c r="AS1363"/>
      <c r="AT1363"/>
      <c r="AU1363"/>
      <c r="AV1363"/>
    </row>
    <row r="1364" spans="41:48" x14ac:dyDescent="0.35">
      <c r="AO1364"/>
      <c r="AP1364"/>
      <c r="AQ1364"/>
      <c r="AR1364"/>
      <c r="AS1364"/>
      <c r="AT1364"/>
      <c r="AU1364"/>
      <c r="AV1364"/>
    </row>
    <row r="1365" spans="41:48" x14ac:dyDescent="0.35">
      <c r="AO1365"/>
      <c r="AP1365"/>
      <c r="AQ1365"/>
      <c r="AR1365"/>
      <c r="AS1365"/>
      <c r="AT1365"/>
      <c r="AU1365"/>
      <c r="AV1365"/>
    </row>
    <row r="1366" spans="41:48" x14ac:dyDescent="0.35">
      <c r="AO1366"/>
      <c r="AP1366"/>
      <c r="AQ1366"/>
      <c r="AR1366"/>
      <c r="AS1366"/>
      <c r="AT1366"/>
      <c r="AU1366"/>
      <c r="AV1366"/>
    </row>
    <row r="1367" spans="41:48" x14ac:dyDescent="0.35">
      <c r="AO1367"/>
      <c r="AP1367"/>
      <c r="AQ1367"/>
      <c r="AR1367"/>
      <c r="AS1367"/>
      <c r="AT1367"/>
      <c r="AU1367"/>
      <c r="AV1367"/>
    </row>
    <row r="1368" spans="41:48" x14ac:dyDescent="0.35">
      <c r="AO1368"/>
      <c r="AP1368"/>
      <c r="AQ1368"/>
      <c r="AR1368"/>
      <c r="AS1368"/>
      <c r="AT1368"/>
      <c r="AU1368"/>
      <c r="AV1368"/>
    </row>
    <row r="1369" spans="41:48" x14ac:dyDescent="0.35">
      <c r="AO1369"/>
      <c r="AP1369"/>
      <c r="AQ1369"/>
      <c r="AR1369"/>
      <c r="AS1369"/>
      <c r="AT1369"/>
      <c r="AU1369"/>
      <c r="AV1369"/>
    </row>
    <row r="1370" spans="41:48" x14ac:dyDescent="0.35">
      <c r="AO1370"/>
      <c r="AP1370"/>
      <c r="AQ1370"/>
      <c r="AR1370"/>
      <c r="AS1370"/>
      <c r="AT1370"/>
      <c r="AU1370"/>
      <c r="AV1370"/>
    </row>
    <row r="1371" spans="41:48" x14ac:dyDescent="0.35">
      <c r="AO1371"/>
      <c r="AP1371"/>
      <c r="AQ1371"/>
      <c r="AR1371"/>
      <c r="AS1371"/>
      <c r="AT1371"/>
      <c r="AU1371"/>
      <c r="AV1371"/>
    </row>
    <row r="1372" spans="41:48" x14ac:dyDescent="0.35">
      <c r="AO1372"/>
      <c r="AP1372"/>
      <c r="AQ1372"/>
      <c r="AR1372"/>
      <c r="AS1372"/>
      <c r="AT1372"/>
      <c r="AU1372"/>
      <c r="AV1372"/>
    </row>
    <row r="1373" spans="41:48" x14ac:dyDescent="0.35">
      <c r="AO1373"/>
      <c r="AP1373"/>
      <c r="AQ1373"/>
      <c r="AR1373"/>
      <c r="AS1373"/>
      <c r="AT1373"/>
      <c r="AU1373"/>
      <c r="AV1373"/>
    </row>
    <row r="1374" spans="41:48" x14ac:dyDescent="0.35">
      <c r="AO1374"/>
      <c r="AP1374"/>
      <c r="AQ1374"/>
      <c r="AR1374"/>
      <c r="AS1374"/>
      <c r="AT1374"/>
      <c r="AU1374"/>
      <c r="AV1374"/>
    </row>
    <row r="1375" spans="41:48" x14ac:dyDescent="0.35">
      <c r="AO1375"/>
      <c r="AP1375"/>
      <c r="AQ1375"/>
      <c r="AR1375"/>
      <c r="AS1375"/>
      <c r="AT1375"/>
      <c r="AU1375"/>
      <c r="AV1375"/>
    </row>
    <row r="1376" spans="41:48" x14ac:dyDescent="0.35">
      <c r="AO1376"/>
      <c r="AP1376"/>
      <c r="AQ1376"/>
      <c r="AR1376"/>
      <c r="AS1376"/>
      <c r="AT1376"/>
      <c r="AU1376"/>
      <c r="AV1376"/>
    </row>
    <row r="1377" spans="41:48" x14ac:dyDescent="0.35">
      <c r="AO1377"/>
      <c r="AP1377"/>
      <c r="AQ1377"/>
      <c r="AR1377"/>
      <c r="AS1377"/>
      <c r="AT1377"/>
      <c r="AU1377"/>
      <c r="AV1377"/>
    </row>
    <row r="1378" spans="41:48" x14ac:dyDescent="0.35">
      <c r="AO1378"/>
      <c r="AP1378"/>
      <c r="AQ1378"/>
      <c r="AR1378"/>
      <c r="AS1378"/>
      <c r="AT1378"/>
      <c r="AU1378"/>
      <c r="AV1378"/>
    </row>
    <row r="1379" spans="41:48" x14ac:dyDescent="0.35">
      <c r="AO1379"/>
      <c r="AP1379"/>
      <c r="AQ1379"/>
      <c r="AR1379"/>
      <c r="AS1379"/>
      <c r="AT1379"/>
      <c r="AU1379"/>
      <c r="AV1379"/>
    </row>
    <row r="1380" spans="41:48" x14ac:dyDescent="0.35">
      <c r="AO1380"/>
      <c r="AP1380"/>
      <c r="AQ1380"/>
      <c r="AR1380"/>
      <c r="AS1380"/>
      <c r="AT1380"/>
      <c r="AU1380"/>
      <c r="AV1380"/>
    </row>
    <row r="1381" spans="41:48" x14ac:dyDescent="0.35">
      <c r="AO1381"/>
      <c r="AP1381"/>
      <c r="AQ1381"/>
      <c r="AR1381"/>
      <c r="AS1381"/>
      <c r="AT1381"/>
      <c r="AU1381"/>
      <c r="AV1381"/>
    </row>
    <row r="1382" spans="41:48" x14ac:dyDescent="0.35">
      <c r="AO1382"/>
      <c r="AP1382"/>
      <c r="AQ1382"/>
      <c r="AR1382"/>
      <c r="AS1382"/>
      <c r="AT1382"/>
      <c r="AU1382"/>
      <c r="AV1382"/>
    </row>
    <row r="1383" spans="41:48" x14ac:dyDescent="0.35">
      <c r="AO1383"/>
      <c r="AP1383"/>
      <c r="AQ1383"/>
      <c r="AR1383"/>
      <c r="AS1383"/>
      <c r="AT1383"/>
      <c r="AU1383"/>
      <c r="AV1383"/>
    </row>
    <row r="1384" spans="41:48" x14ac:dyDescent="0.35">
      <c r="AO1384"/>
      <c r="AP1384"/>
      <c r="AQ1384"/>
      <c r="AR1384"/>
      <c r="AS1384"/>
      <c r="AT1384"/>
      <c r="AU1384"/>
      <c r="AV1384"/>
    </row>
    <row r="1385" spans="41:48" x14ac:dyDescent="0.35">
      <c r="AO1385"/>
      <c r="AP1385"/>
      <c r="AQ1385"/>
      <c r="AR1385"/>
      <c r="AS1385"/>
      <c r="AT1385"/>
      <c r="AU1385"/>
      <c r="AV1385"/>
    </row>
    <row r="1386" spans="41:48" x14ac:dyDescent="0.35">
      <c r="AO1386"/>
      <c r="AP1386"/>
      <c r="AQ1386"/>
      <c r="AR1386"/>
      <c r="AS1386"/>
      <c r="AT1386"/>
      <c r="AU1386"/>
      <c r="AV1386"/>
    </row>
    <row r="1387" spans="41:48" x14ac:dyDescent="0.35">
      <c r="AO1387"/>
      <c r="AP1387"/>
      <c r="AQ1387"/>
      <c r="AR1387"/>
      <c r="AS1387"/>
      <c r="AT1387"/>
      <c r="AU1387"/>
      <c r="AV1387"/>
    </row>
    <row r="1388" spans="41:48" x14ac:dyDescent="0.35">
      <c r="AO1388"/>
      <c r="AP1388"/>
      <c r="AQ1388"/>
      <c r="AR1388"/>
      <c r="AS1388"/>
      <c r="AT1388"/>
      <c r="AU1388"/>
      <c r="AV1388"/>
    </row>
    <row r="1389" spans="41:48" x14ac:dyDescent="0.35">
      <c r="AO1389"/>
      <c r="AP1389"/>
      <c r="AQ1389"/>
      <c r="AR1389"/>
      <c r="AS1389"/>
      <c r="AT1389"/>
      <c r="AU1389"/>
      <c r="AV1389"/>
    </row>
    <row r="1390" spans="41:48" x14ac:dyDescent="0.35">
      <c r="AO1390"/>
      <c r="AP1390"/>
      <c r="AQ1390"/>
      <c r="AR1390"/>
      <c r="AS1390"/>
      <c r="AT1390"/>
      <c r="AU1390"/>
      <c r="AV1390"/>
    </row>
    <row r="1391" spans="41:48" x14ac:dyDescent="0.35">
      <c r="AO1391"/>
      <c r="AP1391"/>
      <c r="AQ1391"/>
      <c r="AR1391"/>
      <c r="AS1391"/>
      <c r="AT1391"/>
      <c r="AU1391"/>
      <c r="AV1391"/>
    </row>
    <row r="1392" spans="41:48" x14ac:dyDescent="0.35">
      <c r="AO1392"/>
      <c r="AP1392"/>
      <c r="AQ1392"/>
      <c r="AR1392"/>
      <c r="AS1392"/>
      <c r="AT1392"/>
      <c r="AU1392"/>
      <c r="AV1392"/>
    </row>
    <row r="1393" spans="41:48" x14ac:dyDescent="0.35">
      <c r="AO1393"/>
      <c r="AP1393"/>
      <c r="AQ1393"/>
      <c r="AR1393"/>
      <c r="AS1393"/>
      <c r="AT1393"/>
      <c r="AU1393"/>
      <c r="AV1393"/>
    </row>
    <row r="1394" spans="41:48" x14ac:dyDescent="0.35">
      <c r="AO1394"/>
      <c r="AP1394"/>
      <c r="AQ1394"/>
      <c r="AR1394"/>
      <c r="AS1394"/>
      <c r="AT1394"/>
      <c r="AU1394"/>
      <c r="AV1394"/>
    </row>
    <row r="1395" spans="41:48" x14ac:dyDescent="0.35">
      <c r="AO1395"/>
      <c r="AP1395"/>
      <c r="AQ1395"/>
      <c r="AR1395"/>
      <c r="AS1395"/>
      <c r="AT1395"/>
      <c r="AU1395"/>
      <c r="AV1395"/>
    </row>
    <row r="1396" spans="41:48" x14ac:dyDescent="0.35">
      <c r="AO1396"/>
      <c r="AP1396"/>
      <c r="AQ1396"/>
      <c r="AR1396"/>
      <c r="AS1396"/>
      <c r="AT1396"/>
      <c r="AU1396"/>
      <c r="AV1396"/>
    </row>
    <row r="1397" spans="41:48" x14ac:dyDescent="0.35">
      <c r="AO1397"/>
      <c r="AP1397"/>
      <c r="AQ1397"/>
      <c r="AR1397"/>
      <c r="AS1397"/>
      <c r="AT1397"/>
      <c r="AU1397"/>
      <c r="AV1397"/>
    </row>
    <row r="1398" spans="41:48" x14ac:dyDescent="0.35">
      <c r="AO1398"/>
      <c r="AP1398"/>
      <c r="AQ1398"/>
      <c r="AR1398"/>
      <c r="AS1398"/>
      <c r="AT1398"/>
      <c r="AU1398"/>
      <c r="AV1398"/>
    </row>
    <row r="1399" spans="41:48" x14ac:dyDescent="0.35">
      <c r="AO1399"/>
      <c r="AP1399"/>
      <c r="AQ1399"/>
      <c r="AR1399"/>
      <c r="AS1399"/>
      <c r="AT1399"/>
      <c r="AU1399"/>
      <c r="AV1399"/>
    </row>
    <row r="1400" spans="41:48" x14ac:dyDescent="0.35">
      <c r="AO1400"/>
      <c r="AP1400"/>
      <c r="AQ1400"/>
      <c r="AR1400"/>
      <c r="AS1400"/>
      <c r="AT1400"/>
      <c r="AU1400"/>
      <c r="AV1400"/>
    </row>
    <row r="1401" spans="41:48" x14ac:dyDescent="0.35">
      <c r="AO1401"/>
      <c r="AP1401"/>
      <c r="AQ1401"/>
      <c r="AR1401"/>
      <c r="AS1401"/>
      <c r="AT1401"/>
      <c r="AU1401"/>
      <c r="AV1401"/>
    </row>
    <row r="1402" spans="41:48" x14ac:dyDescent="0.35">
      <c r="AO1402"/>
      <c r="AP1402"/>
      <c r="AQ1402"/>
      <c r="AR1402"/>
      <c r="AS1402"/>
      <c r="AT1402"/>
      <c r="AU1402"/>
      <c r="AV1402"/>
    </row>
    <row r="1403" spans="41:48" x14ac:dyDescent="0.35">
      <c r="AO1403"/>
      <c r="AP1403"/>
      <c r="AQ1403"/>
      <c r="AR1403"/>
      <c r="AS1403"/>
      <c r="AT1403"/>
      <c r="AU1403"/>
      <c r="AV1403"/>
    </row>
    <row r="1404" spans="41:48" x14ac:dyDescent="0.35">
      <c r="AO1404"/>
      <c r="AP1404"/>
      <c r="AQ1404"/>
      <c r="AR1404"/>
      <c r="AS1404"/>
      <c r="AT1404"/>
      <c r="AU1404"/>
      <c r="AV1404"/>
    </row>
    <row r="1405" spans="41:48" x14ac:dyDescent="0.35">
      <c r="AO1405"/>
      <c r="AP1405"/>
      <c r="AQ1405"/>
      <c r="AR1405"/>
      <c r="AS1405"/>
      <c r="AT1405"/>
      <c r="AU1405"/>
      <c r="AV1405"/>
    </row>
    <row r="1406" spans="41:48" x14ac:dyDescent="0.35">
      <c r="AO1406"/>
      <c r="AP1406"/>
      <c r="AQ1406"/>
      <c r="AR1406"/>
      <c r="AS1406"/>
      <c r="AT1406"/>
      <c r="AU1406"/>
      <c r="AV1406"/>
    </row>
    <row r="1407" spans="41:48" x14ac:dyDescent="0.35">
      <c r="AO1407"/>
      <c r="AP1407"/>
      <c r="AQ1407"/>
      <c r="AR1407"/>
      <c r="AS1407"/>
      <c r="AT1407"/>
      <c r="AU1407"/>
      <c r="AV1407"/>
    </row>
    <row r="1408" spans="41:48" x14ac:dyDescent="0.35">
      <c r="AO1408"/>
      <c r="AP1408"/>
      <c r="AQ1408"/>
      <c r="AR1408"/>
      <c r="AS1408"/>
      <c r="AT1408"/>
      <c r="AU1408"/>
      <c r="AV1408"/>
    </row>
    <row r="1409" spans="41:48" x14ac:dyDescent="0.35">
      <c r="AO1409"/>
      <c r="AP1409"/>
      <c r="AQ1409"/>
      <c r="AR1409"/>
      <c r="AS1409"/>
      <c r="AT1409"/>
      <c r="AU1409"/>
      <c r="AV1409"/>
    </row>
    <row r="1410" spans="41:48" x14ac:dyDescent="0.35">
      <c r="AO1410"/>
      <c r="AP1410"/>
      <c r="AQ1410"/>
      <c r="AR1410"/>
      <c r="AS1410"/>
      <c r="AT1410"/>
      <c r="AU1410"/>
      <c r="AV1410"/>
    </row>
    <row r="1411" spans="41:48" x14ac:dyDescent="0.35">
      <c r="AO1411"/>
      <c r="AP1411"/>
      <c r="AQ1411"/>
      <c r="AR1411"/>
      <c r="AS1411"/>
      <c r="AT1411"/>
      <c r="AU1411"/>
      <c r="AV1411"/>
    </row>
    <row r="1412" spans="41:48" x14ac:dyDescent="0.35">
      <c r="AO1412"/>
      <c r="AP1412"/>
      <c r="AQ1412"/>
      <c r="AR1412"/>
      <c r="AS1412"/>
      <c r="AT1412"/>
      <c r="AU1412"/>
      <c r="AV1412"/>
    </row>
    <row r="1413" spans="41:48" x14ac:dyDescent="0.35">
      <c r="AO1413"/>
      <c r="AP1413"/>
      <c r="AQ1413"/>
      <c r="AR1413"/>
      <c r="AS1413"/>
      <c r="AT1413"/>
      <c r="AU1413"/>
      <c r="AV1413"/>
    </row>
    <row r="1414" spans="41:48" x14ac:dyDescent="0.35">
      <c r="AO1414"/>
      <c r="AP1414"/>
      <c r="AQ1414"/>
      <c r="AR1414"/>
      <c r="AS1414"/>
      <c r="AT1414"/>
      <c r="AU1414"/>
      <c r="AV1414"/>
    </row>
    <row r="1415" spans="41:48" x14ac:dyDescent="0.35">
      <c r="AO1415"/>
      <c r="AP1415"/>
      <c r="AQ1415"/>
      <c r="AR1415"/>
      <c r="AS1415"/>
      <c r="AT1415"/>
      <c r="AU1415"/>
      <c r="AV1415"/>
    </row>
    <row r="1416" spans="41:48" x14ac:dyDescent="0.35">
      <c r="AO1416"/>
      <c r="AP1416"/>
      <c r="AQ1416"/>
      <c r="AR1416"/>
      <c r="AS1416"/>
      <c r="AT1416"/>
      <c r="AU1416"/>
      <c r="AV1416"/>
    </row>
    <row r="1417" spans="41:48" x14ac:dyDescent="0.35">
      <c r="AO1417"/>
      <c r="AP1417"/>
      <c r="AQ1417"/>
      <c r="AR1417"/>
      <c r="AS1417"/>
      <c r="AT1417"/>
      <c r="AU1417"/>
      <c r="AV1417"/>
    </row>
    <row r="1418" spans="41:48" x14ac:dyDescent="0.35">
      <c r="AO1418"/>
      <c r="AP1418"/>
      <c r="AQ1418"/>
      <c r="AR1418"/>
      <c r="AS1418"/>
      <c r="AT1418"/>
      <c r="AU1418"/>
      <c r="AV1418"/>
    </row>
    <row r="1419" spans="41:48" x14ac:dyDescent="0.35">
      <c r="AO1419"/>
      <c r="AP1419"/>
      <c r="AQ1419"/>
      <c r="AR1419"/>
      <c r="AS1419"/>
      <c r="AT1419"/>
      <c r="AU1419"/>
      <c r="AV1419"/>
    </row>
    <row r="1420" spans="41:48" x14ac:dyDescent="0.35">
      <c r="AO1420"/>
      <c r="AP1420"/>
      <c r="AQ1420"/>
      <c r="AR1420"/>
      <c r="AS1420"/>
      <c r="AT1420"/>
      <c r="AU1420"/>
      <c r="AV1420"/>
    </row>
    <row r="1421" spans="41:48" x14ac:dyDescent="0.35">
      <c r="AO1421"/>
      <c r="AP1421"/>
      <c r="AQ1421"/>
      <c r="AR1421"/>
      <c r="AS1421"/>
      <c r="AT1421"/>
      <c r="AU1421"/>
      <c r="AV1421"/>
    </row>
    <row r="1422" spans="41:48" x14ac:dyDescent="0.35">
      <c r="AO1422"/>
      <c r="AP1422"/>
      <c r="AQ1422"/>
      <c r="AR1422"/>
      <c r="AS1422"/>
      <c r="AT1422"/>
      <c r="AU1422"/>
      <c r="AV1422"/>
    </row>
    <row r="1423" spans="41:48" x14ac:dyDescent="0.35">
      <c r="AO1423"/>
      <c r="AP1423"/>
      <c r="AQ1423"/>
      <c r="AR1423"/>
      <c r="AS1423"/>
      <c r="AT1423"/>
      <c r="AU1423"/>
      <c r="AV1423"/>
    </row>
    <row r="1424" spans="41:48" x14ac:dyDescent="0.35">
      <c r="AO1424"/>
      <c r="AP1424"/>
      <c r="AQ1424"/>
      <c r="AR1424"/>
      <c r="AS1424"/>
      <c r="AT1424"/>
      <c r="AU1424"/>
      <c r="AV1424"/>
    </row>
    <row r="1425" spans="41:48" x14ac:dyDescent="0.35">
      <c r="AO1425"/>
      <c r="AP1425"/>
      <c r="AQ1425"/>
      <c r="AR1425"/>
      <c r="AS1425"/>
      <c r="AT1425"/>
      <c r="AU1425"/>
      <c r="AV1425"/>
    </row>
    <row r="1426" spans="41:48" x14ac:dyDescent="0.35">
      <c r="AO1426"/>
      <c r="AP1426"/>
      <c r="AQ1426"/>
      <c r="AR1426"/>
      <c r="AS1426"/>
      <c r="AT1426"/>
      <c r="AU1426"/>
      <c r="AV1426"/>
    </row>
    <row r="1427" spans="41:48" x14ac:dyDescent="0.35">
      <c r="AO1427"/>
      <c r="AP1427"/>
      <c r="AQ1427"/>
      <c r="AR1427"/>
      <c r="AS1427"/>
      <c r="AT1427"/>
      <c r="AU1427"/>
      <c r="AV1427"/>
    </row>
    <row r="1428" spans="41:48" x14ac:dyDescent="0.35">
      <c r="AO1428"/>
      <c r="AP1428"/>
      <c r="AQ1428"/>
      <c r="AR1428"/>
      <c r="AS1428"/>
      <c r="AT1428"/>
      <c r="AU1428"/>
      <c r="AV1428"/>
    </row>
    <row r="1429" spans="41:48" x14ac:dyDescent="0.35">
      <c r="AO1429"/>
      <c r="AP1429"/>
      <c r="AQ1429"/>
      <c r="AR1429"/>
      <c r="AS1429"/>
      <c r="AT1429"/>
      <c r="AU1429"/>
      <c r="AV1429"/>
    </row>
    <row r="1430" spans="41:48" x14ac:dyDescent="0.35">
      <c r="AO1430"/>
      <c r="AP1430"/>
      <c r="AQ1430"/>
      <c r="AR1430"/>
      <c r="AS1430"/>
      <c r="AT1430"/>
      <c r="AU1430"/>
      <c r="AV1430"/>
    </row>
    <row r="1431" spans="41:48" x14ac:dyDescent="0.35">
      <c r="AO1431"/>
      <c r="AP1431"/>
      <c r="AQ1431"/>
      <c r="AR1431"/>
      <c r="AS1431"/>
      <c r="AT1431"/>
      <c r="AU1431"/>
      <c r="AV1431"/>
    </row>
    <row r="1432" spans="41:48" x14ac:dyDescent="0.35">
      <c r="AO1432"/>
      <c r="AP1432"/>
      <c r="AQ1432"/>
      <c r="AR1432"/>
      <c r="AS1432"/>
      <c r="AT1432"/>
      <c r="AU1432"/>
      <c r="AV1432"/>
    </row>
    <row r="1433" spans="41:48" x14ac:dyDescent="0.35">
      <c r="AO1433"/>
      <c r="AP1433"/>
      <c r="AQ1433"/>
      <c r="AR1433"/>
      <c r="AS1433"/>
      <c r="AT1433"/>
      <c r="AU1433"/>
      <c r="AV1433"/>
    </row>
    <row r="1434" spans="41:48" x14ac:dyDescent="0.35">
      <c r="AO1434"/>
      <c r="AP1434"/>
      <c r="AQ1434"/>
      <c r="AR1434"/>
      <c r="AS1434"/>
      <c r="AT1434"/>
      <c r="AU1434"/>
      <c r="AV1434"/>
    </row>
    <row r="1435" spans="41:48" x14ac:dyDescent="0.35">
      <c r="AO1435"/>
      <c r="AP1435"/>
      <c r="AQ1435"/>
      <c r="AR1435"/>
      <c r="AS1435"/>
      <c r="AT1435"/>
      <c r="AU1435"/>
      <c r="AV1435"/>
    </row>
    <row r="1436" spans="41:48" x14ac:dyDescent="0.35">
      <c r="AO1436"/>
      <c r="AP1436"/>
      <c r="AQ1436"/>
      <c r="AR1436"/>
      <c r="AS1436"/>
      <c r="AT1436"/>
      <c r="AU1436"/>
      <c r="AV1436"/>
    </row>
    <row r="1437" spans="41:48" x14ac:dyDescent="0.35">
      <c r="AO1437"/>
      <c r="AP1437"/>
      <c r="AQ1437"/>
      <c r="AR1437"/>
      <c r="AS1437"/>
      <c r="AT1437"/>
      <c r="AU1437"/>
      <c r="AV1437"/>
    </row>
    <row r="1438" spans="41:48" x14ac:dyDescent="0.35">
      <c r="AO1438"/>
      <c r="AP1438"/>
      <c r="AQ1438"/>
      <c r="AR1438"/>
      <c r="AS1438"/>
      <c r="AT1438"/>
      <c r="AU1438"/>
      <c r="AV1438"/>
    </row>
    <row r="1439" spans="41:48" x14ac:dyDescent="0.35">
      <c r="AO1439"/>
      <c r="AP1439"/>
      <c r="AQ1439"/>
      <c r="AR1439"/>
      <c r="AS1439"/>
      <c r="AT1439"/>
      <c r="AU1439"/>
      <c r="AV1439"/>
    </row>
    <row r="1440" spans="41:48" x14ac:dyDescent="0.35">
      <c r="AO1440"/>
      <c r="AP1440"/>
      <c r="AQ1440"/>
      <c r="AR1440"/>
      <c r="AS1440"/>
      <c r="AT1440"/>
      <c r="AU1440"/>
      <c r="AV1440"/>
    </row>
    <row r="1441" spans="41:48" x14ac:dyDescent="0.35">
      <c r="AO1441"/>
      <c r="AP1441"/>
      <c r="AQ1441"/>
      <c r="AR1441"/>
      <c r="AS1441"/>
      <c r="AT1441"/>
      <c r="AU1441"/>
      <c r="AV1441"/>
    </row>
    <row r="1442" spans="41:48" x14ac:dyDescent="0.35">
      <c r="AO1442"/>
      <c r="AP1442"/>
      <c r="AQ1442"/>
      <c r="AR1442"/>
      <c r="AS1442"/>
      <c r="AT1442"/>
      <c r="AU1442"/>
      <c r="AV1442"/>
    </row>
    <row r="1443" spans="41:48" x14ac:dyDescent="0.35">
      <c r="AO1443"/>
      <c r="AP1443"/>
      <c r="AQ1443"/>
      <c r="AR1443"/>
      <c r="AS1443"/>
      <c r="AT1443"/>
      <c r="AU1443"/>
      <c r="AV1443"/>
    </row>
    <row r="1444" spans="41:48" x14ac:dyDescent="0.35">
      <c r="AO1444"/>
      <c r="AP1444"/>
      <c r="AQ1444"/>
      <c r="AR1444"/>
      <c r="AS1444"/>
      <c r="AT1444"/>
      <c r="AU1444"/>
      <c r="AV1444"/>
    </row>
    <row r="1445" spans="41:48" x14ac:dyDescent="0.35">
      <c r="AO1445"/>
      <c r="AP1445"/>
      <c r="AQ1445"/>
      <c r="AR1445"/>
      <c r="AS1445"/>
      <c r="AT1445"/>
      <c r="AU1445"/>
      <c r="AV1445"/>
    </row>
    <row r="1446" spans="41:48" x14ac:dyDescent="0.35">
      <c r="AO1446"/>
      <c r="AP1446"/>
      <c r="AQ1446"/>
      <c r="AR1446"/>
      <c r="AS1446"/>
      <c r="AT1446"/>
      <c r="AU1446"/>
      <c r="AV1446"/>
    </row>
    <row r="1447" spans="41:48" x14ac:dyDescent="0.35">
      <c r="AO1447"/>
      <c r="AP1447"/>
      <c r="AQ1447"/>
      <c r="AR1447"/>
      <c r="AS1447"/>
      <c r="AT1447"/>
      <c r="AU1447"/>
      <c r="AV1447"/>
    </row>
    <row r="1448" spans="41:48" x14ac:dyDescent="0.35">
      <c r="AO1448"/>
      <c r="AP1448"/>
      <c r="AQ1448"/>
      <c r="AR1448"/>
      <c r="AS1448"/>
      <c r="AT1448"/>
      <c r="AU1448"/>
      <c r="AV1448"/>
    </row>
    <row r="1449" spans="41:48" x14ac:dyDescent="0.35">
      <c r="AO1449"/>
      <c r="AP1449"/>
      <c r="AQ1449"/>
      <c r="AR1449"/>
      <c r="AS1449"/>
      <c r="AT1449"/>
      <c r="AU1449"/>
      <c r="AV1449"/>
    </row>
    <row r="1450" spans="41:48" x14ac:dyDescent="0.35">
      <c r="AO1450"/>
      <c r="AP1450"/>
      <c r="AQ1450"/>
      <c r="AR1450"/>
      <c r="AS1450"/>
      <c r="AT1450"/>
      <c r="AU1450"/>
      <c r="AV1450"/>
    </row>
    <row r="1451" spans="41:48" x14ac:dyDescent="0.35">
      <c r="AO1451"/>
      <c r="AP1451"/>
      <c r="AQ1451"/>
      <c r="AR1451"/>
      <c r="AS1451"/>
      <c r="AT1451"/>
      <c r="AU1451"/>
      <c r="AV1451"/>
    </row>
    <row r="1452" spans="41:48" x14ac:dyDescent="0.35">
      <c r="AO1452"/>
      <c r="AP1452"/>
      <c r="AQ1452"/>
      <c r="AR1452"/>
      <c r="AS1452"/>
      <c r="AT1452"/>
      <c r="AU1452"/>
      <c r="AV1452"/>
    </row>
    <row r="1453" spans="41:48" x14ac:dyDescent="0.35">
      <c r="AO1453"/>
      <c r="AP1453"/>
      <c r="AQ1453"/>
      <c r="AR1453"/>
      <c r="AS1453"/>
      <c r="AT1453"/>
      <c r="AU1453"/>
      <c r="AV1453"/>
    </row>
    <row r="1454" spans="41:48" x14ac:dyDescent="0.35">
      <c r="AO1454"/>
      <c r="AP1454"/>
      <c r="AQ1454"/>
      <c r="AR1454"/>
      <c r="AS1454"/>
      <c r="AT1454"/>
      <c r="AU1454"/>
      <c r="AV1454"/>
    </row>
    <row r="1455" spans="41:48" x14ac:dyDescent="0.35">
      <c r="AO1455"/>
      <c r="AP1455"/>
      <c r="AQ1455"/>
      <c r="AR1455"/>
      <c r="AS1455"/>
      <c r="AT1455"/>
      <c r="AU1455"/>
      <c r="AV1455"/>
    </row>
    <row r="1456" spans="41:48" x14ac:dyDescent="0.35">
      <c r="AO1456"/>
      <c r="AP1456"/>
      <c r="AQ1456"/>
      <c r="AR1456"/>
      <c r="AS1456"/>
      <c r="AT1456"/>
      <c r="AU1456"/>
      <c r="AV1456"/>
    </row>
    <row r="1457" spans="41:48" x14ac:dyDescent="0.35">
      <c r="AO1457"/>
      <c r="AP1457"/>
      <c r="AQ1457"/>
      <c r="AR1457"/>
      <c r="AS1457"/>
      <c r="AT1457"/>
      <c r="AU1457"/>
      <c r="AV1457"/>
    </row>
    <row r="1458" spans="41:48" x14ac:dyDescent="0.35">
      <c r="AO1458"/>
      <c r="AP1458"/>
      <c r="AQ1458"/>
      <c r="AR1458"/>
      <c r="AS1458"/>
      <c r="AT1458"/>
      <c r="AU1458"/>
      <c r="AV1458"/>
    </row>
    <row r="1459" spans="41:48" x14ac:dyDescent="0.35">
      <c r="AO1459"/>
      <c r="AP1459"/>
      <c r="AQ1459"/>
      <c r="AR1459"/>
      <c r="AS1459"/>
      <c r="AT1459"/>
      <c r="AU1459"/>
      <c r="AV1459"/>
    </row>
    <row r="1460" spans="41:48" x14ac:dyDescent="0.35">
      <c r="AO1460"/>
      <c r="AP1460"/>
      <c r="AQ1460"/>
      <c r="AR1460"/>
      <c r="AS1460"/>
      <c r="AT1460"/>
      <c r="AU1460"/>
      <c r="AV1460"/>
    </row>
    <row r="1461" spans="41:48" x14ac:dyDescent="0.35">
      <c r="AO1461"/>
      <c r="AP1461"/>
      <c r="AQ1461"/>
      <c r="AR1461"/>
      <c r="AS1461"/>
      <c r="AT1461"/>
      <c r="AU1461"/>
      <c r="AV1461"/>
    </row>
    <row r="1462" spans="41:48" x14ac:dyDescent="0.35">
      <c r="AO1462"/>
      <c r="AP1462"/>
      <c r="AQ1462"/>
      <c r="AR1462"/>
      <c r="AS1462"/>
      <c r="AT1462"/>
      <c r="AU1462"/>
      <c r="AV1462"/>
    </row>
    <row r="1463" spans="41:48" x14ac:dyDescent="0.35">
      <c r="AO1463"/>
      <c r="AP1463"/>
      <c r="AQ1463"/>
      <c r="AR1463"/>
      <c r="AS1463"/>
      <c r="AT1463"/>
      <c r="AU1463"/>
      <c r="AV1463"/>
    </row>
    <row r="1464" spans="41:48" x14ac:dyDescent="0.35">
      <c r="AO1464"/>
      <c r="AP1464"/>
      <c r="AQ1464"/>
      <c r="AR1464"/>
      <c r="AS1464"/>
      <c r="AT1464"/>
      <c r="AU1464"/>
      <c r="AV1464"/>
    </row>
    <row r="1465" spans="41:48" x14ac:dyDescent="0.35">
      <c r="AO1465"/>
      <c r="AP1465"/>
      <c r="AQ1465"/>
      <c r="AR1465"/>
      <c r="AS1465"/>
      <c r="AT1465"/>
      <c r="AU1465"/>
      <c r="AV1465"/>
    </row>
    <row r="1466" spans="41:48" x14ac:dyDescent="0.35">
      <c r="AO1466"/>
      <c r="AP1466"/>
      <c r="AQ1466"/>
      <c r="AR1466"/>
      <c r="AS1466"/>
      <c r="AT1466"/>
      <c r="AU1466"/>
      <c r="AV1466"/>
    </row>
    <row r="1467" spans="41:48" x14ac:dyDescent="0.35">
      <c r="AO1467"/>
      <c r="AP1467"/>
      <c r="AQ1467"/>
      <c r="AR1467"/>
      <c r="AS1467"/>
      <c r="AT1467"/>
      <c r="AU1467"/>
      <c r="AV1467"/>
    </row>
    <row r="1468" spans="41:48" x14ac:dyDescent="0.35">
      <c r="AO1468"/>
      <c r="AP1468"/>
      <c r="AQ1468"/>
      <c r="AR1468"/>
      <c r="AS1468"/>
      <c r="AT1468"/>
      <c r="AU1468"/>
      <c r="AV1468"/>
    </row>
    <row r="1469" spans="41:48" x14ac:dyDescent="0.35">
      <c r="AO1469"/>
      <c r="AP1469"/>
      <c r="AQ1469"/>
      <c r="AR1469"/>
      <c r="AS1469"/>
      <c r="AT1469"/>
      <c r="AU1469"/>
      <c r="AV1469"/>
    </row>
    <row r="1470" spans="41:48" x14ac:dyDescent="0.35">
      <c r="AO1470"/>
      <c r="AP1470"/>
      <c r="AQ1470"/>
      <c r="AR1470"/>
      <c r="AS1470"/>
      <c r="AT1470"/>
      <c r="AU1470"/>
      <c r="AV1470"/>
    </row>
    <row r="1471" spans="41:48" x14ac:dyDescent="0.35">
      <c r="AO1471"/>
      <c r="AP1471"/>
      <c r="AQ1471"/>
      <c r="AR1471"/>
      <c r="AS1471"/>
      <c r="AT1471"/>
      <c r="AU1471"/>
      <c r="AV1471"/>
    </row>
    <row r="1472" spans="41:48" x14ac:dyDescent="0.35">
      <c r="AO1472"/>
      <c r="AP1472"/>
      <c r="AQ1472"/>
      <c r="AR1472"/>
      <c r="AS1472"/>
      <c r="AT1472"/>
      <c r="AU1472"/>
      <c r="AV1472"/>
    </row>
    <row r="1473" spans="41:48" x14ac:dyDescent="0.35">
      <c r="AO1473"/>
      <c r="AP1473"/>
      <c r="AQ1473"/>
      <c r="AR1473"/>
      <c r="AS1473"/>
      <c r="AT1473"/>
      <c r="AU1473"/>
      <c r="AV1473"/>
    </row>
    <row r="1474" spans="41:48" x14ac:dyDescent="0.35">
      <c r="AO1474"/>
      <c r="AP1474"/>
      <c r="AQ1474"/>
      <c r="AR1474"/>
      <c r="AS1474"/>
      <c r="AT1474"/>
      <c r="AU1474"/>
      <c r="AV1474"/>
    </row>
    <row r="1475" spans="41:48" x14ac:dyDescent="0.35">
      <c r="AO1475"/>
      <c r="AP1475"/>
      <c r="AQ1475"/>
      <c r="AR1475"/>
      <c r="AS1475"/>
      <c r="AT1475"/>
      <c r="AU1475"/>
      <c r="AV1475"/>
    </row>
    <row r="1476" spans="41:48" x14ac:dyDescent="0.35">
      <c r="AO1476"/>
      <c r="AP1476"/>
      <c r="AQ1476"/>
      <c r="AR1476"/>
      <c r="AS1476"/>
      <c r="AT1476"/>
      <c r="AU1476"/>
      <c r="AV1476"/>
    </row>
    <row r="1477" spans="41:48" x14ac:dyDescent="0.35">
      <c r="AO1477"/>
      <c r="AP1477"/>
      <c r="AQ1477"/>
      <c r="AR1477"/>
      <c r="AS1477"/>
      <c r="AT1477"/>
      <c r="AU1477"/>
      <c r="AV1477"/>
    </row>
    <row r="1478" spans="41:48" x14ac:dyDescent="0.35">
      <c r="AO1478"/>
      <c r="AP1478"/>
      <c r="AQ1478"/>
      <c r="AR1478"/>
      <c r="AS1478"/>
      <c r="AT1478"/>
      <c r="AU1478"/>
      <c r="AV1478"/>
    </row>
    <row r="1479" spans="41:48" x14ac:dyDescent="0.35">
      <c r="AO1479"/>
      <c r="AP1479"/>
      <c r="AQ1479"/>
      <c r="AR1479"/>
      <c r="AS1479"/>
      <c r="AT1479"/>
      <c r="AU1479"/>
      <c r="AV1479"/>
    </row>
    <row r="1480" spans="41:48" x14ac:dyDescent="0.35">
      <c r="AO1480"/>
      <c r="AP1480"/>
      <c r="AQ1480"/>
      <c r="AR1480"/>
      <c r="AS1480"/>
      <c r="AT1480"/>
      <c r="AU1480"/>
      <c r="AV1480"/>
    </row>
    <row r="1481" spans="41:48" x14ac:dyDescent="0.35">
      <c r="AO1481"/>
      <c r="AP1481"/>
      <c r="AQ1481"/>
      <c r="AR1481"/>
      <c r="AS1481"/>
      <c r="AT1481"/>
      <c r="AU1481"/>
      <c r="AV1481"/>
    </row>
    <row r="1482" spans="41:48" x14ac:dyDescent="0.35">
      <c r="AO1482"/>
      <c r="AP1482"/>
      <c r="AQ1482"/>
      <c r="AR1482"/>
      <c r="AS1482"/>
      <c r="AT1482"/>
      <c r="AU1482"/>
      <c r="AV1482"/>
    </row>
    <row r="1483" spans="41:48" x14ac:dyDescent="0.35">
      <c r="AO1483"/>
      <c r="AP1483"/>
      <c r="AQ1483"/>
      <c r="AR1483"/>
      <c r="AS1483"/>
      <c r="AT1483"/>
      <c r="AU1483"/>
      <c r="AV1483"/>
    </row>
    <row r="1484" spans="41:48" x14ac:dyDescent="0.35">
      <c r="AO1484"/>
      <c r="AP1484"/>
      <c r="AQ1484"/>
      <c r="AR1484"/>
      <c r="AS1484"/>
      <c r="AT1484"/>
      <c r="AU1484"/>
      <c r="AV1484"/>
    </row>
    <row r="1485" spans="41:48" x14ac:dyDescent="0.35">
      <c r="AO1485"/>
      <c r="AP1485"/>
      <c r="AQ1485"/>
      <c r="AR1485"/>
      <c r="AS1485"/>
      <c r="AT1485"/>
      <c r="AU1485"/>
      <c r="AV1485"/>
    </row>
    <row r="1486" spans="41:48" x14ac:dyDescent="0.35">
      <c r="AO1486"/>
      <c r="AP1486"/>
      <c r="AQ1486"/>
      <c r="AR1486"/>
      <c r="AS1486"/>
      <c r="AT1486"/>
      <c r="AU1486"/>
      <c r="AV1486"/>
    </row>
    <row r="1487" spans="41:48" x14ac:dyDescent="0.35">
      <c r="AO1487"/>
      <c r="AP1487"/>
      <c r="AQ1487"/>
      <c r="AR1487"/>
      <c r="AS1487"/>
      <c r="AT1487"/>
      <c r="AU1487"/>
      <c r="AV1487"/>
    </row>
    <row r="1488" spans="41:48" x14ac:dyDescent="0.35">
      <c r="AO1488"/>
      <c r="AP1488"/>
      <c r="AQ1488"/>
      <c r="AR1488"/>
      <c r="AS1488"/>
      <c r="AT1488"/>
      <c r="AU1488"/>
      <c r="AV1488"/>
    </row>
    <row r="1489" spans="41:48" x14ac:dyDescent="0.35">
      <c r="AO1489"/>
      <c r="AP1489"/>
      <c r="AQ1489"/>
      <c r="AR1489"/>
      <c r="AS1489"/>
      <c r="AT1489"/>
      <c r="AU1489"/>
      <c r="AV1489"/>
    </row>
    <row r="1490" spans="41:48" x14ac:dyDescent="0.35">
      <c r="AO1490"/>
      <c r="AP1490"/>
      <c r="AQ1490"/>
      <c r="AR1490"/>
      <c r="AS1490"/>
      <c r="AT1490"/>
      <c r="AU1490"/>
      <c r="AV1490"/>
    </row>
    <row r="1491" spans="41:48" x14ac:dyDescent="0.35">
      <c r="AO1491"/>
      <c r="AP1491"/>
      <c r="AQ1491"/>
      <c r="AR1491"/>
      <c r="AS1491"/>
      <c r="AT1491"/>
      <c r="AU1491"/>
      <c r="AV1491"/>
    </row>
    <row r="1492" spans="41:48" x14ac:dyDescent="0.35">
      <c r="AO1492"/>
      <c r="AP1492"/>
      <c r="AQ1492"/>
      <c r="AR1492"/>
      <c r="AS1492"/>
      <c r="AT1492"/>
      <c r="AU1492"/>
      <c r="AV1492"/>
    </row>
    <row r="1493" spans="41:48" x14ac:dyDescent="0.35">
      <c r="AO1493"/>
      <c r="AP1493"/>
      <c r="AQ1493"/>
      <c r="AR1493"/>
      <c r="AS1493"/>
      <c r="AT1493"/>
      <c r="AU1493"/>
      <c r="AV1493"/>
    </row>
    <row r="1494" spans="41:48" x14ac:dyDescent="0.35">
      <c r="AO1494"/>
      <c r="AP1494"/>
      <c r="AQ1494"/>
      <c r="AR1494"/>
      <c r="AS1494"/>
      <c r="AT1494"/>
      <c r="AU1494"/>
      <c r="AV1494"/>
    </row>
    <row r="1495" spans="41:48" x14ac:dyDescent="0.35">
      <c r="AO1495"/>
      <c r="AP1495"/>
      <c r="AQ1495"/>
      <c r="AR1495"/>
      <c r="AS1495"/>
      <c r="AT1495"/>
      <c r="AU1495"/>
      <c r="AV1495"/>
    </row>
    <row r="1496" spans="41:48" x14ac:dyDescent="0.35">
      <c r="AO1496"/>
      <c r="AP1496"/>
      <c r="AQ1496"/>
      <c r="AR1496"/>
      <c r="AS1496"/>
      <c r="AT1496"/>
      <c r="AU1496"/>
      <c r="AV1496"/>
    </row>
    <row r="1497" spans="41:48" x14ac:dyDescent="0.35">
      <c r="AO1497"/>
      <c r="AP1497"/>
      <c r="AQ1497"/>
      <c r="AR1497"/>
      <c r="AS1497"/>
      <c r="AT1497"/>
      <c r="AU1497"/>
      <c r="AV1497"/>
    </row>
    <row r="1498" spans="41:48" x14ac:dyDescent="0.35">
      <c r="AO1498"/>
      <c r="AP1498"/>
      <c r="AQ1498"/>
      <c r="AR1498"/>
      <c r="AS1498"/>
      <c r="AT1498"/>
      <c r="AU1498"/>
      <c r="AV1498"/>
    </row>
    <row r="1499" spans="41:48" x14ac:dyDescent="0.35">
      <c r="AO1499"/>
      <c r="AP1499"/>
      <c r="AQ1499"/>
      <c r="AR1499"/>
      <c r="AS1499"/>
      <c r="AT1499"/>
      <c r="AU1499"/>
      <c r="AV1499"/>
    </row>
    <row r="1500" spans="41:48" x14ac:dyDescent="0.35">
      <c r="AO1500"/>
      <c r="AP1500"/>
      <c r="AQ1500"/>
      <c r="AR1500"/>
      <c r="AS1500"/>
      <c r="AT1500"/>
      <c r="AU1500"/>
      <c r="AV1500"/>
    </row>
    <row r="1501" spans="41:48" x14ac:dyDescent="0.35">
      <c r="AO1501"/>
      <c r="AP1501"/>
      <c r="AQ1501"/>
      <c r="AR1501"/>
      <c r="AS1501"/>
      <c r="AT1501"/>
      <c r="AU1501"/>
      <c r="AV1501"/>
    </row>
    <row r="1502" spans="41:48" x14ac:dyDescent="0.35">
      <c r="AO1502"/>
      <c r="AP1502"/>
      <c r="AQ1502"/>
      <c r="AR1502"/>
      <c r="AS1502"/>
      <c r="AT1502"/>
      <c r="AU1502"/>
      <c r="AV1502"/>
    </row>
    <row r="1503" spans="41:48" x14ac:dyDescent="0.35">
      <c r="AO1503"/>
      <c r="AP1503"/>
      <c r="AQ1503"/>
      <c r="AR1503"/>
      <c r="AS1503"/>
      <c r="AT1503"/>
      <c r="AU1503"/>
      <c r="AV1503"/>
    </row>
    <row r="1504" spans="41:48" x14ac:dyDescent="0.35">
      <c r="AO1504"/>
      <c r="AP1504"/>
      <c r="AQ1504"/>
      <c r="AR1504"/>
      <c r="AS1504"/>
      <c r="AT1504"/>
      <c r="AU1504"/>
      <c r="AV1504"/>
    </row>
    <row r="1505" spans="41:48" x14ac:dyDescent="0.35">
      <c r="AO1505"/>
      <c r="AP1505"/>
      <c r="AQ1505"/>
      <c r="AR1505"/>
      <c r="AS1505"/>
      <c r="AT1505"/>
      <c r="AU1505"/>
      <c r="AV1505"/>
    </row>
    <row r="1506" spans="41:48" x14ac:dyDescent="0.35">
      <c r="AO1506"/>
      <c r="AP1506"/>
      <c r="AQ1506"/>
      <c r="AR1506"/>
      <c r="AS1506"/>
      <c r="AT1506"/>
      <c r="AU1506"/>
      <c r="AV1506"/>
    </row>
    <row r="1507" spans="41:48" x14ac:dyDescent="0.35">
      <c r="AO1507"/>
      <c r="AP1507"/>
      <c r="AQ1507"/>
      <c r="AR1507"/>
      <c r="AS1507"/>
      <c r="AT1507"/>
      <c r="AU1507"/>
      <c r="AV1507"/>
    </row>
    <row r="1508" spans="41:48" x14ac:dyDescent="0.35">
      <c r="AO1508"/>
      <c r="AP1508"/>
      <c r="AQ1508"/>
      <c r="AR1508"/>
      <c r="AS1508"/>
      <c r="AT1508"/>
      <c r="AU1508"/>
      <c r="AV1508"/>
    </row>
    <row r="1509" spans="41:48" x14ac:dyDescent="0.35">
      <c r="AO1509"/>
      <c r="AP1509"/>
      <c r="AQ1509"/>
      <c r="AR1509"/>
      <c r="AS1509"/>
      <c r="AT1509"/>
      <c r="AU1509"/>
      <c r="AV1509"/>
    </row>
    <row r="1510" spans="41:48" x14ac:dyDescent="0.35">
      <c r="AO1510"/>
      <c r="AP1510"/>
      <c r="AQ1510"/>
      <c r="AR1510"/>
      <c r="AS1510"/>
      <c r="AT1510"/>
      <c r="AU1510"/>
      <c r="AV1510"/>
    </row>
    <row r="1511" spans="41:48" x14ac:dyDescent="0.35">
      <c r="AO1511"/>
      <c r="AP1511"/>
      <c r="AQ1511"/>
      <c r="AR1511"/>
      <c r="AS1511"/>
      <c r="AT1511"/>
      <c r="AU1511"/>
      <c r="AV1511"/>
    </row>
    <row r="1512" spans="41:48" x14ac:dyDescent="0.35">
      <c r="AO1512"/>
      <c r="AP1512"/>
      <c r="AQ1512"/>
      <c r="AR1512"/>
      <c r="AS1512"/>
      <c r="AT1512"/>
      <c r="AU1512"/>
      <c r="AV1512"/>
    </row>
    <row r="1513" spans="41:48" x14ac:dyDescent="0.35">
      <c r="AO1513"/>
      <c r="AP1513"/>
      <c r="AQ1513"/>
      <c r="AR1513"/>
      <c r="AS1513"/>
      <c r="AT1513"/>
      <c r="AU1513"/>
      <c r="AV1513"/>
    </row>
    <row r="1514" spans="41:48" x14ac:dyDescent="0.35">
      <c r="AO1514"/>
      <c r="AP1514"/>
      <c r="AQ1514"/>
      <c r="AR1514"/>
      <c r="AS1514"/>
      <c r="AT1514"/>
      <c r="AU1514"/>
      <c r="AV1514"/>
    </row>
    <row r="1515" spans="41:48" x14ac:dyDescent="0.35">
      <c r="AO1515"/>
      <c r="AP1515"/>
      <c r="AQ1515"/>
      <c r="AR1515"/>
      <c r="AS1515"/>
      <c r="AT1515"/>
      <c r="AU1515"/>
      <c r="AV1515"/>
    </row>
    <row r="1516" spans="41:48" x14ac:dyDescent="0.35">
      <c r="AO1516"/>
      <c r="AP1516"/>
      <c r="AQ1516"/>
      <c r="AR1516"/>
      <c r="AS1516"/>
      <c r="AT1516"/>
      <c r="AU1516"/>
      <c r="AV1516"/>
    </row>
    <row r="1517" spans="41:48" x14ac:dyDescent="0.35">
      <c r="AO1517"/>
      <c r="AP1517"/>
      <c r="AQ1517"/>
      <c r="AR1517"/>
      <c r="AS1517"/>
      <c r="AT1517"/>
      <c r="AU1517"/>
      <c r="AV1517"/>
    </row>
    <row r="1518" spans="41:48" x14ac:dyDescent="0.35">
      <c r="AO1518"/>
      <c r="AP1518"/>
      <c r="AQ1518"/>
      <c r="AR1518"/>
      <c r="AS1518"/>
      <c r="AT1518"/>
      <c r="AU1518"/>
      <c r="AV1518"/>
    </row>
    <row r="1519" spans="41:48" x14ac:dyDescent="0.35">
      <c r="AO1519"/>
      <c r="AP1519"/>
      <c r="AQ1519"/>
      <c r="AR1519"/>
      <c r="AS1519"/>
      <c r="AT1519"/>
      <c r="AU1519"/>
      <c r="AV1519"/>
    </row>
    <row r="1520" spans="41:48" x14ac:dyDescent="0.35">
      <c r="AO1520"/>
      <c r="AP1520"/>
      <c r="AQ1520"/>
      <c r="AR1520"/>
      <c r="AS1520"/>
      <c r="AT1520"/>
      <c r="AU1520"/>
      <c r="AV1520"/>
    </row>
    <row r="1521" spans="41:48" x14ac:dyDescent="0.35">
      <c r="AO1521"/>
      <c r="AP1521"/>
      <c r="AQ1521"/>
      <c r="AR1521"/>
      <c r="AS1521"/>
      <c r="AT1521"/>
      <c r="AU1521"/>
      <c r="AV1521"/>
    </row>
    <row r="1522" spans="41:48" x14ac:dyDescent="0.35">
      <c r="AO1522"/>
      <c r="AP1522"/>
      <c r="AQ1522"/>
      <c r="AR1522"/>
      <c r="AS1522"/>
      <c r="AT1522"/>
      <c r="AU1522"/>
      <c r="AV1522"/>
    </row>
    <row r="1523" spans="41:48" x14ac:dyDescent="0.35">
      <c r="AO1523"/>
      <c r="AP1523"/>
      <c r="AQ1523"/>
      <c r="AR1523"/>
      <c r="AS1523"/>
      <c r="AT1523"/>
      <c r="AU1523"/>
      <c r="AV1523"/>
    </row>
    <row r="1524" spans="41:48" x14ac:dyDescent="0.35">
      <c r="AO1524"/>
      <c r="AP1524"/>
      <c r="AQ1524"/>
      <c r="AR1524"/>
      <c r="AS1524"/>
      <c r="AT1524"/>
      <c r="AU1524"/>
      <c r="AV1524"/>
    </row>
    <row r="1525" spans="41:48" x14ac:dyDescent="0.35">
      <c r="AO1525"/>
      <c r="AP1525"/>
      <c r="AQ1525"/>
      <c r="AR1525"/>
      <c r="AS1525"/>
      <c r="AT1525"/>
      <c r="AU1525"/>
      <c r="AV1525"/>
    </row>
    <row r="1526" spans="41:48" x14ac:dyDescent="0.35">
      <c r="AO1526"/>
      <c r="AP1526"/>
      <c r="AQ1526"/>
      <c r="AR1526"/>
      <c r="AS1526"/>
      <c r="AT1526"/>
      <c r="AU1526"/>
      <c r="AV1526"/>
    </row>
    <row r="1527" spans="41:48" x14ac:dyDescent="0.35">
      <c r="AO1527"/>
      <c r="AP1527"/>
      <c r="AQ1527"/>
      <c r="AR1527"/>
      <c r="AS1527"/>
      <c r="AT1527"/>
      <c r="AU1527"/>
      <c r="AV1527"/>
    </row>
    <row r="1528" spans="41:48" x14ac:dyDescent="0.35">
      <c r="AO1528"/>
      <c r="AP1528"/>
      <c r="AQ1528"/>
      <c r="AR1528"/>
      <c r="AS1528"/>
      <c r="AT1528"/>
      <c r="AU1528"/>
      <c r="AV1528"/>
    </row>
    <row r="1529" spans="41:48" x14ac:dyDescent="0.35">
      <c r="AO1529"/>
      <c r="AP1529"/>
      <c r="AQ1529"/>
      <c r="AR1529"/>
      <c r="AS1529"/>
      <c r="AT1529"/>
      <c r="AU1529"/>
      <c r="AV1529"/>
    </row>
    <row r="1530" spans="41:48" x14ac:dyDescent="0.35">
      <c r="AO1530"/>
      <c r="AP1530"/>
      <c r="AQ1530"/>
      <c r="AR1530"/>
      <c r="AS1530"/>
      <c r="AT1530"/>
      <c r="AU1530"/>
      <c r="AV1530"/>
    </row>
    <row r="1531" spans="41:48" x14ac:dyDescent="0.35">
      <c r="AO1531"/>
      <c r="AP1531"/>
      <c r="AQ1531"/>
      <c r="AR1531"/>
      <c r="AS1531"/>
      <c r="AT1531"/>
      <c r="AU1531"/>
      <c r="AV1531"/>
    </row>
    <row r="1532" spans="41:48" x14ac:dyDescent="0.35">
      <c r="AO1532"/>
      <c r="AP1532"/>
      <c r="AQ1532"/>
      <c r="AR1532"/>
      <c r="AS1532"/>
      <c r="AT1532"/>
      <c r="AU1532"/>
      <c r="AV1532"/>
    </row>
    <row r="1533" spans="41:48" x14ac:dyDescent="0.35">
      <c r="AO1533"/>
      <c r="AP1533"/>
      <c r="AQ1533"/>
      <c r="AR1533"/>
      <c r="AS1533"/>
      <c r="AT1533"/>
      <c r="AU1533"/>
      <c r="AV1533"/>
    </row>
    <row r="1534" spans="41:48" x14ac:dyDescent="0.35">
      <c r="AO1534"/>
      <c r="AP1534"/>
      <c r="AQ1534"/>
      <c r="AR1534"/>
      <c r="AS1534"/>
      <c r="AT1534"/>
      <c r="AU1534"/>
      <c r="AV1534"/>
    </row>
    <row r="1535" spans="41:48" x14ac:dyDescent="0.35">
      <c r="AO1535"/>
      <c r="AP1535"/>
      <c r="AQ1535"/>
      <c r="AR1535"/>
      <c r="AS1535"/>
      <c r="AT1535"/>
      <c r="AU1535"/>
      <c r="AV1535"/>
    </row>
    <row r="1536" spans="41:48" x14ac:dyDescent="0.35">
      <c r="AO1536"/>
      <c r="AP1536"/>
      <c r="AQ1536"/>
      <c r="AR1536"/>
      <c r="AS1536"/>
      <c r="AT1536"/>
      <c r="AU1536"/>
      <c r="AV1536"/>
    </row>
    <row r="1537" spans="41:48" x14ac:dyDescent="0.35">
      <c r="AO1537"/>
      <c r="AP1537"/>
      <c r="AQ1537"/>
      <c r="AR1537"/>
      <c r="AS1537"/>
      <c r="AT1537"/>
      <c r="AU1537"/>
      <c r="AV1537"/>
    </row>
    <row r="1538" spans="41:48" x14ac:dyDescent="0.35">
      <c r="AO1538"/>
      <c r="AP1538"/>
      <c r="AQ1538"/>
      <c r="AR1538"/>
      <c r="AS1538"/>
      <c r="AT1538"/>
      <c r="AU1538"/>
      <c r="AV1538"/>
    </row>
    <row r="1539" spans="41:48" x14ac:dyDescent="0.35">
      <c r="AO1539"/>
      <c r="AP1539"/>
      <c r="AQ1539"/>
      <c r="AR1539"/>
      <c r="AS1539"/>
      <c r="AT1539"/>
      <c r="AU1539"/>
      <c r="AV1539"/>
    </row>
    <row r="1540" spans="41:48" x14ac:dyDescent="0.35">
      <c r="AO1540"/>
      <c r="AP1540"/>
      <c r="AQ1540"/>
      <c r="AR1540"/>
      <c r="AS1540"/>
      <c r="AT1540"/>
      <c r="AU1540"/>
      <c r="AV1540"/>
    </row>
    <row r="1541" spans="41:48" x14ac:dyDescent="0.35">
      <c r="AO1541"/>
      <c r="AP1541"/>
      <c r="AQ1541"/>
      <c r="AR1541"/>
      <c r="AS1541"/>
      <c r="AT1541"/>
      <c r="AU1541"/>
      <c r="AV1541"/>
    </row>
    <row r="1542" spans="41:48" x14ac:dyDescent="0.35">
      <c r="AO1542"/>
      <c r="AP1542"/>
      <c r="AQ1542"/>
      <c r="AR1542"/>
      <c r="AS1542"/>
      <c r="AT1542"/>
      <c r="AU1542"/>
      <c r="AV1542"/>
    </row>
    <row r="1543" spans="41:48" x14ac:dyDescent="0.35">
      <c r="AO1543"/>
      <c r="AP1543"/>
      <c r="AQ1543"/>
      <c r="AR1543"/>
      <c r="AS1543"/>
      <c r="AT1543"/>
      <c r="AU1543"/>
      <c r="AV1543"/>
    </row>
    <row r="1544" spans="41:48" x14ac:dyDescent="0.35">
      <c r="AO1544"/>
      <c r="AP1544"/>
      <c r="AQ1544"/>
      <c r="AR1544"/>
      <c r="AS1544"/>
      <c r="AT1544"/>
      <c r="AU1544"/>
      <c r="AV1544"/>
    </row>
    <row r="1545" spans="41:48" x14ac:dyDescent="0.35">
      <c r="AO1545"/>
      <c r="AP1545"/>
      <c r="AQ1545"/>
      <c r="AR1545"/>
      <c r="AS1545"/>
      <c r="AT1545"/>
      <c r="AU1545"/>
      <c r="AV1545"/>
    </row>
    <row r="1546" spans="41:48" x14ac:dyDescent="0.35">
      <c r="AO1546"/>
      <c r="AP1546"/>
      <c r="AQ1546"/>
      <c r="AR1546"/>
      <c r="AS1546"/>
      <c r="AT1546"/>
      <c r="AU1546"/>
      <c r="AV1546"/>
    </row>
    <row r="1547" spans="41:48" x14ac:dyDescent="0.35">
      <c r="AO1547"/>
      <c r="AP1547"/>
      <c r="AQ1547"/>
      <c r="AR1547"/>
      <c r="AS1547"/>
      <c r="AT1547"/>
      <c r="AU1547"/>
      <c r="AV1547"/>
    </row>
    <row r="1548" spans="41:48" x14ac:dyDescent="0.35">
      <c r="AO1548"/>
      <c r="AP1548"/>
      <c r="AQ1548"/>
      <c r="AR1548"/>
      <c r="AS1548"/>
      <c r="AT1548"/>
      <c r="AU1548"/>
      <c r="AV1548"/>
    </row>
    <row r="1549" spans="41:48" x14ac:dyDescent="0.35">
      <c r="AO1549"/>
      <c r="AP1549"/>
      <c r="AQ1549"/>
      <c r="AR1549"/>
      <c r="AS1549"/>
      <c r="AT1549"/>
      <c r="AU1549"/>
      <c r="AV1549"/>
    </row>
    <row r="1550" spans="41:48" x14ac:dyDescent="0.35">
      <c r="AO1550"/>
      <c r="AP1550"/>
      <c r="AQ1550"/>
      <c r="AR1550"/>
      <c r="AS1550"/>
      <c r="AT1550"/>
      <c r="AU1550"/>
      <c r="AV1550"/>
    </row>
    <row r="1551" spans="41:48" x14ac:dyDescent="0.35">
      <c r="AO1551"/>
      <c r="AP1551"/>
      <c r="AQ1551"/>
      <c r="AR1551"/>
      <c r="AS1551"/>
      <c r="AT1551"/>
      <c r="AU1551"/>
      <c r="AV1551"/>
    </row>
    <row r="1552" spans="41:48" x14ac:dyDescent="0.35">
      <c r="AO1552"/>
      <c r="AP1552"/>
      <c r="AQ1552"/>
      <c r="AR1552"/>
      <c r="AS1552"/>
      <c r="AT1552"/>
      <c r="AU1552"/>
      <c r="AV1552"/>
    </row>
    <row r="1553" spans="41:48" x14ac:dyDescent="0.35">
      <c r="AO1553"/>
      <c r="AP1553"/>
      <c r="AQ1553"/>
      <c r="AR1553"/>
      <c r="AS1553"/>
      <c r="AT1553"/>
      <c r="AU1553"/>
      <c r="AV1553"/>
    </row>
    <row r="1554" spans="41:48" x14ac:dyDescent="0.35">
      <c r="AO1554"/>
      <c r="AP1554"/>
      <c r="AQ1554"/>
      <c r="AR1554"/>
      <c r="AS1554"/>
      <c r="AT1554"/>
      <c r="AU1554"/>
      <c r="AV1554"/>
    </row>
    <row r="1555" spans="41:48" x14ac:dyDescent="0.35">
      <c r="AO1555"/>
      <c r="AP1555"/>
      <c r="AQ1555"/>
      <c r="AR1555"/>
      <c r="AS1555"/>
      <c r="AT1555"/>
      <c r="AU1555"/>
      <c r="AV1555"/>
    </row>
    <row r="1556" spans="41:48" x14ac:dyDescent="0.35">
      <c r="AO1556"/>
      <c r="AP1556"/>
      <c r="AQ1556"/>
      <c r="AR1556"/>
      <c r="AS1556"/>
      <c r="AT1556"/>
      <c r="AU1556"/>
      <c r="AV1556"/>
    </row>
    <row r="1557" spans="41:48" x14ac:dyDescent="0.35">
      <c r="AO1557"/>
      <c r="AP1557"/>
      <c r="AQ1557"/>
      <c r="AR1557"/>
      <c r="AS1557"/>
      <c r="AT1557"/>
      <c r="AU1557"/>
      <c r="AV1557"/>
    </row>
    <row r="1558" spans="41:48" x14ac:dyDescent="0.35">
      <c r="AO1558"/>
      <c r="AP1558"/>
      <c r="AQ1558"/>
      <c r="AR1558"/>
      <c r="AS1558"/>
      <c r="AT1558"/>
      <c r="AU1558"/>
      <c r="AV1558"/>
    </row>
    <row r="1559" spans="41:48" x14ac:dyDescent="0.35">
      <c r="AO1559"/>
      <c r="AP1559"/>
      <c r="AQ1559"/>
      <c r="AR1559"/>
      <c r="AS1559"/>
      <c r="AT1559"/>
      <c r="AU1559"/>
      <c r="AV1559"/>
    </row>
    <row r="1560" spans="41:48" x14ac:dyDescent="0.35">
      <c r="AO1560"/>
      <c r="AP1560"/>
      <c r="AQ1560"/>
      <c r="AR1560"/>
      <c r="AS1560"/>
      <c r="AT1560"/>
      <c r="AU1560"/>
      <c r="AV1560"/>
    </row>
    <row r="1561" spans="41:48" x14ac:dyDescent="0.35">
      <c r="AO1561"/>
      <c r="AP1561"/>
      <c r="AQ1561"/>
      <c r="AR1561"/>
      <c r="AS1561"/>
      <c r="AT1561"/>
      <c r="AU1561"/>
      <c r="AV1561"/>
    </row>
    <row r="1562" spans="41:48" x14ac:dyDescent="0.35">
      <c r="AO1562"/>
      <c r="AP1562"/>
      <c r="AQ1562"/>
      <c r="AR1562"/>
      <c r="AS1562"/>
      <c r="AT1562"/>
      <c r="AU1562"/>
      <c r="AV1562"/>
    </row>
    <row r="1563" spans="41:48" x14ac:dyDescent="0.35">
      <c r="AO1563"/>
      <c r="AP1563"/>
      <c r="AQ1563"/>
      <c r="AR1563"/>
      <c r="AS1563"/>
      <c r="AT1563"/>
      <c r="AU1563"/>
      <c r="AV1563"/>
    </row>
    <row r="1564" spans="41:48" x14ac:dyDescent="0.35">
      <c r="AO1564"/>
      <c r="AP1564"/>
      <c r="AQ1564"/>
      <c r="AR1564"/>
      <c r="AS1564"/>
      <c r="AT1564"/>
      <c r="AU1564"/>
      <c r="AV1564"/>
    </row>
    <row r="1565" spans="41:48" x14ac:dyDescent="0.35">
      <c r="AO1565"/>
      <c r="AP1565"/>
      <c r="AQ1565"/>
      <c r="AR1565"/>
      <c r="AS1565"/>
      <c r="AT1565"/>
      <c r="AU1565"/>
      <c r="AV1565"/>
    </row>
    <row r="1566" spans="41:48" x14ac:dyDescent="0.35">
      <c r="AO1566"/>
      <c r="AP1566"/>
      <c r="AQ1566"/>
      <c r="AR1566"/>
      <c r="AS1566"/>
      <c r="AT1566"/>
      <c r="AU1566"/>
      <c r="AV1566"/>
    </row>
    <row r="1567" spans="41:48" x14ac:dyDescent="0.35">
      <c r="AO1567"/>
      <c r="AP1567"/>
      <c r="AQ1567"/>
      <c r="AR1567"/>
      <c r="AS1567"/>
      <c r="AT1567"/>
      <c r="AU1567"/>
      <c r="AV1567"/>
    </row>
    <row r="1568" spans="41:48" x14ac:dyDescent="0.35">
      <c r="AO1568"/>
      <c r="AP1568"/>
      <c r="AQ1568"/>
      <c r="AR1568"/>
      <c r="AS1568"/>
      <c r="AT1568"/>
      <c r="AU1568"/>
      <c r="AV1568"/>
    </row>
    <row r="1569" spans="41:48" x14ac:dyDescent="0.35">
      <c r="AO1569"/>
      <c r="AP1569"/>
      <c r="AQ1569"/>
      <c r="AR1569"/>
      <c r="AS1569"/>
      <c r="AT1569"/>
      <c r="AU1569"/>
      <c r="AV1569"/>
    </row>
    <row r="1570" spans="41:48" x14ac:dyDescent="0.35">
      <c r="AO1570"/>
      <c r="AP1570"/>
      <c r="AQ1570"/>
      <c r="AR1570"/>
      <c r="AS1570"/>
      <c r="AT1570"/>
      <c r="AU1570"/>
      <c r="AV1570"/>
    </row>
    <row r="1571" spans="41:48" x14ac:dyDescent="0.35">
      <c r="AO1571"/>
      <c r="AP1571"/>
      <c r="AQ1571"/>
      <c r="AR1571"/>
      <c r="AS1571"/>
      <c r="AT1571"/>
      <c r="AU1571"/>
      <c r="AV1571"/>
    </row>
    <row r="1572" spans="41:48" x14ac:dyDescent="0.35">
      <c r="AO1572"/>
      <c r="AP1572"/>
      <c r="AQ1572"/>
      <c r="AR1572"/>
      <c r="AS1572"/>
      <c r="AT1572"/>
      <c r="AU1572"/>
      <c r="AV1572"/>
    </row>
    <row r="1573" spans="41:48" x14ac:dyDescent="0.35">
      <c r="AO1573"/>
      <c r="AP1573"/>
      <c r="AQ1573"/>
      <c r="AR1573"/>
      <c r="AS1573"/>
      <c r="AT1573"/>
      <c r="AU1573"/>
      <c r="AV1573"/>
    </row>
    <row r="1574" spans="41:48" x14ac:dyDescent="0.35">
      <c r="AO1574"/>
      <c r="AP1574"/>
      <c r="AQ1574"/>
      <c r="AR1574"/>
      <c r="AS1574"/>
      <c r="AT1574"/>
      <c r="AU1574"/>
      <c r="AV1574"/>
    </row>
    <row r="1575" spans="41:48" x14ac:dyDescent="0.35">
      <c r="AO1575"/>
      <c r="AP1575"/>
      <c r="AQ1575"/>
      <c r="AR1575"/>
      <c r="AS1575"/>
      <c r="AT1575"/>
      <c r="AU1575"/>
      <c r="AV1575"/>
    </row>
    <row r="1576" spans="41:48" x14ac:dyDescent="0.35">
      <c r="AO1576"/>
      <c r="AP1576"/>
      <c r="AQ1576"/>
      <c r="AR1576"/>
      <c r="AS1576"/>
      <c r="AT1576"/>
      <c r="AU1576"/>
      <c r="AV1576"/>
    </row>
    <row r="1577" spans="41:48" x14ac:dyDescent="0.35">
      <c r="AO1577"/>
      <c r="AP1577"/>
      <c r="AQ1577"/>
      <c r="AR1577"/>
      <c r="AS1577"/>
      <c r="AT1577"/>
      <c r="AU1577"/>
      <c r="AV1577"/>
    </row>
    <row r="1578" spans="41:48" x14ac:dyDescent="0.35">
      <c r="AO1578"/>
      <c r="AP1578"/>
      <c r="AQ1578"/>
      <c r="AR1578"/>
      <c r="AS1578"/>
      <c r="AT1578"/>
      <c r="AU1578"/>
      <c r="AV1578"/>
    </row>
    <row r="1579" spans="41:48" x14ac:dyDescent="0.35">
      <c r="AO1579"/>
      <c r="AP1579"/>
      <c r="AQ1579"/>
      <c r="AR1579"/>
      <c r="AS1579"/>
      <c r="AT1579"/>
      <c r="AU1579"/>
      <c r="AV1579"/>
    </row>
    <row r="1580" spans="41:48" x14ac:dyDescent="0.35">
      <c r="AO1580"/>
      <c r="AP1580"/>
      <c r="AQ1580"/>
      <c r="AR1580"/>
      <c r="AS1580"/>
      <c r="AT1580"/>
      <c r="AU1580"/>
      <c r="AV1580"/>
    </row>
    <row r="1581" spans="41:48" x14ac:dyDescent="0.35">
      <c r="AO1581"/>
      <c r="AP1581"/>
      <c r="AQ1581"/>
      <c r="AR1581"/>
      <c r="AS1581"/>
      <c r="AT1581"/>
      <c r="AU1581"/>
      <c r="AV1581"/>
    </row>
    <row r="1582" spans="41:48" x14ac:dyDescent="0.35">
      <c r="AO1582"/>
      <c r="AP1582"/>
      <c r="AQ1582"/>
      <c r="AR1582"/>
      <c r="AS1582"/>
      <c r="AT1582"/>
      <c r="AU1582"/>
      <c r="AV1582"/>
    </row>
    <row r="1583" spans="41:48" x14ac:dyDescent="0.35">
      <c r="AO1583"/>
      <c r="AP1583"/>
      <c r="AQ1583"/>
      <c r="AR1583"/>
      <c r="AS1583"/>
      <c r="AT1583"/>
      <c r="AU1583"/>
      <c r="AV1583"/>
    </row>
    <row r="1584" spans="41:48" x14ac:dyDescent="0.35">
      <c r="AO1584"/>
      <c r="AP1584"/>
      <c r="AQ1584"/>
      <c r="AR1584"/>
      <c r="AS1584"/>
      <c r="AT1584"/>
      <c r="AU1584"/>
      <c r="AV1584"/>
    </row>
    <row r="1585" spans="41:48" x14ac:dyDescent="0.35">
      <c r="AO1585"/>
      <c r="AP1585"/>
      <c r="AQ1585"/>
      <c r="AR1585"/>
      <c r="AS1585"/>
      <c r="AT1585"/>
      <c r="AU1585"/>
      <c r="AV1585"/>
    </row>
    <row r="1586" spans="41:48" x14ac:dyDescent="0.35">
      <c r="AO1586"/>
      <c r="AP1586"/>
      <c r="AQ1586"/>
      <c r="AR1586"/>
      <c r="AS1586"/>
      <c r="AT1586"/>
      <c r="AU1586"/>
      <c r="AV1586"/>
    </row>
    <row r="1587" spans="41:48" x14ac:dyDescent="0.35">
      <c r="AO1587"/>
      <c r="AP1587"/>
      <c r="AQ1587"/>
      <c r="AR1587"/>
      <c r="AS1587"/>
      <c r="AT1587"/>
      <c r="AU1587"/>
      <c r="AV1587"/>
    </row>
    <row r="1588" spans="41:48" x14ac:dyDescent="0.35">
      <c r="AO1588"/>
      <c r="AP1588"/>
      <c r="AQ1588"/>
      <c r="AR1588"/>
      <c r="AS1588"/>
      <c r="AT1588"/>
      <c r="AU1588"/>
      <c r="AV1588"/>
    </row>
    <row r="1589" spans="41:48" x14ac:dyDescent="0.35">
      <c r="AO1589"/>
      <c r="AP1589"/>
      <c r="AQ1589"/>
      <c r="AR1589"/>
      <c r="AS1589"/>
      <c r="AT1589"/>
      <c r="AU1589"/>
      <c r="AV1589"/>
    </row>
    <row r="1590" spans="41:48" x14ac:dyDescent="0.35">
      <c r="AO1590"/>
      <c r="AP1590"/>
      <c r="AQ1590"/>
      <c r="AR1590"/>
      <c r="AS1590"/>
      <c r="AT1590"/>
      <c r="AU1590"/>
      <c r="AV1590"/>
    </row>
    <row r="1591" spans="41:48" x14ac:dyDescent="0.35">
      <c r="AO1591"/>
      <c r="AP1591"/>
      <c r="AQ1591"/>
      <c r="AR1591"/>
      <c r="AS1591"/>
      <c r="AT1591"/>
      <c r="AU1591"/>
      <c r="AV1591"/>
    </row>
    <row r="1592" spans="41:48" x14ac:dyDescent="0.35">
      <c r="AO1592"/>
      <c r="AP1592"/>
      <c r="AQ1592"/>
      <c r="AR1592"/>
      <c r="AS1592"/>
      <c r="AT1592"/>
      <c r="AU1592"/>
      <c r="AV1592"/>
    </row>
    <row r="1593" spans="41:48" x14ac:dyDescent="0.35">
      <c r="AO1593"/>
      <c r="AP1593"/>
      <c r="AQ1593"/>
      <c r="AR1593"/>
      <c r="AS1593"/>
      <c r="AT1593"/>
      <c r="AU1593"/>
      <c r="AV1593"/>
    </row>
    <row r="1594" spans="41:48" x14ac:dyDescent="0.35">
      <c r="AO1594"/>
      <c r="AP1594"/>
      <c r="AQ1594"/>
      <c r="AR1594"/>
      <c r="AS1594"/>
      <c r="AT1594"/>
      <c r="AU1594"/>
      <c r="AV1594"/>
    </row>
    <row r="1595" spans="41:48" x14ac:dyDescent="0.35">
      <c r="AO1595"/>
      <c r="AP1595"/>
      <c r="AQ1595"/>
      <c r="AR1595"/>
      <c r="AS1595"/>
      <c r="AT1595"/>
      <c r="AU1595"/>
      <c r="AV1595"/>
    </row>
    <row r="1596" spans="41:48" x14ac:dyDescent="0.35">
      <c r="AO1596"/>
      <c r="AP1596"/>
      <c r="AQ1596"/>
      <c r="AR1596"/>
      <c r="AS1596"/>
      <c r="AT1596"/>
      <c r="AU1596"/>
      <c r="AV1596"/>
    </row>
    <row r="1597" spans="41:48" x14ac:dyDescent="0.35">
      <c r="AO1597"/>
      <c r="AP1597"/>
      <c r="AQ1597"/>
      <c r="AR1597"/>
      <c r="AS1597"/>
      <c r="AT1597"/>
      <c r="AU1597"/>
      <c r="AV1597"/>
    </row>
    <row r="1598" spans="41:48" x14ac:dyDescent="0.35">
      <c r="AO1598"/>
      <c r="AP1598"/>
      <c r="AQ1598"/>
      <c r="AR1598"/>
      <c r="AS1598"/>
      <c r="AT1598"/>
      <c r="AU1598"/>
      <c r="AV1598"/>
    </row>
    <row r="1599" spans="41:48" x14ac:dyDescent="0.35">
      <c r="AO1599"/>
      <c r="AP1599"/>
      <c r="AQ1599"/>
      <c r="AR1599"/>
      <c r="AS1599"/>
      <c r="AT1599"/>
      <c r="AU1599"/>
      <c r="AV1599"/>
    </row>
    <row r="1600" spans="41:48" x14ac:dyDescent="0.35">
      <c r="AO1600"/>
      <c r="AP1600"/>
      <c r="AQ1600"/>
      <c r="AR1600"/>
      <c r="AS1600"/>
      <c r="AT1600"/>
      <c r="AU1600"/>
      <c r="AV1600"/>
    </row>
    <row r="1601" spans="41:48" x14ac:dyDescent="0.35">
      <c r="AO1601"/>
      <c r="AP1601"/>
      <c r="AQ1601"/>
      <c r="AR1601"/>
      <c r="AS1601"/>
      <c r="AT1601"/>
      <c r="AU1601"/>
      <c r="AV1601"/>
    </row>
    <row r="1602" spans="41:48" x14ac:dyDescent="0.35">
      <c r="AO1602"/>
      <c r="AP1602"/>
      <c r="AQ1602"/>
      <c r="AR1602"/>
      <c r="AS1602"/>
      <c r="AT1602"/>
      <c r="AU1602"/>
      <c r="AV1602"/>
    </row>
    <row r="1603" spans="41:48" x14ac:dyDescent="0.35">
      <c r="AO1603"/>
      <c r="AP1603"/>
      <c r="AQ1603"/>
      <c r="AR1603"/>
      <c r="AS1603"/>
      <c r="AT1603"/>
      <c r="AU1603"/>
      <c r="AV1603"/>
    </row>
    <row r="1604" spans="41:48" x14ac:dyDescent="0.35">
      <c r="AO1604"/>
      <c r="AP1604"/>
      <c r="AQ1604"/>
      <c r="AR1604"/>
      <c r="AS1604"/>
      <c r="AT1604"/>
      <c r="AU1604"/>
      <c r="AV1604"/>
    </row>
    <row r="1605" spans="41:48" x14ac:dyDescent="0.35">
      <c r="AO1605"/>
      <c r="AP1605"/>
      <c r="AQ1605"/>
      <c r="AR1605"/>
      <c r="AS1605"/>
      <c r="AT1605"/>
      <c r="AU1605"/>
      <c r="AV1605"/>
    </row>
    <row r="1606" spans="41:48" x14ac:dyDescent="0.35">
      <c r="AO1606"/>
      <c r="AP1606"/>
      <c r="AQ1606"/>
      <c r="AR1606"/>
      <c r="AS1606"/>
      <c r="AT1606"/>
      <c r="AU1606"/>
      <c r="AV1606"/>
    </row>
    <row r="1607" spans="41:48" x14ac:dyDescent="0.35">
      <c r="AO1607"/>
      <c r="AP1607"/>
      <c r="AQ1607"/>
      <c r="AR1607"/>
      <c r="AS1607"/>
      <c r="AT1607"/>
      <c r="AU1607"/>
      <c r="AV1607"/>
    </row>
    <row r="1608" spans="41:48" x14ac:dyDescent="0.35">
      <c r="AO1608"/>
      <c r="AP1608"/>
      <c r="AQ1608"/>
      <c r="AR1608"/>
      <c r="AS1608"/>
      <c r="AT1608"/>
      <c r="AU1608"/>
      <c r="AV1608"/>
    </row>
    <row r="1609" spans="41:48" x14ac:dyDescent="0.35">
      <c r="AO1609"/>
      <c r="AP1609"/>
      <c r="AQ1609"/>
      <c r="AR1609"/>
      <c r="AS1609"/>
      <c r="AT1609"/>
      <c r="AU1609"/>
      <c r="AV1609"/>
    </row>
    <row r="1610" spans="41:48" x14ac:dyDescent="0.35">
      <c r="AO1610"/>
      <c r="AP1610"/>
      <c r="AQ1610"/>
      <c r="AR1610"/>
      <c r="AS1610"/>
      <c r="AT1610"/>
      <c r="AU1610"/>
      <c r="AV1610"/>
    </row>
    <row r="1611" spans="41:48" x14ac:dyDescent="0.35">
      <c r="AO1611"/>
      <c r="AP1611"/>
      <c r="AQ1611"/>
      <c r="AR1611"/>
      <c r="AS1611"/>
      <c r="AT1611"/>
      <c r="AU1611"/>
      <c r="AV1611"/>
    </row>
    <row r="1612" spans="41:48" x14ac:dyDescent="0.35">
      <c r="AO1612"/>
      <c r="AP1612"/>
      <c r="AQ1612"/>
      <c r="AR1612"/>
      <c r="AS1612"/>
      <c r="AT1612"/>
      <c r="AU1612"/>
      <c r="AV1612"/>
    </row>
    <row r="1613" spans="41:48" x14ac:dyDescent="0.35">
      <c r="AO1613"/>
      <c r="AP1613"/>
      <c r="AQ1613"/>
      <c r="AR1613"/>
      <c r="AS1613"/>
      <c r="AT1613"/>
      <c r="AU1613"/>
      <c r="AV1613"/>
    </row>
    <row r="1614" spans="41:48" x14ac:dyDescent="0.35">
      <c r="AO1614"/>
      <c r="AP1614"/>
      <c r="AQ1614"/>
      <c r="AR1614"/>
      <c r="AS1614"/>
      <c r="AT1614"/>
      <c r="AU1614"/>
      <c r="AV1614"/>
    </row>
    <row r="1615" spans="41:48" x14ac:dyDescent="0.35">
      <c r="AO1615"/>
      <c r="AP1615"/>
      <c r="AQ1615"/>
      <c r="AR1615"/>
      <c r="AS1615"/>
      <c r="AT1615"/>
      <c r="AU1615"/>
      <c r="AV1615"/>
    </row>
    <row r="1616" spans="41:48" x14ac:dyDescent="0.35">
      <c r="AO1616"/>
      <c r="AP1616"/>
      <c r="AQ1616"/>
      <c r="AR1616"/>
      <c r="AS1616"/>
      <c r="AT1616"/>
      <c r="AU1616"/>
      <c r="AV1616"/>
    </row>
    <row r="1617" spans="41:48" x14ac:dyDescent="0.35">
      <c r="AO1617"/>
      <c r="AP1617"/>
      <c r="AQ1617"/>
      <c r="AR1617"/>
      <c r="AS1617"/>
      <c r="AT1617"/>
      <c r="AU1617"/>
      <c r="AV1617"/>
    </row>
    <row r="1618" spans="41:48" x14ac:dyDescent="0.35">
      <c r="AO1618"/>
      <c r="AP1618"/>
      <c r="AQ1618"/>
      <c r="AR1618"/>
      <c r="AS1618"/>
      <c r="AT1618"/>
      <c r="AU1618"/>
      <c r="AV1618"/>
    </row>
    <row r="1619" spans="41:48" x14ac:dyDescent="0.35">
      <c r="AO1619"/>
      <c r="AP1619"/>
      <c r="AQ1619"/>
      <c r="AR1619"/>
      <c r="AS1619"/>
      <c r="AT1619"/>
      <c r="AU1619"/>
      <c r="AV1619"/>
    </row>
    <row r="1620" spans="41:48" x14ac:dyDescent="0.35">
      <c r="AO1620"/>
      <c r="AP1620"/>
      <c r="AQ1620"/>
      <c r="AR1620"/>
      <c r="AS1620"/>
      <c r="AT1620"/>
      <c r="AU1620"/>
      <c r="AV1620"/>
    </row>
    <row r="1621" spans="41:48" x14ac:dyDescent="0.35">
      <c r="AO1621"/>
      <c r="AP1621"/>
      <c r="AQ1621"/>
      <c r="AR1621"/>
      <c r="AS1621"/>
      <c r="AT1621"/>
      <c r="AU1621"/>
      <c r="AV1621"/>
    </row>
    <row r="1622" spans="41:48" x14ac:dyDescent="0.35">
      <c r="AO1622"/>
      <c r="AP1622"/>
      <c r="AQ1622"/>
      <c r="AR1622"/>
      <c r="AS1622"/>
      <c r="AT1622"/>
      <c r="AU1622"/>
      <c r="AV1622"/>
    </row>
    <row r="1623" spans="41:48" x14ac:dyDescent="0.35">
      <c r="AO1623"/>
      <c r="AP1623"/>
      <c r="AQ1623"/>
      <c r="AR1623"/>
      <c r="AS1623"/>
      <c r="AT1623"/>
      <c r="AU1623"/>
      <c r="AV1623"/>
    </row>
    <row r="1624" spans="41:48" x14ac:dyDescent="0.35">
      <c r="AO1624"/>
      <c r="AP1624"/>
      <c r="AQ1624"/>
      <c r="AR1624"/>
      <c r="AS1624"/>
      <c r="AT1624"/>
      <c r="AU1624"/>
      <c r="AV1624"/>
    </row>
    <row r="1625" spans="41:48" x14ac:dyDescent="0.35">
      <c r="AO1625"/>
      <c r="AP1625"/>
      <c r="AQ1625"/>
      <c r="AR1625"/>
      <c r="AS1625"/>
      <c r="AT1625"/>
      <c r="AU1625"/>
      <c r="AV1625"/>
    </row>
    <row r="1626" spans="41:48" x14ac:dyDescent="0.35">
      <c r="AO1626"/>
      <c r="AP1626"/>
      <c r="AQ1626"/>
      <c r="AR1626"/>
      <c r="AS1626"/>
      <c r="AT1626"/>
      <c r="AU1626"/>
      <c r="AV1626"/>
    </row>
    <row r="1627" spans="41:48" x14ac:dyDescent="0.35">
      <c r="AO1627"/>
      <c r="AP1627"/>
      <c r="AQ1627"/>
      <c r="AR1627"/>
      <c r="AS1627"/>
      <c r="AT1627"/>
      <c r="AU1627"/>
      <c r="AV1627"/>
    </row>
    <row r="1628" spans="41:48" x14ac:dyDescent="0.35">
      <c r="AO1628"/>
      <c r="AP1628"/>
      <c r="AQ1628"/>
      <c r="AR1628"/>
      <c r="AS1628"/>
      <c r="AT1628"/>
      <c r="AU1628"/>
      <c r="AV1628"/>
    </row>
    <row r="1629" spans="41:48" x14ac:dyDescent="0.35">
      <c r="AO1629"/>
      <c r="AP1629"/>
      <c r="AQ1629"/>
      <c r="AR1629"/>
      <c r="AS1629"/>
      <c r="AT1629"/>
      <c r="AU1629"/>
      <c r="AV1629"/>
    </row>
    <row r="1630" spans="41:48" x14ac:dyDescent="0.35">
      <c r="AO1630"/>
      <c r="AP1630"/>
      <c r="AQ1630"/>
      <c r="AR1630"/>
      <c r="AS1630"/>
      <c r="AT1630"/>
      <c r="AU1630"/>
      <c r="AV1630"/>
    </row>
    <row r="1631" spans="41:48" x14ac:dyDescent="0.35">
      <c r="AO1631"/>
      <c r="AP1631"/>
      <c r="AQ1631"/>
      <c r="AR1631"/>
      <c r="AS1631"/>
      <c r="AT1631"/>
      <c r="AU1631"/>
      <c r="AV1631"/>
    </row>
    <row r="1632" spans="41:48" x14ac:dyDescent="0.35">
      <c r="AO1632"/>
      <c r="AP1632"/>
      <c r="AQ1632"/>
      <c r="AR1632"/>
      <c r="AS1632"/>
      <c r="AT1632"/>
      <c r="AU1632"/>
      <c r="AV1632"/>
    </row>
    <row r="1633" spans="41:48" x14ac:dyDescent="0.35">
      <c r="AO1633"/>
      <c r="AP1633"/>
      <c r="AQ1633"/>
      <c r="AR1633"/>
      <c r="AS1633"/>
      <c r="AT1633"/>
      <c r="AU1633"/>
      <c r="AV1633"/>
    </row>
    <row r="1634" spans="41:48" x14ac:dyDescent="0.35">
      <c r="AO1634"/>
      <c r="AP1634"/>
      <c r="AQ1634"/>
      <c r="AR1634"/>
      <c r="AS1634"/>
      <c r="AT1634"/>
      <c r="AU1634"/>
      <c r="AV1634"/>
    </row>
    <row r="1635" spans="41:48" x14ac:dyDescent="0.35">
      <c r="AO1635"/>
      <c r="AP1635"/>
      <c r="AQ1635"/>
      <c r="AR1635"/>
      <c r="AS1635"/>
      <c r="AT1635"/>
      <c r="AU1635"/>
      <c r="AV1635"/>
    </row>
    <row r="1636" spans="41:48" x14ac:dyDescent="0.35">
      <c r="AO1636"/>
      <c r="AP1636"/>
      <c r="AQ1636"/>
      <c r="AR1636"/>
      <c r="AS1636"/>
      <c r="AT1636"/>
      <c r="AU1636"/>
      <c r="AV1636"/>
    </row>
    <row r="1637" spans="41:48" x14ac:dyDescent="0.35">
      <c r="AO1637"/>
      <c r="AP1637"/>
      <c r="AQ1637"/>
      <c r="AR1637"/>
      <c r="AS1637"/>
      <c r="AT1637"/>
      <c r="AU1637"/>
      <c r="AV1637"/>
    </row>
    <row r="1638" spans="41:48" x14ac:dyDescent="0.35">
      <c r="AO1638"/>
      <c r="AP1638"/>
      <c r="AQ1638"/>
      <c r="AR1638"/>
      <c r="AS1638"/>
      <c r="AT1638"/>
      <c r="AU1638"/>
      <c r="AV1638"/>
    </row>
    <row r="1639" spans="41:48" x14ac:dyDescent="0.35">
      <c r="AO1639"/>
      <c r="AP1639"/>
      <c r="AQ1639"/>
      <c r="AR1639"/>
      <c r="AS1639"/>
      <c r="AT1639"/>
      <c r="AU1639"/>
      <c r="AV1639"/>
    </row>
    <row r="1640" spans="41:48" x14ac:dyDescent="0.35">
      <c r="AO1640"/>
      <c r="AP1640"/>
      <c r="AQ1640"/>
      <c r="AR1640"/>
      <c r="AS1640"/>
      <c r="AT1640"/>
      <c r="AU1640"/>
      <c r="AV1640"/>
    </row>
    <row r="1641" spans="41:48" x14ac:dyDescent="0.35">
      <c r="AO1641"/>
      <c r="AP1641"/>
      <c r="AQ1641"/>
      <c r="AR1641"/>
      <c r="AS1641"/>
      <c r="AT1641"/>
      <c r="AU1641"/>
      <c r="AV1641"/>
    </row>
    <row r="1642" spans="41:48" x14ac:dyDescent="0.35">
      <c r="AO1642"/>
      <c r="AP1642"/>
      <c r="AQ1642"/>
      <c r="AR1642"/>
      <c r="AS1642"/>
      <c r="AT1642"/>
      <c r="AU1642"/>
      <c r="AV1642"/>
    </row>
    <row r="1643" spans="41:48" x14ac:dyDescent="0.35">
      <c r="AO1643"/>
      <c r="AP1643"/>
      <c r="AQ1643"/>
      <c r="AR1643"/>
      <c r="AS1643"/>
      <c r="AT1643"/>
      <c r="AU1643"/>
      <c r="AV1643"/>
    </row>
    <row r="1644" spans="41:48" x14ac:dyDescent="0.35">
      <c r="AO1644"/>
      <c r="AP1644"/>
      <c r="AQ1644"/>
      <c r="AR1644"/>
      <c r="AS1644"/>
      <c r="AT1644"/>
      <c r="AU1644"/>
      <c r="AV1644"/>
    </row>
    <row r="1645" spans="41:48" x14ac:dyDescent="0.35">
      <c r="AO1645"/>
      <c r="AP1645"/>
      <c r="AQ1645"/>
      <c r="AR1645"/>
      <c r="AS1645"/>
      <c r="AT1645"/>
      <c r="AU1645"/>
      <c r="AV1645"/>
    </row>
    <row r="1646" spans="41:48" x14ac:dyDescent="0.35">
      <c r="AO1646"/>
      <c r="AP1646"/>
      <c r="AQ1646"/>
      <c r="AR1646"/>
      <c r="AS1646"/>
      <c r="AT1646"/>
      <c r="AU1646"/>
      <c r="AV1646"/>
    </row>
    <row r="1647" spans="41:48" x14ac:dyDescent="0.35">
      <c r="AO1647"/>
      <c r="AP1647"/>
      <c r="AQ1647"/>
      <c r="AR1647"/>
      <c r="AS1647"/>
      <c r="AT1647"/>
      <c r="AU1647"/>
      <c r="AV1647"/>
    </row>
    <row r="1648" spans="41:48" x14ac:dyDescent="0.35">
      <c r="AO1648"/>
      <c r="AP1648"/>
      <c r="AQ1648"/>
      <c r="AR1648"/>
      <c r="AS1648"/>
      <c r="AT1648"/>
      <c r="AU1648"/>
      <c r="AV1648"/>
    </row>
    <row r="1649" spans="41:48" x14ac:dyDescent="0.35">
      <c r="AO1649"/>
      <c r="AP1649"/>
      <c r="AQ1649"/>
      <c r="AR1649"/>
      <c r="AS1649"/>
      <c r="AT1649"/>
      <c r="AU1649"/>
      <c r="AV1649"/>
    </row>
    <row r="1650" spans="41:48" x14ac:dyDescent="0.35">
      <c r="AO1650"/>
      <c r="AP1650"/>
      <c r="AQ1650"/>
      <c r="AR1650"/>
      <c r="AS1650"/>
      <c r="AT1650"/>
      <c r="AU1650"/>
      <c r="AV1650"/>
    </row>
    <row r="1651" spans="41:48" x14ac:dyDescent="0.35">
      <c r="AO1651"/>
      <c r="AP1651"/>
      <c r="AQ1651"/>
      <c r="AR1651"/>
      <c r="AS1651"/>
      <c r="AT1651"/>
      <c r="AU1651"/>
      <c r="AV1651"/>
    </row>
    <row r="1652" spans="41:48" x14ac:dyDescent="0.35">
      <c r="AO1652"/>
      <c r="AP1652"/>
      <c r="AQ1652"/>
      <c r="AR1652"/>
      <c r="AS1652"/>
      <c r="AT1652"/>
      <c r="AU1652"/>
      <c r="AV1652"/>
    </row>
    <row r="1653" spans="41:48" x14ac:dyDescent="0.35">
      <c r="AO1653"/>
      <c r="AP1653"/>
      <c r="AQ1653"/>
      <c r="AR1653"/>
      <c r="AS1653"/>
      <c r="AT1653"/>
      <c r="AU1653"/>
      <c r="AV1653"/>
    </row>
    <row r="1654" spans="41:48" x14ac:dyDescent="0.35">
      <c r="AO1654"/>
      <c r="AP1654"/>
      <c r="AQ1654"/>
      <c r="AR1654"/>
      <c r="AS1654"/>
      <c r="AT1654"/>
      <c r="AU1654"/>
      <c r="AV1654"/>
    </row>
    <row r="1655" spans="41:48" x14ac:dyDescent="0.35">
      <c r="AO1655"/>
      <c r="AP1655"/>
      <c r="AQ1655"/>
      <c r="AR1655"/>
      <c r="AS1655"/>
      <c r="AT1655"/>
      <c r="AU1655"/>
      <c r="AV1655"/>
    </row>
    <row r="1656" spans="41:48" x14ac:dyDescent="0.35">
      <c r="AO1656"/>
      <c r="AP1656"/>
      <c r="AQ1656"/>
      <c r="AR1656"/>
      <c r="AS1656"/>
      <c r="AT1656"/>
      <c r="AU1656"/>
      <c r="AV1656"/>
    </row>
    <row r="1657" spans="41:48" x14ac:dyDescent="0.35">
      <c r="AO1657"/>
      <c r="AP1657"/>
      <c r="AQ1657"/>
      <c r="AR1657"/>
      <c r="AS1657"/>
      <c r="AT1657"/>
      <c r="AU1657"/>
      <c r="AV1657"/>
    </row>
    <row r="1658" spans="41:48" x14ac:dyDescent="0.35">
      <c r="AO1658"/>
      <c r="AP1658"/>
      <c r="AQ1658"/>
      <c r="AR1658"/>
      <c r="AS1658"/>
      <c r="AT1658"/>
      <c r="AU1658"/>
      <c r="AV1658"/>
    </row>
    <row r="1659" spans="41:48" x14ac:dyDescent="0.35">
      <c r="AO1659"/>
      <c r="AP1659"/>
      <c r="AQ1659"/>
      <c r="AR1659"/>
      <c r="AS1659"/>
      <c r="AT1659"/>
      <c r="AU1659"/>
      <c r="AV1659"/>
    </row>
    <row r="1660" spans="41:48" x14ac:dyDescent="0.35">
      <c r="AO1660"/>
      <c r="AP1660"/>
      <c r="AQ1660"/>
      <c r="AR1660"/>
      <c r="AS1660"/>
      <c r="AT1660"/>
      <c r="AU1660"/>
      <c r="AV1660"/>
    </row>
    <row r="1661" spans="41:48" x14ac:dyDescent="0.35">
      <c r="AO1661"/>
      <c r="AP1661"/>
      <c r="AQ1661"/>
      <c r="AR1661"/>
      <c r="AS1661"/>
      <c r="AT1661"/>
      <c r="AU1661"/>
      <c r="AV1661"/>
    </row>
    <row r="1662" spans="41:48" x14ac:dyDescent="0.35">
      <c r="AO1662"/>
      <c r="AP1662"/>
      <c r="AQ1662"/>
      <c r="AR1662"/>
      <c r="AS1662"/>
      <c r="AT1662"/>
      <c r="AU1662"/>
      <c r="AV1662"/>
    </row>
    <row r="1663" spans="41:48" x14ac:dyDescent="0.35">
      <c r="AO1663"/>
      <c r="AP1663"/>
      <c r="AQ1663"/>
      <c r="AR1663"/>
      <c r="AS1663"/>
      <c r="AT1663"/>
      <c r="AU1663"/>
      <c r="AV1663"/>
    </row>
    <row r="1664" spans="41:48" x14ac:dyDescent="0.35">
      <c r="AO1664"/>
      <c r="AP1664"/>
      <c r="AQ1664"/>
      <c r="AR1664"/>
      <c r="AS1664"/>
      <c r="AT1664"/>
      <c r="AU1664"/>
      <c r="AV1664"/>
    </row>
    <row r="1665" spans="41:48" x14ac:dyDescent="0.35">
      <c r="AO1665"/>
      <c r="AP1665"/>
      <c r="AQ1665"/>
      <c r="AR1665"/>
      <c r="AS1665"/>
      <c r="AT1665"/>
      <c r="AU1665"/>
      <c r="AV1665"/>
    </row>
    <row r="1666" spans="41:48" x14ac:dyDescent="0.35">
      <c r="AO1666"/>
      <c r="AP1666"/>
      <c r="AQ1666"/>
      <c r="AR1666"/>
      <c r="AS1666"/>
      <c r="AT1666"/>
      <c r="AU1666"/>
      <c r="AV1666"/>
    </row>
    <row r="1667" spans="41:48" x14ac:dyDescent="0.35">
      <c r="AO1667"/>
      <c r="AP1667"/>
      <c r="AQ1667"/>
      <c r="AR1667"/>
      <c r="AS1667"/>
      <c r="AT1667"/>
      <c r="AU1667"/>
      <c r="AV1667"/>
    </row>
    <row r="1668" spans="41:48" x14ac:dyDescent="0.35">
      <c r="AO1668"/>
      <c r="AP1668"/>
      <c r="AQ1668"/>
      <c r="AR1668"/>
      <c r="AS1668"/>
      <c r="AT1668"/>
      <c r="AU1668"/>
      <c r="AV1668"/>
    </row>
    <row r="1669" spans="41:48" x14ac:dyDescent="0.35">
      <c r="AO1669"/>
      <c r="AP1669"/>
      <c r="AQ1669"/>
      <c r="AR1669"/>
      <c r="AS1669"/>
      <c r="AT1669"/>
      <c r="AU1669"/>
      <c r="AV1669"/>
    </row>
    <row r="1670" spans="41:48" x14ac:dyDescent="0.35">
      <c r="AO1670"/>
      <c r="AP1670"/>
      <c r="AQ1670"/>
      <c r="AR1670"/>
      <c r="AS1670"/>
      <c r="AT1670"/>
      <c r="AU1670"/>
      <c r="AV1670"/>
    </row>
    <row r="1671" spans="41:48" x14ac:dyDescent="0.35">
      <c r="AO1671"/>
      <c r="AP1671"/>
      <c r="AQ1671"/>
      <c r="AR1671"/>
      <c r="AS1671"/>
      <c r="AT1671"/>
      <c r="AU1671"/>
      <c r="AV1671"/>
    </row>
    <row r="1672" spans="41:48" x14ac:dyDescent="0.35">
      <c r="AO1672"/>
      <c r="AP1672"/>
      <c r="AQ1672"/>
      <c r="AR1672"/>
      <c r="AS1672"/>
      <c r="AT1672"/>
      <c r="AU1672"/>
      <c r="AV1672"/>
    </row>
    <row r="1673" spans="41:48" x14ac:dyDescent="0.35">
      <c r="AO1673"/>
      <c r="AP1673"/>
      <c r="AQ1673"/>
      <c r="AR1673"/>
      <c r="AS1673"/>
      <c r="AT1673"/>
      <c r="AU1673"/>
      <c r="AV1673"/>
    </row>
    <row r="1674" spans="41:48" x14ac:dyDescent="0.35">
      <c r="AO1674"/>
      <c r="AP1674"/>
      <c r="AQ1674"/>
      <c r="AR1674"/>
      <c r="AS1674"/>
      <c r="AT1674"/>
      <c r="AU1674"/>
      <c r="AV1674"/>
    </row>
    <row r="1675" spans="41:48" x14ac:dyDescent="0.35">
      <c r="AO1675"/>
      <c r="AP1675"/>
      <c r="AQ1675"/>
      <c r="AR1675"/>
      <c r="AS1675"/>
      <c r="AT1675"/>
      <c r="AU1675"/>
      <c r="AV1675"/>
    </row>
    <row r="1676" spans="41:48" x14ac:dyDescent="0.35">
      <c r="AO1676"/>
      <c r="AP1676"/>
      <c r="AQ1676"/>
      <c r="AR1676"/>
      <c r="AS1676"/>
      <c r="AT1676"/>
      <c r="AU1676"/>
      <c r="AV1676"/>
    </row>
    <row r="1677" spans="41:48" x14ac:dyDescent="0.35">
      <c r="AO1677"/>
      <c r="AP1677"/>
      <c r="AQ1677"/>
      <c r="AR1677"/>
      <c r="AS1677"/>
      <c r="AT1677"/>
      <c r="AU1677"/>
      <c r="AV1677"/>
    </row>
    <row r="1678" spans="41:48" x14ac:dyDescent="0.35">
      <c r="AO1678"/>
      <c r="AP1678"/>
      <c r="AQ1678"/>
      <c r="AR1678"/>
      <c r="AS1678"/>
      <c r="AT1678"/>
      <c r="AU1678"/>
      <c r="AV1678"/>
    </row>
    <row r="1679" spans="41:48" x14ac:dyDescent="0.35">
      <c r="AO1679"/>
      <c r="AP1679"/>
      <c r="AQ1679"/>
      <c r="AR1679"/>
      <c r="AS1679"/>
      <c r="AT1679"/>
      <c r="AU1679"/>
      <c r="AV1679"/>
    </row>
    <row r="1680" spans="41:48" x14ac:dyDescent="0.35">
      <c r="AO1680"/>
      <c r="AP1680"/>
      <c r="AQ1680"/>
      <c r="AR1680"/>
      <c r="AS1680"/>
      <c r="AT1680"/>
      <c r="AU1680"/>
      <c r="AV1680"/>
    </row>
    <row r="1681" spans="41:48" x14ac:dyDescent="0.35">
      <c r="AO1681"/>
      <c r="AP1681"/>
      <c r="AQ1681"/>
      <c r="AR1681"/>
      <c r="AS1681"/>
      <c r="AT1681"/>
      <c r="AU1681"/>
      <c r="AV1681"/>
    </row>
    <row r="1682" spans="41:48" x14ac:dyDescent="0.35">
      <c r="AO1682"/>
      <c r="AP1682"/>
      <c r="AQ1682"/>
      <c r="AR1682"/>
      <c r="AS1682"/>
      <c r="AT1682"/>
      <c r="AU1682"/>
      <c r="AV1682"/>
    </row>
    <row r="1683" spans="41:48" x14ac:dyDescent="0.35">
      <c r="AO1683"/>
      <c r="AP1683"/>
      <c r="AQ1683"/>
      <c r="AR1683"/>
      <c r="AS1683"/>
      <c r="AT1683"/>
      <c r="AU1683"/>
      <c r="AV1683"/>
    </row>
    <row r="1684" spans="41:48" x14ac:dyDescent="0.35">
      <c r="AO1684"/>
      <c r="AP1684"/>
      <c r="AQ1684"/>
      <c r="AR1684"/>
      <c r="AS1684"/>
      <c r="AT1684"/>
      <c r="AU1684"/>
      <c r="AV1684"/>
    </row>
    <row r="1685" spans="41:48" x14ac:dyDescent="0.35">
      <c r="AO1685"/>
      <c r="AP1685"/>
      <c r="AQ1685"/>
      <c r="AR1685"/>
      <c r="AS1685"/>
      <c r="AT1685"/>
      <c r="AU1685"/>
      <c r="AV1685"/>
    </row>
    <row r="1686" spans="41:48" x14ac:dyDescent="0.35">
      <c r="AO1686"/>
      <c r="AP1686"/>
      <c r="AQ1686"/>
      <c r="AR1686"/>
      <c r="AS1686"/>
      <c r="AT1686"/>
      <c r="AU1686"/>
      <c r="AV1686"/>
    </row>
    <row r="1687" spans="41:48" x14ac:dyDescent="0.35">
      <c r="AO1687"/>
      <c r="AP1687"/>
      <c r="AQ1687"/>
      <c r="AR1687"/>
      <c r="AS1687"/>
      <c r="AT1687"/>
      <c r="AU1687"/>
      <c r="AV1687"/>
    </row>
    <row r="1688" spans="41:48" x14ac:dyDescent="0.35">
      <c r="AO1688"/>
      <c r="AP1688"/>
      <c r="AQ1688"/>
      <c r="AR1688"/>
      <c r="AS1688"/>
      <c r="AT1688"/>
      <c r="AU1688"/>
      <c r="AV1688"/>
    </row>
    <row r="1689" spans="41:48" x14ac:dyDescent="0.35">
      <c r="AO1689"/>
      <c r="AP1689"/>
      <c r="AQ1689"/>
      <c r="AR1689"/>
      <c r="AS1689"/>
      <c r="AT1689"/>
      <c r="AU1689"/>
      <c r="AV1689"/>
    </row>
    <row r="1690" spans="41:48" x14ac:dyDescent="0.35">
      <c r="AO1690"/>
      <c r="AP1690"/>
      <c r="AQ1690"/>
      <c r="AR1690"/>
      <c r="AS1690"/>
      <c r="AT1690"/>
      <c r="AU1690"/>
      <c r="AV1690"/>
    </row>
    <row r="1691" spans="41:48" x14ac:dyDescent="0.35">
      <c r="AO1691"/>
      <c r="AP1691"/>
      <c r="AQ1691"/>
      <c r="AR1691"/>
      <c r="AS1691"/>
      <c r="AT1691"/>
      <c r="AU1691"/>
      <c r="AV1691"/>
    </row>
    <row r="1692" spans="41:48" x14ac:dyDescent="0.35">
      <c r="AO1692"/>
      <c r="AP1692"/>
      <c r="AQ1692"/>
      <c r="AR1692"/>
      <c r="AS1692"/>
      <c r="AT1692"/>
      <c r="AU1692"/>
      <c r="AV1692"/>
    </row>
    <row r="1693" spans="41:48" x14ac:dyDescent="0.35">
      <c r="AO1693"/>
      <c r="AP1693"/>
      <c r="AQ1693"/>
      <c r="AR1693"/>
      <c r="AS1693"/>
      <c r="AT1693"/>
      <c r="AU1693"/>
      <c r="AV1693"/>
    </row>
    <row r="1694" spans="41:48" x14ac:dyDescent="0.35">
      <c r="AO1694"/>
      <c r="AP1694"/>
      <c r="AQ1694"/>
      <c r="AR1694"/>
      <c r="AS1694"/>
      <c r="AT1694"/>
      <c r="AU1694"/>
      <c r="AV1694"/>
    </row>
    <row r="1695" spans="41:48" x14ac:dyDescent="0.35">
      <c r="AO1695"/>
      <c r="AP1695"/>
      <c r="AQ1695"/>
      <c r="AR1695"/>
      <c r="AS1695"/>
      <c r="AT1695"/>
      <c r="AU1695"/>
      <c r="AV1695"/>
    </row>
    <row r="1696" spans="41:48" x14ac:dyDescent="0.35">
      <c r="AO1696"/>
      <c r="AP1696"/>
      <c r="AQ1696"/>
      <c r="AR1696"/>
      <c r="AS1696"/>
      <c r="AT1696"/>
      <c r="AU1696"/>
      <c r="AV1696"/>
    </row>
    <row r="1697" spans="41:48" x14ac:dyDescent="0.35">
      <c r="AO1697"/>
      <c r="AP1697"/>
      <c r="AQ1697"/>
      <c r="AR1697"/>
      <c r="AS1697"/>
      <c r="AT1697"/>
      <c r="AU1697"/>
      <c r="AV1697"/>
    </row>
    <row r="1698" spans="41:48" x14ac:dyDescent="0.35">
      <c r="AO1698"/>
      <c r="AP1698"/>
      <c r="AQ1698"/>
      <c r="AR1698"/>
      <c r="AS1698"/>
      <c r="AT1698"/>
      <c r="AU1698"/>
      <c r="AV1698"/>
    </row>
    <row r="1699" spans="41:48" x14ac:dyDescent="0.35">
      <c r="AO1699"/>
      <c r="AP1699"/>
      <c r="AQ1699"/>
      <c r="AR1699"/>
      <c r="AS1699"/>
      <c r="AT1699"/>
      <c r="AU1699"/>
      <c r="AV1699"/>
    </row>
    <row r="1700" spans="41:48" x14ac:dyDescent="0.35">
      <c r="AO1700"/>
      <c r="AP1700"/>
      <c r="AQ1700"/>
      <c r="AR1700"/>
      <c r="AS1700"/>
      <c r="AT1700"/>
      <c r="AU1700"/>
      <c r="AV1700"/>
    </row>
    <row r="1701" spans="41:48" x14ac:dyDescent="0.35">
      <c r="AO1701"/>
      <c r="AP1701"/>
      <c r="AQ1701"/>
      <c r="AR1701"/>
      <c r="AS1701"/>
      <c r="AT1701"/>
      <c r="AU1701"/>
      <c r="AV1701"/>
    </row>
    <row r="1702" spans="41:48" x14ac:dyDescent="0.35">
      <c r="AO1702"/>
      <c r="AP1702"/>
      <c r="AQ1702"/>
      <c r="AR1702"/>
      <c r="AS1702"/>
      <c r="AT1702"/>
      <c r="AU1702"/>
      <c r="AV1702"/>
    </row>
    <row r="1703" spans="41:48" x14ac:dyDescent="0.35">
      <c r="AO1703"/>
      <c r="AP1703"/>
      <c r="AQ1703"/>
      <c r="AR1703"/>
      <c r="AS1703"/>
      <c r="AT1703"/>
      <c r="AU1703"/>
      <c r="AV1703"/>
    </row>
    <row r="1704" spans="41:48" x14ac:dyDescent="0.35">
      <c r="AO1704"/>
      <c r="AP1704"/>
      <c r="AQ1704"/>
      <c r="AR1704"/>
      <c r="AS1704"/>
      <c r="AT1704"/>
      <c r="AU1704"/>
      <c r="AV1704"/>
    </row>
    <row r="1705" spans="41:48" x14ac:dyDescent="0.35">
      <c r="AO1705"/>
      <c r="AP1705"/>
      <c r="AQ1705"/>
      <c r="AR1705"/>
      <c r="AS1705"/>
      <c r="AT1705"/>
      <c r="AU1705"/>
      <c r="AV1705"/>
    </row>
    <row r="1706" spans="41:48" x14ac:dyDescent="0.35">
      <c r="AO1706"/>
      <c r="AP1706"/>
      <c r="AQ1706"/>
      <c r="AR1706"/>
      <c r="AS1706"/>
      <c r="AT1706"/>
      <c r="AU1706"/>
      <c r="AV1706"/>
    </row>
    <row r="1707" spans="41:48" x14ac:dyDescent="0.35">
      <c r="AO1707"/>
      <c r="AP1707"/>
      <c r="AQ1707"/>
      <c r="AR1707"/>
      <c r="AS1707"/>
      <c r="AT1707"/>
      <c r="AU1707"/>
      <c r="AV1707"/>
    </row>
    <row r="1708" spans="41:48" x14ac:dyDescent="0.35">
      <c r="AO1708"/>
      <c r="AP1708"/>
      <c r="AQ1708"/>
      <c r="AR1708"/>
      <c r="AS1708"/>
      <c r="AT1708"/>
      <c r="AU1708"/>
      <c r="AV1708"/>
    </row>
    <row r="1709" spans="41:48" x14ac:dyDescent="0.35">
      <c r="AO1709"/>
      <c r="AP1709"/>
      <c r="AQ1709"/>
      <c r="AR1709"/>
      <c r="AS1709"/>
      <c r="AT1709"/>
      <c r="AU1709"/>
      <c r="AV1709"/>
    </row>
    <row r="1710" spans="41:48" x14ac:dyDescent="0.35">
      <c r="AO1710"/>
      <c r="AP1710"/>
      <c r="AQ1710"/>
      <c r="AR1710"/>
      <c r="AS1710"/>
      <c r="AT1710"/>
      <c r="AU1710"/>
      <c r="AV1710"/>
    </row>
    <row r="1711" spans="41:48" x14ac:dyDescent="0.35">
      <c r="AO1711"/>
      <c r="AP1711"/>
      <c r="AQ1711"/>
      <c r="AR1711"/>
      <c r="AS1711"/>
      <c r="AT1711"/>
      <c r="AU1711"/>
      <c r="AV1711"/>
    </row>
    <row r="1712" spans="41:48" x14ac:dyDescent="0.35">
      <c r="AO1712"/>
      <c r="AP1712"/>
      <c r="AQ1712"/>
      <c r="AR1712"/>
      <c r="AS1712"/>
      <c r="AT1712"/>
      <c r="AU1712"/>
      <c r="AV1712"/>
    </row>
    <row r="1713" spans="41:48" x14ac:dyDescent="0.35">
      <c r="AO1713"/>
      <c r="AP1713"/>
      <c r="AQ1713"/>
      <c r="AR1713"/>
      <c r="AS1713"/>
      <c r="AT1713"/>
      <c r="AU1713"/>
      <c r="AV1713"/>
    </row>
    <row r="1714" spans="41:48" x14ac:dyDescent="0.35">
      <c r="AO1714"/>
      <c r="AP1714"/>
      <c r="AQ1714"/>
      <c r="AR1714"/>
      <c r="AS1714"/>
      <c r="AT1714"/>
      <c r="AU1714"/>
      <c r="AV1714"/>
    </row>
    <row r="1715" spans="41:48" x14ac:dyDescent="0.35">
      <c r="AO1715"/>
      <c r="AP1715"/>
      <c r="AQ1715"/>
      <c r="AR1715"/>
      <c r="AS1715"/>
      <c r="AT1715"/>
      <c r="AU1715"/>
      <c r="AV1715"/>
    </row>
    <row r="1716" spans="41:48" x14ac:dyDescent="0.35">
      <c r="AO1716"/>
      <c r="AP1716"/>
      <c r="AQ1716"/>
      <c r="AR1716"/>
      <c r="AS1716"/>
      <c r="AT1716"/>
      <c r="AU1716"/>
      <c r="AV1716"/>
    </row>
    <row r="1717" spans="41:48" x14ac:dyDescent="0.35">
      <c r="AO1717"/>
      <c r="AP1717"/>
      <c r="AQ1717"/>
      <c r="AR1717"/>
      <c r="AS1717"/>
      <c r="AT1717"/>
      <c r="AU1717"/>
      <c r="AV1717"/>
    </row>
    <row r="1718" spans="41:48" x14ac:dyDescent="0.35">
      <c r="AO1718"/>
      <c r="AP1718"/>
      <c r="AQ1718"/>
      <c r="AR1718"/>
      <c r="AS1718"/>
      <c r="AT1718"/>
      <c r="AU1718"/>
      <c r="AV1718"/>
    </row>
    <row r="1719" spans="41:48" x14ac:dyDescent="0.35">
      <c r="AO1719"/>
      <c r="AP1719"/>
      <c r="AQ1719"/>
      <c r="AR1719"/>
      <c r="AS1719"/>
      <c r="AT1719"/>
      <c r="AU1719"/>
      <c r="AV1719"/>
    </row>
    <row r="1720" spans="41:48" x14ac:dyDescent="0.35">
      <c r="AO1720"/>
      <c r="AP1720"/>
      <c r="AQ1720"/>
      <c r="AR1720"/>
      <c r="AS1720"/>
      <c r="AT1720"/>
      <c r="AU1720"/>
      <c r="AV1720"/>
    </row>
    <row r="1721" spans="41:48" x14ac:dyDescent="0.35">
      <c r="AO1721"/>
      <c r="AP1721"/>
      <c r="AQ1721"/>
      <c r="AR1721"/>
      <c r="AS1721"/>
      <c r="AT1721"/>
      <c r="AU1721"/>
      <c r="AV1721"/>
    </row>
    <row r="1722" spans="41:48" x14ac:dyDescent="0.35">
      <c r="AO1722"/>
      <c r="AP1722"/>
      <c r="AQ1722"/>
      <c r="AR1722"/>
      <c r="AS1722"/>
      <c r="AT1722"/>
      <c r="AU1722"/>
      <c r="AV1722"/>
    </row>
    <row r="1723" spans="41:48" x14ac:dyDescent="0.35">
      <c r="AO1723"/>
      <c r="AP1723"/>
      <c r="AQ1723"/>
      <c r="AR1723"/>
      <c r="AS1723"/>
      <c r="AT1723"/>
      <c r="AU1723"/>
      <c r="AV1723"/>
    </row>
    <row r="1724" spans="41:48" x14ac:dyDescent="0.35">
      <c r="AO1724"/>
      <c r="AP1724"/>
      <c r="AQ1724"/>
      <c r="AR1724"/>
      <c r="AS1724"/>
      <c r="AT1724"/>
      <c r="AU1724"/>
      <c r="AV1724"/>
    </row>
    <row r="1725" spans="41:48" x14ac:dyDescent="0.35">
      <c r="AO1725"/>
      <c r="AP1725"/>
      <c r="AQ1725"/>
      <c r="AR1725"/>
      <c r="AS1725"/>
      <c r="AT1725"/>
      <c r="AU1725"/>
      <c r="AV1725"/>
    </row>
    <row r="1726" spans="41:48" x14ac:dyDescent="0.35">
      <c r="AO1726"/>
      <c r="AP1726"/>
      <c r="AQ1726"/>
      <c r="AR1726"/>
      <c r="AS1726"/>
      <c r="AT1726"/>
      <c r="AU1726"/>
      <c r="AV1726"/>
    </row>
    <row r="1727" spans="41:48" x14ac:dyDescent="0.35">
      <c r="AO1727"/>
      <c r="AP1727"/>
      <c r="AQ1727"/>
      <c r="AR1727"/>
      <c r="AS1727"/>
      <c r="AT1727"/>
      <c r="AU1727"/>
      <c r="AV1727"/>
    </row>
    <row r="1728" spans="41:48" x14ac:dyDescent="0.35">
      <c r="AO1728"/>
      <c r="AP1728"/>
      <c r="AQ1728"/>
      <c r="AR1728"/>
      <c r="AS1728"/>
      <c r="AT1728"/>
      <c r="AU1728"/>
      <c r="AV1728"/>
    </row>
    <row r="1729" spans="41:48" x14ac:dyDescent="0.35">
      <c r="AO1729"/>
      <c r="AP1729"/>
      <c r="AQ1729"/>
      <c r="AR1729"/>
      <c r="AS1729"/>
      <c r="AT1729"/>
      <c r="AU1729"/>
      <c r="AV1729"/>
    </row>
    <row r="1730" spans="41:48" x14ac:dyDescent="0.35">
      <c r="AO1730"/>
      <c r="AP1730"/>
      <c r="AQ1730"/>
      <c r="AR1730"/>
      <c r="AS1730"/>
      <c r="AT1730"/>
      <c r="AU1730"/>
      <c r="AV1730"/>
    </row>
    <row r="1731" spans="41:48" x14ac:dyDescent="0.35">
      <c r="AO1731"/>
      <c r="AP1731"/>
      <c r="AQ1731"/>
      <c r="AR1731"/>
      <c r="AS1731"/>
      <c r="AT1731"/>
      <c r="AU1731"/>
      <c r="AV1731"/>
    </row>
    <row r="1732" spans="41:48" x14ac:dyDescent="0.35">
      <c r="AO1732"/>
      <c r="AP1732"/>
      <c r="AQ1732"/>
      <c r="AR1732"/>
      <c r="AS1732"/>
      <c r="AT1732"/>
      <c r="AU1732"/>
      <c r="AV1732"/>
    </row>
    <row r="1733" spans="41:48" x14ac:dyDescent="0.35">
      <c r="AO1733"/>
      <c r="AP1733"/>
      <c r="AQ1733"/>
      <c r="AR1733"/>
      <c r="AS1733"/>
      <c r="AT1733"/>
      <c r="AU1733"/>
      <c r="AV1733"/>
    </row>
    <row r="1734" spans="41:48" x14ac:dyDescent="0.35">
      <c r="AO1734"/>
      <c r="AP1734"/>
      <c r="AQ1734"/>
      <c r="AR1734"/>
      <c r="AS1734"/>
      <c r="AT1734"/>
      <c r="AU1734"/>
      <c r="AV1734"/>
    </row>
    <row r="1735" spans="41:48" x14ac:dyDescent="0.35">
      <c r="AO1735"/>
      <c r="AP1735"/>
      <c r="AQ1735"/>
      <c r="AR1735"/>
      <c r="AS1735"/>
      <c r="AT1735"/>
      <c r="AU1735"/>
      <c r="AV1735"/>
    </row>
    <row r="1736" spans="41:48" x14ac:dyDescent="0.35">
      <c r="AO1736"/>
      <c r="AP1736"/>
      <c r="AQ1736"/>
      <c r="AR1736"/>
      <c r="AS1736"/>
      <c r="AT1736"/>
      <c r="AU1736"/>
      <c r="AV1736"/>
    </row>
    <row r="1737" spans="41:48" x14ac:dyDescent="0.35">
      <c r="AO1737"/>
      <c r="AP1737"/>
      <c r="AQ1737"/>
      <c r="AR1737"/>
      <c r="AS1737"/>
      <c r="AT1737"/>
      <c r="AU1737"/>
      <c r="AV1737"/>
    </row>
    <row r="1738" spans="41:48" x14ac:dyDescent="0.35">
      <c r="AO1738"/>
      <c r="AP1738"/>
      <c r="AQ1738"/>
      <c r="AR1738"/>
      <c r="AS1738"/>
      <c r="AT1738"/>
      <c r="AU1738"/>
      <c r="AV1738"/>
    </row>
    <row r="1739" spans="41:48" x14ac:dyDescent="0.35">
      <c r="AO1739"/>
      <c r="AP1739"/>
      <c r="AQ1739"/>
      <c r="AR1739"/>
      <c r="AS1739"/>
      <c r="AT1739"/>
      <c r="AU1739"/>
      <c r="AV1739"/>
    </row>
    <row r="1740" spans="41:48" x14ac:dyDescent="0.35">
      <c r="AO1740"/>
      <c r="AP1740"/>
      <c r="AQ1740"/>
      <c r="AR1740"/>
      <c r="AS1740"/>
      <c r="AT1740"/>
      <c r="AU1740"/>
      <c r="AV1740"/>
    </row>
    <row r="1741" spans="41:48" x14ac:dyDescent="0.35">
      <c r="AO1741"/>
      <c r="AP1741"/>
      <c r="AQ1741"/>
      <c r="AR1741"/>
      <c r="AS1741"/>
      <c r="AT1741"/>
      <c r="AU1741"/>
      <c r="AV1741"/>
    </row>
    <row r="1742" spans="41:48" x14ac:dyDescent="0.35">
      <c r="AO1742"/>
      <c r="AP1742"/>
      <c r="AQ1742"/>
      <c r="AR1742"/>
      <c r="AS1742"/>
      <c r="AT1742"/>
      <c r="AU1742"/>
      <c r="AV1742"/>
    </row>
    <row r="1743" spans="41:48" x14ac:dyDescent="0.35">
      <c r="AO1743"/>
      <c r="AP1743"/>
      <c r="AQ1743"/>
      <c r="AR1743"/>
      <c r="AS1743"/>
      <c r="AT1743"/>
      <c r="AU1743"/>
      <c r="AV1743"/>
    </row>
    <row r="1744" spans="41:48" x14ac:dyDescent="0.35">
      <c r="AO1744"/>
      <c r="AP1744"/>
      <c r="AQ1744"/>
      <c r="AR1744"/>
      <c r="AS1744"/>
      <c r="AT1744"/>
      <c r="AU1744"/>
      <c r="AV1744"/>
    </row>
    <row r="1745" spans="41:48" x14ac:dyDescent="0.35">
      <c r="AO1745"/>
      <c r="AP1745"/>
      <c r="AQ1745"/>
      <c r="AR1745"/>
      <c r="AS1745"/>
      <c r="AT1745"/>
      <c r="AU1745"/>
      <c r="AV1745"/>
    </row>
    <row r="1746" spans="41:48" x14ac:dyDescent="0.35">
      <c r="AO1746"/>
      <c r="AP1746"/>
      <c r="AQ1746"/>
      <c r="AR1746"/>
      <c r="AS1746"/>
      <c r="AT1746"/>
      <c r="AU1746"/>
      <c r="AV1746"/>
    </row>
    <row r="1747" spans="41:48" x14ac:dyDescent="0.35">
      <c r="AO1747"/>
      <c r="AP1747"/>
      <c r="AQ1747"/>
      <c r="AR1747"/>
      <c r="AS1747"/>
      <c r="AT1747"/>
      <c r="AU1747"/>
      <c r="AV1747"/>
    </row>
    <row r="1748" spans="41:48" x14ac:dyDescent="0.35">
      <c r="AO1748"/>
      <c r="AP1748"/>
      <c r="AQ1748"/>
      <c r="AR1748"/>
      <c r="AS1748"/>
      <c r="AT1748"/>
      <c r="AU1748"/>
      <c r="AV1748"/>
    </row>
    <row r="1749" spans="41:48" x14ac:dyDescent="0.35">
      <c r="AO1749"/>
      <c r="AP1749"/>
      <c r="AQ1749"/>
      <c r="AR1749"/>
      <c r="AS1749"/>
      <c r="AT1749"/>
      <c r="AU1749"/>
      <c r="AV1749"/>
    </row>
    <row r="1750" spans="41:48" x14ac:dyDescent="0.35">
      <c r="AO1750"/>
      <c r="AP1750"/>
      <c r="AQ1750"/>
      <c r="AR1750"/>
      <c r="AS1750"/>
      <c r="AT1750"/>
      <c r="AU1750"/>
      <c r="AV1750"/>
    </row>
    <row r="1751" spans="41:48" x14ac:dyDescent="0.35">
      <c r="AO1751"/>
      <c r="AP1751"/>
      <c r="AQ1751"/>
      <c r="AR1751"/>
      <c r="AS1751"/>
      <c r="AT1751"/>
      <c r="AU1751"/>
      <c r="AV1751"/>
    </row>
    <row r="1752" spans="41:48" x14ac:dyDescent="0.35">
      <c r="AO1752"/>
      <c r="AP1752"/>
      <c r="AQ1752"/>
      <c r="AR1752"/>
      <c r="AS1752"/>
      <c r="AT1752"/>
      <c r="AU1752"/>
      <c r="AV1752"/>
    </row>
    <row r="1753" spans="41:48" x14ac:dyDescent="0.35">
      <c r="AO1753"/>
      <c r="AP1753"/>
      <c r="AQ1753"/>
      <c r="AR1753"/>
      <c r="AS1753"/>
      <c r="AT1753"/>
      <c r="AU1753"/>
      <c r="AV1753"/>
    </row>
    <row r="1754" spans="41:48" x14ac:dyDescent="0.35">
      <c r="AO1754"/>
      <c r="AP1754"/>
      <c r="AQ1754"/>
      <c r="AR1754"/>
      <c r="AS1754"/>
      <c r="AT1754"/>
      <c r="AU1754"/>
      <c r="AV1754"/>
    </row>
    <row r="1755" spans="41:48" x14ac:dyDescent="0.35">
      <c r="AO1755"/>
      <c r="AP1755"/>
      <c r="AQ1755"/>
      <c r="AR1755"/>
      <c r="AS1755"/>
      <c r="AT1755"/>
      <c r="AU1755"/>
      <c r="AV1755"/>
    </row>
    <row r="1756" spans="41:48" x14ac:dyDescent="0.35">
      <c r="AO1756"/>
      <c r="AP1756"/>
      <c r="AQ1756"/>
      <c r="AR1756"/>
      <c r="AS1756"/>
      <c r="AT1756"/>
      <c r="AU1756"/>
      <c r="AV1756"/>
    </row>
    <row r="1757" spans="41:48" x14ac:dyDescent="0.35">
      <c r="AO1757"/>
      <c r="AP1757"/>
      <c r="AQ1757"/>
      <c r="AR1757"/>
      <c r="AS1757"/>
      <c r="AT1757"/>
      <c r="AU1757"/>
      <c r="AV1757"/>
    </row>
    <row r="1758" spans="41:48" x14ac:dyDescent="0.35">
      <c r="AO1758"/>
      <c r="AP1758"/>
      <c r="AQ1758"/>
      <c r="AR1758"/>
      <c r="AS1758"/>
      <c r="AT1758"/>
      <c r="AU1758"/>
      <c r="AV1758"/>
    </row>
    <row r="1759" spans="41:48" x14ac:dyDescent="0.35">
      <c r="AO1759"/>
      <c r="AP1759"/>
      <c r="AQ1759"/>
      <c r="AR1759"/>
      <c r="AS1759"/>
      <c r="AT1759"/>
      <c r="AU1759"/>
      <c r="AV1759"/>
    </row>
    <row r="1760" spans="41:48" x14ac:dyDescent="0.35">
      <c r="AO1760"/>
      <c r="AP1760"/>
      <c r="AQ1760"/>
      <c r="AR1760"/>
      <c r="AS1760"/>
      <c r="AT1760"/>
      <c r="AU1760"/>
      <c r="AV1760"/>
    </row>
    <row r="1761" spans="41:48" x14ac:dyDescent="0.35">
      <c r="AO1761"/>
      <c r="AP1761"/>
      <c r="AQ1761"/>
      <c r="AR1761"/>
      <c r="AS1761"/>
      <c r="AT1761"/>
      <c r="AU1761"/>
      <c r="AV1761"/>
    </row>
    <row r="1762" spans="41:48" x14ac:dyDescent="0.35">
      <c r="AO1762"/>
      <c r="AP1762"/>
      <c r="AQ1762"/>
      <c r="AR1762"/>
      <c r="AS1762"/>
      <c r="AT1762"/>
      <c r="AU1762"/>
      <c r="AV1762"/>
    </row>
    <row r="1763" spans="41:48" x14ac:dyDescent="0.35">
      <c r="AO1763"/>
      <c r="AP1763"/>
      <c r="AQ1763"/>
      <c r="AR1763"/>
      <c r="AS1763"/>
      <c r="AT1763"/>
      <c r="AU1763"/>
      <c r="AV1763"/>
    </row>
    <row r="1764" spans="41:48" x14ac:dyDescent="0.35">
      <c r="AO1764"/>
      <c r="AP1764"/>
      <c r="AQ1764"/>
      <c r="AR1764"/>
      <c r="AS1764"/>
      <c r="AT1764"/>
      <c r="AU1764"/>
      <c r="AV1764"/>
    </row>
    <row r="1765" spans="41:48" x14ac:dyDescent="0.35">
      <c r="AO1765"/>
      <c r="AP1765"/>
      <c r="AQ1765"/>
      <c r="AR1765"/>
      <c r="AS1765"/>
      <c r="AT1765"/>
      <c r="AU1765"/>
      <c r="AV1765"/>
    </row>
    <row r="1766" spans="41:48" x14ac:dyDescent="0.35">
      <c r="AO1766"/>
      <c r="AP1766"/>
      <c r="AQ1766"/>
      <c r="AR1766"/>
      <c r="AS1766"/>
      <c r="AT1766"/>
      <c r="AU1766"/>
      <c r="AV1766"/>
    </row>
    <row r="1767" spans="41:48" x14ac:dyDescent="0.35">
      <c r="AO1767"/>
      <c r="AP1767"/>
      <c r="AQ1767"/>
      <c r="AR1767"/>
      <c r="AS1767"/>
      <c r="AT1767"/>
      <c r="AU1767"/>
      <c r="AV1767"/>
    </row>
    <row r="1768" spans="41:48" x14ac:dyDescent="0.35">
      <c r="AO1768"/>
      <c r="AP1768"/>
      <c r="AQ1768"/>
      <c r="AR1768"/>
      <c r="AS1768"/>
      <c r="AT1768"/>
      <c r="AU1768"/>
      <c r="AV1768"/>
    </row>
    <row r="1769" spans="41:48" x14ac:dyDescent="0.35">
      <c r="AO1769"/>
      <c r="AP1769"/>
      <c r="AQ1769"/>
      <c r="AR1769"/>
      <c r="AS1769"/>
      <c r="AT1769"/>
      <c r="AU1769"/>
      <c r="AV1769"/>
    </row>
    <row r="1770" spans="41:48" x14ac:dyDescent="0.35">
      <c r="AO1770"/>
      <c r="AP1770"/>
      <c r="AQ1770"/>
      <c r="AR1770"/>
      <c r="AS1770"/>
      <c r="AT1770"/>
      <c r="AU1770"/>
      <c r="AV1770"/>
    </row>
    <row r="1771" spans="41:48" x14ac:dyDescent="0.35">
      <c r="AO1771"/>
      <c r="AP1771"/>
      <c r="AQ1771"/>
      <c r="AR1771"/>
      <c r="AS1771"/>
      <c r="AT1771"/>
      <c r="AU1771"/>
      <c r="AV1771"/>
    </row>
    <row r="1772" spans="41:48" x14ac:dyDescent="0.35">
      <c r="AO1772"/>
      <c r="AP1772"/>
      <c r="AQ1772"/>
      <c r="AR1772"/>
      <c r="AS1772"/>
      <c r="AT1772"/>
      <c r="AU1772"/>
      <c r="AV1772"/>
    </row>
    <row r="1773" spans="41:48" x14ac:dyDescent="0.35">
      <c r="AO1773"/>
      <c r="AP1773"/>
      <c r="AQ1773"/>
      <c r="AR1773"/>
      <c r="AS1773"/>
      <c r="AT1773"/>
      <c r="AU1773"/>
      <c r="AV1773"/>
    </row>
    <row r="1774" spans="41:48" x14ac:dyDescent="0.35">
      <c r="AO1774"/>
      <c r="AP1774"/>
      <c r="AQ1774"/>
      <c r="AR1774"/>
      <c r="AS1774"/>
      <c r="AT1774"/>
      <c r="AU1774"/>
      <c r="AV1774"/>
    </row>
    <row r="1775" spans="41:48" x14ac:dyDescent="0.35">
      <c r="AO1775"/>
      <c r="AP1775"/>
      <c r="AQ1775"/>
      <c r="AR1775"/>
      <c r="AS1775"/>
      <c r="AT1775"/>
      <c r="AU1775"/>
      <c r="AV1775"/>
    </row>
    <row r="1776" spans="41:48" x14ac:dyDescent="0.35">
      <c r="AO1776"/>
      <c r="AP1776"/>
      <c r="AQ1776"/>
      <c r="AR1776"/>
      <c r="AS1776"/>
      <c r="AT1776"/>
      <c r="AU1776"/>
      <c r="AV1776"/>
    </row>
    <row r="1777" spans="41:48" x14ac:dyDescent="0.35">
      <c r="AO1777"/>
      <c r="AP1777"/>
      <c r="AQ1777"/>
      <c r="AR1777"/>
      <c r="AS1777"/>
      <c r="AT1777"/>
      <c r="AU1777"/>
      <c r="AV1777"/>
    </row>
    <row r="1778" spans="41:48" x14ac:dyDescent="0.35">
      <c r="AO1778"/>
      <c r="AP1778"/>
      <c r="AQ1778"/>
      <c r="AR1778"/>
      <c r="AS1778"/>
      <c r="AT1778"/>
      <c r="AU1778"/>
      <c r="AV1778"/>
    </row>
    <row r="1779" spans="41:48" x14ac:dyDescent="0.35">
      <c r="AO1779"/>
      <c r="AP1779"/>
      <c r="AQ1779"/>
      <c r="AR1779"/>
      <c r="AS1779"/>
      <c r="AT1779"/>
      <c r="AU1779"/>
      <c r="AV1779"/>
    </row>
    <row r="1780" spans="41:48" x14ac:dyDescent="0.35">
      <c r="AO1780"/>
      <c r="AP1780"/>
      <c r="AQ1780"/>
      <c r="AR1780"/>
      <c r="AS1780"/>
      <c r="AT1780"/>
      <c r="AU1780"/>
      <c r="AV1780"/>
    </row>
    <row r="1781" spans="41:48" x14ac:dyDescent="0.35">
      <c r="AO1781"/>
      <c r="AP1781"/>
      <c r="AQ1781"/>
      <c r="AR1781"/>
      <c r="AS1781"/>
      <c r="AT1781"/>
      <c r="AU1781"/>
      <c r="AV1781"/>
    </row>
    <row r="1782" spans="41:48" x14ac:dyDescent="0.35">
      <c r="AO1782"/>
      <c r="AP1782"/>
      <c r="AQ1782"/>
      <c r="AR1782"/>
      <c r="AS1782"/>
      <c r="AT1782"/>
      <c r="AU1782"/>
      <c r="AV1782"/>
    </row>
    <row r="1783" spans="41:48" x14ac:dyDescent="0.35">
      <c r="AO1783"/>
      <c r="AP1783"/>
      <c r="AQ1783"/>
      <c r="AR1783"/>
      <c r="AS1783"/>
      <c r="AT1783"/>
      <c r="AU1783"/>
      <c r="AV1783"/>
    </row>
    <row r="1784" spans="41:48" x14ac:dyDescent="0.35">
      <c r="AO1784"/>
      <c r="AP1784"/>
      <c r="AQ1784"/>
      <c r="AR1784"/>
      <c r="AS1784"/>
      <c r="AT1784"/>
      <c r="AU1784"/>
      <c r="AV1784"/>
    </row>
    <row r="1785" spans="41:48" x14ac:dyDescent="0.35">
      <c r="AO1785"/>
      <c r="AP1785"/>
      <c r="AQ1785"/>
      <c r="AR1785"/>
      <c r="AS1785"/>
      <c r="AT1785"/>
      <c r="AU1785"/>
      <c r="AV1785"/>
    </row>
    <row r="1786" spans="41:48" x14ac:dyDescent="0.35">
      <c r="AO1786"/>
      <c r="AP1786"/>
      <c r="AQ1786"/>
      <c r="AR1786"/>
      <c r="AS1786"/>
      <c r="AT1786"/>
      <c r="AU1786"/>
      <c r="AV1786"/>
    </row>
    <row r="1787" spans="41:48" x14ac:dyDescent="0.35">
      <c r="AO1787"/>
      <c r="AP1787"/>
      <c r="AQ1787"/>
      <c r="AR1787"/>
      <c r="AS1787"/>
      <c r="AT1787"/>
      <c r="AU1787"/>
      <c r="AV1787"/>
    </row>
    <row r="1788" spans="41:48" x14ac:dyDescent="0.35">
      <c r="AO1788"/>
      <c r="AP1788"/>
      <c r="AQ1788"/>
      <c r="AR1788"/>
      <c r="AS1788"/>
      <c r="AT1788"/>
      <c r="AU1788"/>
      <c r="AV1788"/>
    </row>
    <row r="1789" spans="41:48" x14ac:dyDescent="0.35">
      <c r="AO1789"/>
      <c r="AP1789"/>
      <c r="AQ1789"/>
      <c r="AR1789"/>
      <c r="AS1789"/>
      <c r="AT1789"/>
      <c r="AU1789"/>
      <c r="AV1789"/>
    </row>
    <row r="1790" spans="41:48" x14ac:dyDescent="0.35">
      <c r="AO1790"/>
      <c r="AP1790"/>
      <c r="AQ1790"/>
      <c r="AR1790"/>
      <c r="AS1790"/>
      <c r="AT1790"/>
      <c r="AU1790"/>
      <c r="AV1790"/>
    </row>
    <row r="1791" spans="41:48" x14ac:dyDescent="0.35">
      <c r="AO1791"/>
      <c r="AP1791"/>
      <c r="AQ1791"/>
      <c r="AR1791"/>
      <c r="AS1791"/>
      <c r="AT1791"/>
      <c r="AU1791"/>
      <c r="AV1791"/>
    </row>
    <row r="1792" spans="41:48" x14ac:dyDescent="0.35">
      <c r="AO1792"/>
      <c r="AP1792"/>
      <c r="AQ1792"/>
      <c r="AR1792"/>
      <c r="AS1792"/>
      <c r="AT1792"/>
      <c r="AU1792"/>
      <c r="AV1792"/>
    </row>
    <row r="1793" spans="41:48" x14ac:dyDescent="0.35">
      <c r="AO1793"/>
      <c r="AP1793"/>
      <c r="AQ1793"/>
      <c r="AR1793"/>
      <c r="AS1793"/>
      <c r="AT1793"/>
      <c r="AU1793"/>
      <c r="AV1793"/>
    </row>
    <row r="1794" spans="41:48" x14ac:dyDescent="0.35">
      <c r="AO1794"/>
      <c r="AP1794"/>
      <c r="AQ1794"/>
      <c r="AR1794"/>
      <c r="AS1794"/>
      <c r="AT1794"/>
      <c r="AU1794"/>
      <c r="AV1794"/>
    </row>
    <row r="1795" spans="41:48" x14ac:dyDescent="0.35">
      <c r="AO1795"/>
      <c r="AP1795"/>
      <c r="AQ1795"/>
      <c r="AR1795"/>
      <c r="AS1795"/>
      <c r="AT1795"/>
      <c r="AU1795"/>
      <c r="AV1795"/>
    </row>
    <row r="1796" spans="41:48" x14ac:dyDescent="0.35">
      <c r="AO1796"/>
      <c r="AP1796"/>
      <c r="AQ1796"/>
      <c r="AR1796"/>
      <c r="AS1796"/>
      <c r="AT1796"/>
      <c r="AU1796"/>
      <c r="AV1796"/>
    </row>
    <row r="1797" spans="41:48" x14ac:dyDescent="0.35">
      <c r="AO1797"/>
      <c r="AP1797"/>
      <c r="AQ1797"/>
      <c r="AR1797"/>
      <c r="AS1797"/>
      <c r="AT1797"/>
      <c r="AU1797"/>
      <c r="AV1797"/>
    </row>
    <row r="1798" spans="41:48" x14ac:dyDescent="0.35">
      <c r="AO1798"/>
      <c r="AP1798"/>
      <c r="AQ1798"/>
      <c r="AR1798"/>
      <c r="AS1798"/>
      <c r="AT1798"/>
      <c r="AU1798"/>
      <c r="AV1798"/>
    </row>
    <row r="1799" spans="41:48" x14ac:dyDescent="0.35">
      <c r="AO1799"/>
      <c r="AP1799"/>
      <c r="AQ1799"/>
      <c r="AR1799"/>
      <c r="AS1799"/>
      <c r="AT1799"/>
      <c r="AU1799"/>
      <c r="AV1799"/>
    </row>
    <row r="1800" spans="41:48" x14ac:dyDescent="0.35">
      <c r="AO1800"/>
      <c r="AP1800"/>
      <c r="AQ1800"/>
      <c r="AR1800"/>
      <c r="AS1800"/>
      <c r="AT1800"/>
      <c r="AU1800"/>
      <c r="AV1800"/>
    </row>
    <row r="1801" spans="41:48" x14ac:dyDescent="0.35">
      <c r="AO1801"/>
      <c r="AP1801"/>
      <c r="AQ1801"/>
      <c r="AR1801"/>
      <c r="AS1801"/>
      <c r="AT1801"/>
      <c r="AU1801"/>
      <c r="AV1801"/>
    </row>
    <row r="1802" spans="41:48" x14ac:dyDescent="0.35">
      <c r="AO1802"/>
      <c r="AP1802"/>
      <c r="AQ1802"/>
      <c r="AR1802"/>
      <c r="AS1802"/>
      <c r="AT1802"/>
      <c r="AU1802"/>
      <c r="AV1802"/>
    </row>
    <row r="1803" spans="41:48" x14ac:dyDescent="0.35">
      <c r="AO1803"/>
      <c r="AP1803"/>
      <c r="AQ1803"/>
      <c r="AR1803"/>
      <c r="AS1803"/>
      <c r="AT1803"/>
      <c r="AU1803"/>
      <c r="AV1803"/>
    </row>
    <row r="1804" spans="41:48" x14ac:dyDescent="0.35">
      <c r="AO1804"/>
      <c r="AP1804"/>
      <c r="AQ1804"/>
      <c r="AR1804"/>
      <c r="AS1804"/>
      <c r="AT1804"/>
      <c r="AU1804"/>
      <c r="AV1804"/>
    </row>
    <row r="1805" spans="41:48" x14ac:dyDescent="0.35">
      <c r="AO1805"/>
      <c r="AP1805"/>
      <c r="AQ1805"/>
      <c r="AR1805"/>
      <c r="AS1805"/>
      <c r="AT1805"/>
      <c r="AU1805"/>
      <c r="AV1805"/>
    </row>
    <row r="1806" spans="41:48" x14ac:dyDescent="0.35">
      <c r="AO1806"/>
      <c r="AP1806"/>
      <c r="AQ1806"/>
      <c r="AR1806"/>
      <c r="AS1806"/>
      <c r="AT1806"/>
      <c r="AU1806"/>
      <c r="AV1806"/>
    </row>
    <row r="1807" spans="41:48" x14ac:dyDescent="0.35">
      <c r="AO1807"/>
      <c r="AP1807"/>
      <c r="AQ1807"/>
      <c r="AR1807"/>
      <c r="AS1807"/>
      <c r="AT1807"/>
      <c r="AU1807"/>
      <c r="AV1807"/>
    </row>
    <row r="1808" spans="41:48" x14ac:dyDescent="0.35">
      <c r="AO1808"/>
      <c r="AP1808"/>
      <c r="AQ1808"/>
      <c r="AR1808"/>
      <c r="AS1808"/>
      <c r="AT1808"/>
      <c r="AU1808"/>
      <c r="AV1808"/>
    </row>
    <row r="1809" spans="41:48" x14ac:dyDescent="0.35">
      <c r="AO1809"/>
      <c r="AP1809"/>
      <c r="AQ1809"/>
      <c r="AR1809"/>
      <c r="AS1809"/>
      <c r="AT1809"/>
      <c r="AU1809"/>
      <c r="AV1809"/>
    </row>
    <row r="1810" spans="41:48" x14ac:dyDescent="0.35">
      <c r="AO1810"/>
      <c r="AP1810"/>
      <c r="AQ1810"/>
      <c r="AR1810"/>
      <c r="AS1810"/>
      <c r="AT1810"/>
      <c r="AU1810"/>
      <c r="AV1810"/>
    </row>
    <row r="1811" spans="41:48" x14ac:dyDescent="0.35">
      <c r="AO1811"/>
      <c r="AP1811"/>
      <c r="AQ1811"/>
      <c r="AR1811"/>
      <c r="AS1811"/>
      <c r="AT1811"/>
      <c r="AU1811"/>
      <c r="AV1811"/>
    </row>
    <row r="1812" spans="41:48" x14ac:dyDescent="0.35">
      <c r="AO1812"/>
      <c r="AP1812"/>
      <c r="AQ1812"/>
      <c r="AR1812"/>
      <c r="AS1812"/>
      <c r="AT1812"/>
      <c r="AU1812"/>
      <c r="AV1812"/>
    </row>
    <row r="1813" spans="41:48" x14ac:dyDescent="0.35">
      <c r="AO1813"/>
      <c r="AP1813"/>
      <c r="AQ1813"/>
      <c r="AR1813"/>
      <c r="AS1813"/>
      <c r="AT1813"/>
      <c r="AU1813"/>
      <c r="AV1813"/>
    </row>
    <row r="1814" spans="41:48" x14ac:dyDescent="0.35">
      <c r="AO1814"/>
      <c r="AP1814"/>
      <c r="AQ1814"/>
      <c r="AR1814"/>
      <c r="AS1814"/>
      <c r="AT1814"/>
      <c r="AU1814"/>
      <c r="AV1814"/>
    </row>
    <row r="1815" spans="41:48" x14ac:dyDescent="0.35">
      <c r="AO1815"/>
      <c r="AP1815"/>
      <c r="AQ1815"/>
      <c r="AR1815"/>
      <c r="AS1815"/>
      <c r="AT1815"/>
      <c r="AU1815"/>
      <c r="AV1815"/>
    </row>
    <row r="1816" spans="41:48" x14ac:dyDescent="0.35">
      <c r="AO1816"/>
      <c r="AP1816"/>
      <c r="AQ1816"/>
      <c r="AR1816"/>
      <c r="AS1816"/>
      <c r="AT1816"/>
      <c r="AU1816"/>
      <c r="AV1816"/>
    </row>
    <row r="1817" spans="41:48" x14ac:dyDescent="0.35">
      <c r="AO1817"/>
      <c r="AP1817"/>
      <c r="AQ1817"/>
      <c r="AR1817"/>
      <c r="AS1817"/>
      <c r="AT1817"/>
      <c r="AU1817"/>
      <c r="AV1817"/>
    </row>
    <row r="1818" spans="41:48" x14ac:dyDescent="0.35">
      <c r="AO1818"/>
      <c r="AP1818"/>
      <c r="AQ1818"/>
      <c r="AR1818"/>
      <c r="AS1818"/>
      <c r="AT1818"/>
      <c r="AU1818"/>
      <c r="AV1818"/>
    </row>
    <row r="1819" spans="41:48" x14ac:dyDescent="0.35">
      <c r="AO1819"/>
      <c r="AP1819"/>
      <c r="AQ1819"/>
      <c r="AR1819"/>
      <c r="AS1819"/>
      <c r="AT1819"/>
      <c r="AU1819"/>
      <c r="AV1819"/>
    </row>
    <row r="1820" spans="41:48" x14ac:dyDescent="0.35">
      <c r="AO1820"/>
      <c r="AP1820"/>
      <c r="AQ1820"/>
      <c r="AR1820"/>
      <c r="AS1820"/>
      <c r="AT1820"/>
      <c r="AU1820"/>
      <c r="AV1820"/>
    </row>
    <row r="1821" spans="41:48" x14ac:dyDescent="0.35">
      <c r="AO1821"/>
      <c r="AP1821"/>
      <c r="AQ1821"/>
      <c r="AR1821"/>
      <c r="AS1821"/>
      <c r="AT1821"/>
      <c r="AU1821"/>
      <c r="AV1821"/>
    </row>
    <row r="1822" spans="41:48" x14ac:dyDescent="0.35">
      <c r="AO1822"/>
      <c r="AP1822"/>
      <c r="AQ1822"/>
      <c r="AR1822"/>
      <c r="AS1822"/>
      <c r="AT1822"/>
      <c r="AU1822"/>
      <c r="AV1822"/>
    </row>
    <row r="1823" spans="41:48" x14ac:dyDescent="0.35">
      <c r="AO1823"/>
      <c r="AP1823"/>
      <c r="AQ1823"/>
      <c r="AR1823"/>
      <c r="AS1823"/>
      <c r="AT1823"/>
      <c r="AU1823"/>
      <c r="AV1823"/>
    </row>
    <row r="1824" spans="41:48" x14ac:dyDescent="0.35">
      <c r="AO1824"/>
      <c r="AP1824"/>
      <c r="AQ1824"/>
      <c r="AR1824"/>
      <c r="AS1824"/>
      <c r="AT1824"/>
      <c r="AU1824"/>
      <c r="AV1824"/>
    </row>
    <row r="1825" spans="41:48" x14ac:dyDescent="0.35">
      <c r="AO1825"/>
      <c r="AP1825"/>
      <c r="AQ1825"/>
      <c r="AR1825"/>
      <c r="AS1825"/>
      <c r="AT1825"/>
      <c r="AU1825"/>
      <c r="AV1825"/>
    </row>
    <row r="1826" spans="41:48" x14ac:dyDescent="0.35">
      <c r="AO1826"/>
      <c r="AP1826"/>
      <c r="AQ1826"/>
      <c r="AR1826"/>
      <c r="AS1826"/>
      <c r="AT1826"/>
      <c r="AU1826"/>
      <c r="AV1826"/>
    </row>
    <row r="1827" spans="41:48" x14ac:dyDescent="0.35">
      <c r="AO1827"/>
      <c r="AP1827"/>
      <c r="AQ1827"/>
      <c r="AR1827"/>
      <c r="AS1827"/>
      <c r="AT1827"/>
      <c r="AU1827"/>
      <c r="AV1827"/>
    </row>
    <row r="1828" spans="41:48" x14ac:dyDescent="0.35">
      <c r="AO1828"/>
      <c r="AP1828"/>
      <c r="AQ1828"/>
      <c r="AR1828"/>
      <c r="AS1828"/>
      <c r="AT1828"/>
      <c r="AU1828"/>
      <c r="AV1828"/>
    </row>
    <row r="1829" spans="41:48" x14ac:dyDescent="0.35">
      <c r="AO1829"/>
      <c r="AP1829"/>
      <c r="AQ1829"/>
      <c r="AR1829"/>
      <c r="AS1829"/>
      <c r="AT1829"/>
      <c r="AU1829"/>
      <c r="AV1829"/>
    </row>
    <row r="1830" spans="41:48" x14ac:dyDescent="0.35">
      <c r="AO1830"/>
      <c r="AP1830"/>
      <c r="AQ1830"/>
      <c r="AR1830"/>
      <c r="AS1830"/>
      <c r="AT1830"/>
      <c r="AU1830"/>
      <c r="AV1830"/>
    </row>
    <row r="1831" spans="41:48" x14ac:dyDescent="0.35">
      <c r="AO1831"/>
      <c r="AP1831"/>
      <c r="AQ1831"/>
      <c r="AR1831"/>
      <c r="AS1831"/>
      <c r="AT1831"/>
      <c r="AU1831"/>
      <c r="AV1831"/>
    </row>
    <row r="1832" spans="41:48" x14ac:dyDescent="0.35">
      <c r="AO1832"/>
      <c r="AP1832"/>
      <c r="AQ1832"/>
      <c r="AR1832"/>
      <c r="AS1832"/>
      <c r="AT1832"/>
      <c r="AU1832"/>
      <c r="AV1832"/>
    </row>
    <row r="1833" spans="41:48" x14ac:dyDescent="0.35">
      <c r="AO1833"/>
      <c r="AP1833"/>
      <c r="AQ1833"/>
      <c r="AR1833"/>
      <c r="AS1833"/>
      <c r="AT1833"/>
      <c r="AU1833"/>
      <c r="AV1833"/>
    </row>
    <row r="1834" spans="41:48" x14ac:dyDescent="0.35">
      <c r="AO1834"/>
      <c r="AP1834"/>
      <c r="AQ1834"/>
      <c r="AR1834"/>
      <c r="AS1834"/>
      <c r="AT1834"/>
      <c r="AU1834"/>
      <c r="AV1834"/>
    </row>
    <row r="1835" spans="41:48" x14ac:dyDescent="0.35">
      <c r="AO1835"/>
      <c r="AP1835"/>
      <c r="AQ1835"/>
      <c r="AR1835"/>
      <c r="AS1835"/>
      <c r="AT1835"/>
      <c r="AU1835"/>
      <c r="AV1835"/>
    </row>
    <row r="1836" spans="41:48" x14ac:dyDescent="0.35">
      <c r="AO1836"/>
      <c r="AP1836"/>
      <c r="AQ1836"/>
      <c r="AR1836"/>
      <c r="AS1836"/>
      <c r="AT1836"/>
      <c r="AU1836"/>
      <c r="AV1836"/>
    </row>
    <row r="1837" spans="41:48" x14ac:dyDescent="0.35">
      <c r="AO1837"/>
      <c r="AP1837"/>
      <c r="AQ1837"/>
      <c r="AR1837"/>
      <c r="AS1837"/>
      <c r="AT1837"/>
      <c r="AU1837"/>
      <c r="AV1837"/>
    </row>
    <row r="1838" spans="41:48" x14ac:dyDescent="0.35">
      <c r="AO1838"/>
      <c r="AP1838"/>
      <c r="AQ1838"/>
      <c r="AR1838"/>
      <c r="AS1838"/>
      <c r="AT1838"/>
      <c r="AU1838"/>
      <c r="AV1838"/>
    </row>
    <row r="1839" spans="41:48" x14ac:dyDescent="0.35">
      <c r="AO1839"/>
      <c r="AP1839"/>
      <c r="AQ1839"/>
      <c r="AR1839"/>
      <c r="AS1839"/>
      <c r="AT1839"/>
      <c r="AU1839"/>
      <c r="AV1839"/>
    </row>
    <row r="1840" spans="41:48" x14ac:dyDescent="0.35">
      <c r="AO1840"/>
      <c r="AP1840"/>
      <c r="AQ1840"/>
      <c r="AR1840"/>
      <c r="AS1840"/>
      <c r="AT1840"/>
      <c r="AU1840"/>
      <c r="AV1840"/>
    </row>
    <row r="1841" spans="41:48" x14ac:dyDescent="0.35">
      <c r="AO1841"/>
      <c r="AP1841"/>
      <c r="AQ1841"/>
      <c r="AR1841"/>
      <c r="AS1841"/>
      <c r="AT1841"/>
      <c r="AU1841"/>
      <c r="AV1841"/>
    </row>
    <row r="1842" spans="41:48" x14ac:dyDescent="0.35">
      <c r="AO1842"/>
      <c r="AP1842"/>
      <c r="AQ1842"/>
      <c r="AR1842"/>
      <c r="AS1842"/>
      <c r="AT1842"/>
      <c r="AU1842"/>
      <c r="AV1842"/>
    </row>
    <row r="1843" spans="41:48" x14ac:dyDescent="0.35">
      <c r="AO1843"/>
      <c r="AP1843"/>
      <c r="AQ1843"/>
      <c r="AR1843"/>
      <c r="AS1843"/>
      <c r="AT1843"/>
      <c r="AU1843"/>
      <c r="AV1843"/>
    </row>
    <row r="1844" spans="41:48" x14ac:dyDescent="0.35">
      <c r="AO1844"/>
      <c r="AP1844"/>
      <c r="AQ1844"/>
      <c r="AR1844"/>
      <c r="AS1844"/>
      <c r="AT1844"/>
      <c r="AU1844"/>
      <c r="AV1844"/>
    </row>
    <row r="1845" spans="41:48" x14ac:dyDescent="0.35">
      <c r="AO1845"/>
      <c r="AP1845"/>
      <c r="AQ1845"/>
      <c r="AR1845"/>
      <c r="AS1845"/>
      <c r="AT1845"/>
      <c r="AU1845"/>
      <c r="AV1845"/>
    </row>
    <row r="1846" spans="41:48" x14ac:dyDescent="0.35">
      <c r="AO1846"/>
      <c r="AP1846"/>
      <c r="AQ1846"/>
      <c r="AR1846"/>
      <c r="AS1846"/>
      <c r="AT1846"/>
      <c r="AU1846"/>
      <c r="AV1846"/>
    </row>
    <row r="1847" spans="41:48" x14ac:dyDescent="0.35">
      <c r="AO1847"/>
      <c r="AP1847"/>
      <c r="AQ1847"/>
      <c r="AR1847"/>
      <c r="AS1847"/>
      <c r="AT1847"/>
      <c r="AU1847"/>
      <c r="AV1847"/>
    </row>
    <row r="1848" spans="41:48" x14ac:dyDescent="0.35">
      <c r="AO1848"/>
      <c r="AP1848"/>
      <c r="AQ1848"/>
      <c r="AR1848"/>
      <c r="AS1848"/>
      <c r="AT1848"/>
      <c r="AU1848"/>
      <c r="AV1848"/>
    </row>
    <row r="1849" spans="41:48" x14ac:dyDescent="0.35">
      <c r="AO1849"/>
      <c r="AP1849"/>
      <c r="AQ1849"/>
      <c r="AR1849"/>
      <c r="AS1849"/>
      <c r="AT1849"/>
      <c r="AU1849"/>
      <c r="AV1849"/>
    </row>
    <row r="1850" spans="41:48" x14ac:dyDescent="0.35">
      <c r="AO1850"/>
      <c r="AP1850"/>
      <c r="AQ1850"/>
      <c r="AR1850"/>
      <c r="AS1850"/>
      <c r="AT1850"/>
      <c r="AU1850"/>
      <c r="AV1850"/>
    </row>
    <row r="1851" spans="41:48" x14ac:dyDescent="0.35">
      <c r="AO1851"/>
      <c r="AP1851"/>
      <c r="AQ1851"/>
      <c r="AR1851"/>
      <c r="AS1851"/>
      <c r="AT1851"/>
      <c r="AU1851"/>
      <c r="AV1851"/>
    </row>
    <row r="1852" spans="41:48" x14ac:dyDescent="0.35">
      <c r="AO1852"/>
      <c r="AP1852"/>
      <c r="AQ1852"/>
      <c r="AR1852"/>
      <c r="AS1852"/>
      <c r="AT1852"/>
      <c r="AU1852"/>
      <c r="AV1852"/>
    </row>
    <row r="1853" spans="41:48" x14ac:dyDescent="0.35">
      <c r="AO1853"/>
      <c r="AP1853"/>
      <c r="AQ1853"/>
      <c r="AR1853"/>
      <c r="AS1853"/>
      <c r="AT1853"/>
      <c r="AU1853"/>
      <c r="AV1853"/>
    </row>
    <row r="1854" spans="41:48" x14ac:dyDescent="0.35">
      <c r="AO1854"/>
      <c r="AP1854"/>
      <c r="AQ1854"/>
      <c r="AR1854"/>
      <c r="AS1854"/>
      <c r="AT1854"/>
      <c r="AU1854"/>
      <c r="AV1854"/>
    </row>
    <row r="1855" spans="41:48" x14ac:dyDescent="0.35">
      <c r="AO1855"/>
      <c r="AP1855"/>
      <c r="AQ1855"/>
      <c r="AR1855"/>
      <c r="AS1855"/>
      <c r="AT1855"/>
      <c r="AU1855"/>
      <c r="AV1855"/>
    </row>
    <row r="1856" spans="41:48" x14ac:dyDescent="0.35">
      <c r="AO1856"/>
      <c r="AP1856"/>
      <c r="AQ1856"/>
      <c r="AR1856"/>
      <c r="AS1856"/>
      <c r="AT1856"/>
      <c r="AU1856"/>
      <c r="AV1856"/>
    </row>
    <row r="1857" spans="41:48" x14ac:dyDescent="0.35">
      <c r="AO1857"/>
      <c r="AP1857"/>
      <c r="AQ1857"/>
      <c r="AR1857"/>
      <c r="AS1857"/>
      <c r="AT1857"/>
      <c r="AU1857"/>
      <c r="AV1857"/>
    </row>
    <row r="1858" spans="41:48" x14ac:dyDescent="0.35">
      <c r="AO1858"/>
      <c r="AP1858"/>
      <c r="AQ1858"/>
      <c r="AR1858"/>
      <c r="AS1858"/>
      <c r="AT1858"/>
      <c r="AU1858"/>
      <c r="AV1858"/>
    </row>
    <row r="1859" spans="41:48" x14ac:dyDescent="0.35">
      <c r="AO1859"/>
      <c r="AP1859"/>
      <c r="AQ1859"/>
      <c r="AR1859"/>
      <c r="AS1859"/>
      <c r="AT1859"/>
      <c r="AU1859"/>
      <c r="AV1859"/>
    </row>
    <row r="1860" spans="41:48" x14ac:dyDescent="0.35">
      <c r="AO1860"/>
      <c r="AP1860"/>
      <c r="AQ1860"/>
      <c r="AR1860"/>
      <c r="AS1860"/>
      <c r="AT1860"/>
      <c r="AU1860"/>
      <c r="AV1860"/>
    </row>
    <row r="1861" spans="41:48" x14ac:dyDescent="0.35">
      <c r="AO1861"/>
      <c r="AP1861"/>
      <c r="AQ1861"/>
      <c r="AR1861"/>
      <c r="AS1861"/>
      <c r="AT1861"/>
      <c r="AU1861"/>
      <c r="AV1861"/>
    </row>
    <row r="1862" spans="41:48" x14ac:dyDescent="0.35">
      <c r="AO1862"/>
      <c r="AP1862"/>
      <c r="AQ1862"/>
      <c r="AR1862"/>
      <c r="AS1862"/>
      <c r="AT1862"/>
      <c r="AU1862"/>
      <c r="AV1862"/>
    </row>
    <row r="1863" spans="41:48" x14ac:dyDescent="0.35">
      <c r="AO1863"/>
      <c r="AP1863"/>
      <c r="AQ1863"/>
      <c r="AR1863"/>
      <c r="AS1863"/>
      <c r="AT1863"/>
      <c r="AU1863"/>
      <c r="AV1863"/>
    </row>
    <row r="1864" spans="41:48" x14ac:dyDescent="0.35">
      <c r="AO1864"/>
      <c r="AP1864"/>
      <c r="AQ1864"/>
      <c r="AR1864"/>
      <c r="AS1864"/>
      <c r="AT1864"/>
      <c r="AU1864"/>
      <c r="AV1864"/>
    </row>
    <row r="1865" spans="41:48" x14ac:dyDescent="0.35">
      <c r="AO1865"/>
      <c r="AP1865"/>
      <c r="AQ1865"/>
      <c r="AR1865"/>
      <c r="AS1865"/>
      <c r="AT1865"/>
      <c r="AU1865"/>
      <c r="AV1865"/>
    </row>
    <row r="1866" spans="41:48" x14ac:dyDescent="0.35">
      <c r="AO1866"/>
      <c r="AP1866"/>
      <c r="AQ1866"/>
      <c r="AR1866"/>
      <c r="AS1866"/>
      <c r="AT1866"/>
      <c r="AU1866"/>
      <c r="AV1866"/>
    </row>
    <row r="1867" spans="41:48" x14ac:dyDescent="0.35">
      <c r="AO1867"/>
      <c r="AP1867"/>
      <c r="AQ1867"/>
      <c r="AR1867"/>
      <c r="AS1867"/>
      <c r="AT1867"/>
      <c r="AU1867"/>
      <c r="AV1867"/>
    </row>
    <row r="1868" spans="41:48" x14ac:dyDescent="0.35">
      <c r="AO1868"/>
      <c r="AP1868"/>
      <c r="AQ1868"/>
      <c r="AR1868"/>
      <c r="AS1868"/>
      <c r="AT1868"/>
      <c r="AU1868"/>
      <c r="AV1868"/>
    </row>
    <row r="1869" spans="41:48" x14ac:dyDescent="0.35">
      <c r="AO1869"/>
      <c r="AP1869"/>
      <c r="AQ1869"/>
      <c r="AR1869"/>
      <c r="AS1869"/>
      <c r="AT1869"/>
      <c r="AU1869"/>
      <c r="AV1869"/>
    </row>
    <row r="1870" spans="41:48" x14ac:dyDescent="0.35">
      <c r="AO1870"/>
      <c r="AP1870"/>
      <c r="AQ1870"/>
      <c r="AR1870"/>
      <c r="AS1870"/>
      <c r="AT1870"/>
      <c r="AU1870"/>
      <c r="AV1870"/>
    </row>
    <row r="1871" spans="41:48" x14ac:dyDescent="0.35">
      <c r="AO1871"/>
      <c r="AP1871"/>
      <c r="AQ1871"/>
      <c r="AR1871"/>
      <c r="AS1871"/>
      <c r="AT1871"/>
      <c r="AU1871"/>
      <c r="AV1871"/>
    </row>
    <row r="1872" spans="41:48" x14ac:dyDescent="0.35">
      <c r="AO1872"/>
      <c r="AP1872"/>
      <c r="AQ1872"/>
      <c r="AR1872"/>
      <c r="AS1872"/>
      <c r="AT1872"/>
      <c r="AU1872"/>
      <c r="AV1872"/>
    </row>
    <row r="1873" spans="41:48" x14ac:dyDescent="0.35">
      <c r="AO1873"/>
      <c r="AP1873"/>
      <c r="AQ1873"/>
      <c r="AR1873"/>
      <c r="AS1873"/>
      <c r="AT1873"/>
      <c r="AU1873"/>
      <c r="AV1873"/>
    </row>
    <row r="1874" spans="41:48" x14ac:dyDescent="0.35">
      <c r="AO1874"/>
      <c r="AP1874"/>
      <c r="AQ1874"/>
      <c r="AR1874"/>
      <c r="AS1874"/>
      <c r="AT1874"/>
      <c r="AU1874"/>
      <c r="AV1874"/>
    </row>
    <row r="1875" spans="41:48" x14ac:dyDescent="0.35">
      <c r="AO1875"/>
      <c r="AP1875"/>
      <c r="AQ1875"/>
      <c r="AR1875"/>
      <c r="AS1875"/>
      <c r="AT1875"/>
      <c r="AU1875"/>
      <c r="AV1875"/>
    </row>
    <row r="1876" spans="41:48" x14ac:dyDescent="0.35">
      <c r="AO1876"/>
      <c r="AP1876"/>
      <c r="AQ1876"/>
      <c r="AR1876"/>
      <c r="AS1876"/>
      <c r="AT1876"/>
      <c r="AU1876"/>
      <c r="AV1876"/>
    </row>
    <row r="1877" spans="41:48" x14ac:dyDescent="0.35">
      <c r="AO1877"/>
      <c r="AP1877"/>
      <c r="AQ1877"/>
      <c r="AR1877"/>
      <c r="AS1877"/>
      <c r="AT1877"/>
      <c r="AU1877"/>
      <c r="AV1877"/>
    </row>
    <row r="1878" spans="41:48" x14ac:dyDescent="0.35">
      <c r="AO1878"/>
      <c r="AP1878"/>
      <c r="AQ1878"/>
      <c r="AR1878"/>
      <c r="AS1878"/>
      <c r="AT1878"/>
      <c r="AU1878"/>
      <c r="AV1878"/>
    </row>
    <row r="1879" spans="41:48" x14ac:dyDescent="0.35">
      <c r="AO1879"/>
      <c r="AP1879"/>
      <c r="AQ1879"/>
      <c r="AR1879"/>
      <c r="AS1879"/>
      <c r="AT1879"/>
      <c r="AU1879"/>
      <c r="AV1879"/>
    </row>
    <row r="1880" spans="41:48" x14ac:dyDescent="0.35">
      <c r="AO1880"/>
      <c r="AP1880"/>
      <c r="AQ1880"/>
      <c r="AR1880"/>
      <c r="AS1880"/>
      <c r="AT1880"/>
      <c r="AU1880"/>
      <c r="AV1880"/>
    </row>
    <row r="1881" spans="41:48" x14ac:dyDescent="0.35">
      <c r="AO1881"/>
      <c r="AP1881"/>
      <c r="AQ1881"/>
      <c r="AR1881"/>
      <c r="AS1881"/>
      <c r="AT1881"/>
      <c r="AU1881"/>
      <c r="AV1881"/>
    </row>
    <row r="1882" spans="41:48" x14ac:dyDescent="0.35">
      <c r="AO1882"/>
      <c r="AP1882"/>
      <c r="AQ1882"/>
      <c r="AR1882"/>
      <c r="AS1882"/>
      <c r="AT1882"/>
      <c r="AU1882"/>
      <c r="AV1882"/>
    </row>
    <row r="1883" spans="41:48" x14ac:dyDescent="0.35">
      <c r="AO1883"/>
      <c r="AP1883"/>
      <c r="AQ1883"/>
      <c r="AR1883"/>
      <c r="AS1883"/>
      <c r="AT1883"/>
      <c r="AU1883"/>
      <c r="AV1883"/>
    </row>
    <row r="1884" spans="41:48" x14ac:dyDescent="0.35">
      <c r="AO1884"/>
      <c r="AP1884"/>
      <c r="AQ1884"/>
      <c r="AR1884"/>
      <c r="AS1884"/>
      <c r="AT1884"/>
      <c r="AU1884"/>
      <c r="AV1884"/>
    </row>
    <row r="1885" spans="41:48" x14ac:dyDescent="0.35">
      <c r="AO1885"/>
      <c r="AP1885"/>
      <c r="AQ1885"/>
      <c r="AR1885"/>
      <c r="AS1885"/>
      <c r="AT1885"/>
      <c r="AU1885"/>
      <c r="AV1885"/>
    </row>
    <row r="1886" spans="41:48" x14ac:dyDescent="0.35">
      <c r="AO1886"/>
      <c r="AP1886"/>
      <c r="AQ1886"/>
      <c r="AR1886"/>
      <c r="AS1886"/>
      <c r="AT1886"/>
      <c r="AU1886"/>
      <c r="AV1886"/>
    </row>
    <row r="1887" spans="41:48" x14ac:dyDescent="0.35">
      <c r="AO1887"/>
      <c r="AP1887"/>
      <c r="AQ1887"/>
      <c r="AR1887"/>
      <c r="AS1887"/>
      <c r="AT1887"/>
      <c r="AU1887"/>
      <c r="AV1887"/>
    </row>
    <row r="1888" spans="41:48" x14ac:dyDescent="0.35">
      <c r="AO1888"/>
      <c r="AP1888"/>
      <c r="AQ1888"/>
      <c r="AR1888"/>
      <c r="AS1888"/>
      <c r="AT1888"/>
      <c r="AU1888"/>
      <c r="AV1888"/>
    </row>
    <row r="1889" spans="41:48" x14ac:dyDescent="0.35">
      <c r="AO1889"/>
      <c r="AP1889"/>
      <c r="AQ1889"/>
      <c r="AR1889"/>
      <c r="AS1889"/>
      <c r="AT1889"/>
      <c r="AU1889"/>
      <c r="AV1889"/>
    </row>
    <row r="1890" spans="41:48" x14ac:dyDescent="0.35">
      <c r="AO1890"/>
      <c r="AP1890"/>
      <c r="AQ1890"/>
      <c r="AR1890"/>
      <c r="AS1890"/>
      <c r="AT1890"/>
      <c r="AU1890"/>
      <c r="AV1890"/>
    </row>
    <row r="1891" spans="41:48" x14ac:dyDescent="0.35">
      <c r="AO1891"/>
      <c r="AP1891"/>
      <c r="AQ1891"/>
      <c r="AR1891"/>
      <c r="AS1891"/>
      <c r="AT1891"/>
      <c r="AU1891"/>
      <c r="AV1891"/>
    </row>
    <row r="1892" spans="41:48" x14ac:dyDescent="0.35">
      <c r="AO1892"/>
      <c r="AP1892"/>
      <c r="AQ1892"/>
      <c r="AR1892"/>
      <c r="AS1892"/>
      <c r="AT1892"/>
      <c r="AU1892"/>
      <c r="AV1892"/>
    </row>
    <row r="1893" spans="41:48" x14ac:dyDescent="0.35">
      <c r="AO1893"/>
      <c r="AP1893"/>
      <c r="AQ1893"/>
      <c r="AR1893"/>
      <c r="AS1893"/>
      <c r="AT1893"/>
      <c r="AU1893"/>
      <c r="AV1893"/>
    </row>
    <row r="1894" spans="41:48" x14ac:dyDescent="0.35">
      <c r="AO1894"/>
      <c r="AP1894"/>
      <c r="AQ1894"/>
      <c r="AR1894"/>
      <c r="AS1894"/>
      <c r="AT1894"/>
      <c r="AU1894"/>
      <c r="AV1894"/>
    </row>
    <row r="1895" spans="41:48" x14ac:dyDescent="0.35">
      <c r="AO1895"/>
      <c r="AP1895"/>
      <c r="AQ1895"/>
      <c r="AR1895"/>
      <c r="AS1895"/>
      <c r="AT1895"/>
      <c r="AU1895"/>
      <c r="AV1895"/>
    </row>
    <row r="1896" spans="41:48" x14ac:dyDescent="0.35">
      <c r="AO1896"/>
      <c r="AP1896"/>
      <c r="AQ1896"/>
      <c r="AR1896"/>
      <c r="AS1896"/>
      <c r="AT1896"/>
      <c r="AU1896"/>
      <c r="AV1896"/>
    </row>
    <row r="1897" spans="41:48" x14ac:dyDescent="0.35">
      <c r="AO1897"/>
      <c r="AP1897"/>
      <c r="AQ1897"/>
      <c r="AR1897"/>
      <c r="AS1897"/>
      <c r="AT1897"/>
      <c r="AU1897"/>
      <c r="AV1897"/>
    </row>
    <row r="1898" spans="41:48" x14ac:dyDescent="0.35">
      <c r="AO1898"/>
      <c r="AP1898"/>
      <c r="AQ1898"/>
      <c r="AR1898"/>
      <c r="AS1898"/>
      <c r="AT1898"/>
      <c r="AU1898"/>
      <c r="AV1898"/>
    </row>
    <row r="1899" spans="41:48" x14ac:dyDescent="0.35">
      <c r="AO1899"/>
      <c r="AP1899"/>
      <c r="AQ1899"/>
      <c r="AR1899"/>
      <c r="AS1899"/>
      <c r="AT1899"/>
      <c r="AU1899"/>
      <c r="AV1899"/>
    </row>
    <row r="1900" spans="41:48" x14ac:dyDescent="0.35">
      <c r="AO1900"/>
      <c r="AP1900"/>
      <c r="AQ1900"/>
      <c r="AR1900"/>
      <c r="AS1900"/>
      <c r="AT1900"/>
      <c r="AU1900"/>
      <c r="AV1900"/>
    </row>
    <row r="1901" spans="41:48" x14ac:dyDescent="0.35">
      <c r="AO1901"/>
      <c r="AP1901"/>
      <c r="AQ1901"/>
      <c r="AR1901"/>
      <c r="AS1901"/>
      <c r="AT1901"/>
      <c r="AU1901"/>
      <c r="AV1901"/>
    </row>
    <row r="1902" spans="41:48" x14ac:dyDescent="0.35">
      <c r="AO1902"/>
      <c r="AP1902"/>
      <c r="AQ1902"/>
      <c r="AR1902"/>
      <c r="AS1902"/>
      <c r="AT1902"/>
      <c r="AU1902"/>
      <c r="AV1902"/>
    </row>
    <row r="1903" spans="41:48" x14ac:dyDescent="0.35">
      <c r="AO1903"/>
      <c r="AP1903"/>
      <c r="AQ1903"/>
      <c r="AR1903"/>
      <c r="AS1903"/>
      <c r="AT1903"/>
      <c r="AU1903"/>
      <c r="AV1903"/>
    </row>
    <row r="1904" spans="41:48" x14ac:dyDescent="0.35">
      <c r="AO1904"/>
      <c r="AP1904"/>
      <c r="AQ1904"/>
      <c r="AR1904"/>
      <c r="AS1904"/>
      <c r="AT1904"/>
      <c r="AU1904"/>
      <c r="AV1904"/>
    </row>
    <row r="1905" spans="41:48" x14ac:dyDescent="0.35">
      <c r="AO1905"/>
      <c r="AP1905"/>
      <c r="AQ1905"/>
      <c r="AR1905"/>
      <c r="AS1905"/>
      <c r="AT1905"/>
      <c r="AU1905"/>
      <c r="AV1905"/>
    </row>
    <row r="1906" spans="41:48" x14ac:dyDescent="0.35">
      <c r="AO1906"/>
      <c r="AP1906"/>
      <c r="AQ1906"/>
      <c r="AR1906"/>
      <c r="AS1906"/>
      <c r="AT1906"/>
      <c r="AU1906"/>
      <c r="AV1906"/>
    </row>
    <row r="1907" spans="41:48" x14ac:dyDescent="0.35">
      <c r="AO1907"/>
      <c r="AP1907"/>
      <c r="AQ1907"/>
      <c r="AR1907"/>
      <c r="AS1907"/>
      <c r="AT1907"/>
      <c r="AU1907"/>
      <c r="AV1907"/>
    </row>
    <row r="1908" spans="41:48" x14ac:dyDescent="0.35">
      <c r="AO1908"/>
      <c r="AP1908"/>
      <c r="AQ1908"/>
      <c r="AR1908"/>
      <c r="AS1908"/>
      <c r="AT1908"/>
      <c r="AU1908"/>
      <c r="AV1908"/>
    </row>
    <row r="1909" spans="41:48" x14ac:dyDescent="0.35">
      <c r="AO1909"/>
      <c r="AP1909"/>
      <c r="AQ1909"/>
      <c r="AR1909"/>
      <c r="AS1909"/>
      <c r="AT1909"/>
      <c r="AU1909"/>
      <c r="AV1909"/>
    </row>
    <row r="1910" spans="41:48" x14ac:dyDescent="0.35">
      <c r="AO1910"/>
      <c r="AP1910"/>
      <c r="AQ1910"/>
      <c r="AR1910"/>
      <c r="AS1910"/>
      <c r="AT1910"/>
      <c r="AU1910"/>
      <c r="AV1910"/>
    </row>
    <row r="1911" spans="41:48" x14ac:dyDescent="0.35">
      <c r="AO1911"/>
      <c r="AP1911"/>
      <c r="AQ1911"/>
      <c r="AR1911"/>
      <c r="AS1911"/>
      <c r="AT1911"/>
      <c r="AU1911"/>
      <c r="AV1911"/>
    </row>
    <row r="1912" spans="41:48" x14ac:dyDescent="0.35">
      <c r="AO1912"/>
      <c r="AP1912"/>
      <c r="AQ1912"/>
      <c r="AR1912"/>
      <c r="AS1912"/>
      <c r="AT1912"/>
      <c r="AU1912"/>
      <c r="AV1912"/>
    </row>
    <row r="1913" spans="41:48" x14ac:dyDescent="0.35">
      <c r="AO1913"/>
      <c r="AP1913"/>
      <c r="AQ1913"/>
      <c r="AR1913"/>
      <c r="AS1913"/>
      <c r="AT1913"/>
      <c r="AU1913"/>
      <c r="AV1913"/>
    </row>
    <row r="1914" spans="41:48" x14ac:dyDescent="0.35">
      <c r="AO1914"/>
      <c r="AP1914"/>
      <c r="AQ1914"/>
      <c r="AR1914"/>
      <c r="AS1914"/>
      <c r="AT1914"/>
      <c r="AU1914"/>
      <c r="AV1914"/>
    </row>
    <row r="1915" spans="41:48" x14ac:dyDescent="0.35">
      <c r="AO1915"/>
      <c r="AP1915"/>
      <c r="AQ1915"/>
      <c r="AR1915"/>
      <c r="AS1915"/>
      <c r="AT1915"/>
      <c r="AU1915"/>
      <c r="AV1915"/>
    </row>
    <row r="1916" spans="41:48" x14ac:dyDescent="0.35">
      <c r="AO1916"/>
      <c r="AP1916"/>
      <c r="AQ1916"/>
      <c r="AR1916"/>
      <c r="AS1916"/>
      <c r="AT1916"/>
      <c r="AU1916"/>
      <c r="AV1916"/>
    </row>
    <row r="1917" spans="41:48" x14ac:dyDescent="0.35">
      <c r="AO1917"/>
      <c r="AP1917"/>
      <c r="AQ1917"/>
      <c r="AR1917"/>
      <c r="AS1917"/>
      <c r="AT1917"/>
      <c r="AU1917"/>
      <c r="AV1917"/>
    </row>
    <row r="1918" spans="41:48" x14ac:dyDescent="0.35">
      <c r="AO1918"/>
      <c r="AP1918"/>
      <c r="AQ1918"/>
      <c r="AR1918"/>
      <c r="AS1918"/>
      <c r="AT1918"/>
      <c r="AU1918"/>
      <c r="AV1918"/>
    </row>
    <row r="1919" spans="41:48" x14ac:dyDescent="0.35">
      <c r="AO1919"/>
      <c r="AP1919"/>
      <c r="AQ1919"/>
      <c r="AR1919"/>
      <c r="AS1919"/>
      <c r="AT1919"/>
      <c r="AU1919"/>
      <c r="AV1919"/>
    </row>
    <row r="1920" spans="41:48" x14ac:dyDescent="0.35">
      <c r="AO1920"/>
      <c r="AP1920"/>
      <c r="AQ1920"/>
      <c r="AR1920"/>
      <c r="AS1920"/>
      <c r="AT1920"/>
      <c r="AU1920"/>
      <c r="AV1920"/>
    </row>
    <row r="1921" spans="41:48" x14ac:dyDescent="0.35">
      <c r="AO1921"/>
      <c r="AP1921"/>
      <c r="AQ1921"/>
      <c r="AR1921"/>
      <c r="AS1921"/>
      <c r="AT1921"/>
      <c r="AU1921"/>
      <c r="AV1921"/>
    </row>
    <row r="1922" spans="41:48" x14ac:dyDescent="0.35">
      <c r="AO1922"/>
      <c r="AP1922"/>
      <c r="AQ1922"/>
      <c r="AR1922"/>
      <c r="AS1922"/>
      <c r="AT1922"/>
      <c r="AU1922"/>
      <c r="AV1922"/>
    </row>
    <row r="1923" spans="41:48" x14ac:dyDescent="0.35">
      <c r="AO1923"/>
      <c r="AP1923"/>
      <c r="AQ1923"/>
      <c r="AR1923"/>
      <c r="AS1923"/>
      <c r="AT1923"/>
      <c r="AU1923"/>
      <c r="AV1923"/>
    </row>
    <row r="1924" spans="41:48" x14ac:dyDescent="0.35">
      <c r="AO1924"/>
      <c r="AP1924"/>
      <c r="AQ1924"/>
      <c r="AR1924"/>
      <c r="AS1924"/>
      <c r="AT1924"/>
      <c r="AU1924"/>
      <c r="AV1924"/>
    </row>
    <row r="1925" spans="41:48" x14ac:dyDescent="0.35">
      <c r="AO1925"/>
      <c r="AP1925"/>
      <c r="AQ1925"/>
      <c r="AR1925"/>
      <c r="AS1925"/>
      <c r="AT1925"/>
      <c r="AU1925"/>
      <c r="AV1925"/>
    </row>
    <row r="1926" spans="41:48" x14ac:dyDescent="0.35">
      <c r="AO1926"/>
      <c r="AP1926"/>
      <c r="AQ1926"/>
      <c r="AR1926"/>
      <c r="AS1926"/>
      <c r="AT1926"/>
      <c r="AU1926"/>
      <c r="AV1926"/>
    </row>
    <row r="1927" spans="41:48" x14ac:dyDescent="0.35">
      <c r="AO1927"/>
      <c r="AP1927"/>
      <c r="AQ1927"/>
      <c r="AR1927"/>
      <c r="AS1927"/>
      <c r="AT1927"/>
      <c r="AU1927"/>
      <c r="AV1927"/>
    </row>
    <row r="1928" spans="41:48" x14ac:dyDescent="0.35">
      <c r="AO1928"/>
      <c r="AP1928"/>
      <c r="AQ1928"/>
      <c r="AR1928"/>
      <c r="AS1928"/>
      <c r="AT1928"/>
      <c r="AU1928"/>
      <c r="AV1928"/>
    </row>
    <row r="1929" spans="41:48" x14ac:dyDescent="0.35">
      <c r="AO1929"/>
      <c r="AP1929"/>
      <c r="AQ1929"/>
      <c r="AR1929"/>
      <c r="AS1929"/>
      <c r="AT1929"/>
      <c r="AU1929"/>
      <c r="AV1929"/>
    </row>
    <row r="1930" spans="41:48" x14ac:dyDescent="0.35">
      <c r="AO1930"/>
      <c r="AP1930"/>
      <c r="AQ1930"/>
      <c r="AR1930"/>
      <c r="AS1930"/>
      <c r="AT1930"/>
      <c r="AU1930"/>
      <c r="AV1930"/>
    </row>
    <row r="1931" spans="41:48" x14ac:dyDescent="0.35">
      <c r="AO1931"/>
      <c r="AP1931"/>
      <c r="AQ1931"/>
      <c r="AR1931"/>
      <c r="AS1931"/>
      <c r="AT1931"/>
      <c r="AU1931"/>
      <c r="AV1931"/>
    </row>
    <row r="1932" spans="41:48" x14ac:dyDescent="0.35">
      <c r="AO1932"/>
      <c r="AP1932"/>
      <c r="AQ1932"/>
      <c r="AR1932"/>
      <c r="AS1932"/>
      <c r="AT1932"/>
      <c r="AU1932"/>
      <c r="AV1932"/>
    </row>
    <row r="1933" spans="41:48" x14ac:dyDescent="0.35">
      <c r="AO1933"/>
      <c r="AP1933"/>
      <c r="AQ1933"/>
      <c r="AR1933"/>
      <c r="AS1933"/>
      <c r="AT1933"/>
      <c r="AU1933"/>
      <c r="AV1933"/>
    </row>
    <row r="1934" spans="41:48" x14ac:dyDescent="0.35">
      <c r="AO1934"/>
      <c r="AP1934"/>
      <c r="AQ1934"/>
      <c r="AR1934"/>
      <c r="AS1934"/>
      <c r="AT1934"/>
      <c r="AU1934"/>
      <c r="AV1934"/>
    </row>
    <row r="1935" spans="41:48" x14ac:dyDescent="0.35">
      <c r="AO1935"/>
      <c r="AP1935"/>
      <c r="AQ1935"/>
      <c r="AR1935"/>
      <c r="AS1935"/>
      <c r="AT1935"/>
      <c r="AU1935"/>
      <c r="AV1935"/>
    </row>
    <row r="1936" spans="41:48" x14ac:dyDescent="0.35">
      <c r="AO1936"/>
      <c r="AP1936"/>
      <c r="AQ1936"/>
      <c r="AR1936"/>
      <c r="AS1936"/>
      <c r="AT1936"/>
      <c r="AU1936"/>
      <c r="AV1936"/>
    </row>
    <row r="1937" spans="41:48" x14ac:dyDescent="0.35">
      <c r="AO1937"/>
      <c r="AP1937"/>
      <c r="AQ1937"/>
      <c r="AR1937"/>
      <c r="AS1937"/>
      <c r="AT1937"/>
      <c r="AU1937"/>
      <c r="AV1937"/>
    </row>
    <row r="1938" spans="41:48" x14ac:dyDescent="0.35">
      <c r="AO1938"/>
      <c r="AP1938"/>
      <c r="AQ1938"/>
      <c r="AR1938"/>
      <c r="AS1938"/>
      <c r="AT1938"/>
      <c r="AU1938"/>
      <c r="AV1938"/>
    </row>
    <row r="1939" spans="41:48" x14ac:dyDescent="0.35">
      <c r="AO1939"/>
      <c r="AP1939"/>
      <c r="AQ1939"/>
      <c r="AR1939"/>
      <c r="AS1939"/>
      <c r="AT1939"/>
      <c r="AU1939"/>
      <c r="AV1939"/>
    </row>
    <row r="1940" spans="41:48" x14ac:dyDescent="0.35">
      <c r="AO1940"/>
      <c r="AP1940"/>
      <c r="AQ1940"/>
      <c r="AR1940"/>
      <c r="AS1940"/>
      <c r="AT1940"/>
      <c r="AU1940"/>
      <c r="AV1940"/>
    </row>
    <row r="1941" spans="41:48" x14ac:dyDescent="0.35">
      <c r="AO1941"/>
      <c r="AP1941"/>
      <c r="AQ1941"/>
      <c r="AR1941"/>
      <c r="AS1941"/>
      <c r="AT1941"/>
      <c r="AU1941"/>
      <c r="AV1941"/>
    </row>
    <row r="1942" spans="41:48" x14ac:dyDescent="0.35">
      <c r="AO1942"/>
      <c r="AP1942"/>
      <c r="AQ1942"/>
      <c r="AR1942"/>
      <c r="AS1942"/>
      <c r="AT1942"/>
      <c r="AU1942"/>
      <c r="AV1942"/>
    </row>
    <row r="1943" spans="41:48" x14ac:dyDescent="0.35">
      <c r="AO1943"/>
      <c r="AP1943"/>
      <c r="AQ1943"/>
      <c r="AR1943"/>
      <c r="AS1943"/>
      <c r="AT1943"/>
      <c r="AU1943"/>
      <c r="AV1943"/>
    </row>
    <row r="1944" spans="41:48" x14ac:dyDescent="0.35">
      <c r="AO1944"/>
      <c r="AP1944"/>
      <c r="AQ1944"/>
      <c r="AR1944"/>
      <c r="AS1944"/>
      <c r="AT1944"/>
      <c r="AU1944"/>
      <c r="AV1944"/>
    </row>
    <row r="1945" spans="41:48" x14ac:dyDescent="0.35">
      <c r="AO1945"/>
      <c r="AP1945"/>
      <c r="AQ1945"/>
      <c r="AR1945"/>
      <c r="AS1945"/>
      <c r="AT1945"/>
      <c r="AU1945"/>
      <c r="AV1945"/>
    </row>
    <row r="1946" spans="41:48" x14ac:dyDescent="0.35">
      <c r="AO1946"/>
      <c r="AP1946"/>
      <c r="AQ1946"/>
      <c r="AR1946"/>
      <c r="AS1946"/>
      <c r="AT1946"/>
      <c r="AU1946"/>
      <c r="AV1946"/>
    </row>
    <row r="1947" spans="41:48" x14ac:dyDescent="0.35">
      <c r="AO1947"/>
      <c r="AP1947"/>
      <c r="AQ1947"/>
      <c r="AR1947"/>
      <c r="AS1947"/>
      <c r="AT1947"/>
      <c r="AU1947"/>
      <c r="AV1947"/>
    </row>
    <row r="1948" spans="41:48" x14ac:dyDescent="0.35">
      <c r="AO1948"/>
      <c r="AP1948"/>
      <c r="AQ1948"/>
      <c r="AR1948"/>
      <c r="AS1948"/>
      <c r="AT1948"/>
      <c r="AU1948"/>
      <c r="AV1948"/>
    </row>
    <row r="1949" spans="41:48" x14ac:dyDescent="0.35">
      <c r="AO1949"/>
      <c r="AP1949"/>
      <c r="AQ1949"/>
      <c r="AR1949"/>
      <c r="AS1949"/>
      <c r="AT1949"/>
      <c r="AU1949"/>
      <c r="AV1949"/>
    </row>
    <row r="1950" spans="41:48" x14ac:dyDescent="0.35">
      <c r="AO1950"/>
      <c r="AP1950"/>
      <c r="AQ1950"/>
      <c r="AR1950"/>
      <c r="AS1950"/>
      <c r="AT1950"/>
      <c r="AU1950"/>
      <c r="AV1950"/>
    </row>
    <row r="1951" spans="41:48" x14ac:dyDescent="0.35">
      <c r="AO1951"/>
      <c r="AP1951"/>
      <c r="AQ1951"/>
      <c r="AR1951"/>
      <c r="AS1951"/>
      <c r="AT1951"/>
      <c r="AU1951"/>
      <c r="AV1951"/>
    </row>
    <row r="1952" spans="41:48" x14ac:dyDescent="0.35">
      <c r="AO1952"/>
      <c r="AP1952"/>
      <c r="AQ1952"/>
      <c r="AR1952"/>
      <c r="AS1952"/>
      <c r="AT1952"/>
      <c r="AU1952"/>
      <c r="AV1952"/>
    </row>
    <row r="1953" spans="41:48" x14ac:dyDescent="0.35">
      <c r="AO1953"/>
      <c r="AP1953"/>
      <c r="AQ1953"/>
      <c r="AR1953"/>
      <c r="AS1953"/>
      <c r="AT1953"/>
      <c r="AU1953"/>
      <c r="AV1953"/>
    </row>
    <row r="1954" spans="41:48" x14ac:dyDescent="0.35">
      <c r="AO1954"/>
      <c r="AP1954"/>
      <c r="AQ1954"/>
      <c r="AR1954"/>
      <c r="AS1954"/>
      <c r="AT1954"/>
      <c r="AU1954"/>
      <c r="AV1954"/>
    </row>
    <row r="1955" spans="41:48" x14ac:dyDescent="0.35">
      <c r="AO1955"/>
      <c r="AP1955"/>
      <c r="AQ1955"/>
      <c r="AR1955"/>
      <c r="AS1955"/>
      <c r="AT1955"/>
      <c r="AU1955"/>
      <c r="AV1955"/>
    </row>
    <row r="1956" spans="41:48" x14ac:dyDescent="0.35">
      <c r="AO1956"/>
      <c r="AP1956"/>
      <c r="AQ1956"/>
      <c r="AR1956"/>
      <c r="AS1956"/>
      <c r="AT1956"/>
      <c r="AU1956"/>
      <c r="AV1956"/>
    </row>
    <row r="1957" spans="41:48" x14ac:dyDescent="0.35">
      <c r="AO1957"/>
      <c r="AP1957"/>
      <c r="AQ1957"/>
      <c r="AR1957"/>
      <c r="AS1957"/>
      <c r="AT1957"/>
      <c r="AU1957"/>
      <c r="AV1957"/>
    </row>
    <row r="1958" spans="41:48" x14ac:dyDescent="0.35">
      <c r="AO1958"/>
      <c r="AP1958"/>
      <c r="AQ1958"/>
      <c r="AR1958"/>
      <c r="AS1958"/>
      <c r="AT1958"/>
      <c r="AU1958"/>
      <c r="AV1958"/>
    </row>
    <row r="1959" spans="41:48" x14ac:dyDescent="0.35">
      <c r="AO1959"/>
      <c r="AP1959"/>
      <c r="AQ1959"/>
      <c r="AR1959"/>
      <c r="AS1959"/>
      <c r="AT1959"/>
      <c r="AU1959"/>
      <c r="AV1959"/>
    </row>
    <row r="1960" spans="41:48" x14ac:dyDescent="0.35">
      <c r="AO1960"/>
      <c r="AP1960"/>
      <c r="AQ1960"/>
      <c r="AR1960"/>
      <c r="AS1960"/>
      <c r="AT1960"/>
      <c r="AU1960"/>
      <c r="AV1960"/>
    </row>
    <row r="1961" spans="41:48" x14ac:dyDescent="0.35">
      <c r="AO1961"/>
      <c r="AP1961"/>
      <c r="AQ1961"/>
      <c r="AR1961"/>
      <c r="AS1961"/>
      <c r="AT1961"/>
      <c r="AU1961"/>
      <c r="AV1961"/>
    </row>
    <row r="1962" spans="41:48" x14ac:dyDescent="0.35">
      <c r="AO1962"/>
      <c r="AP1962"/>
      <c r="AQ1962"/>
      <c r="AR1962"/>
      <c r="AS1962"/>
      <c r="AT1962"/>
      <c r="AU1962"/>
      <c r="AV1962"/>
    </row>
    <row r="1963" spans="41:48" x14ac:dyDescent="0.35">
      <c r="AO1963"/>
      <c r="AP1963"/>
      <c r="AQ1963"/>
      <c r="AR1963"/>
      <c r="AS1963"/>
      <c r="AT1963"/>
      <c r="AU1963"/>
      <c r="AV1963"/>
    </row>
    <row r="1964" spans="41:48" x14ac:dyDescent="0.35">
      <c r="AO1964"/>
      <c r="AP1964"/>
      <c r="AQ1964"/>
      <c r="AR1964"/>
      <c r="AS1964"/>
      <c r="AT1964"/>
      <c r="AU1964"/>
      <c r="AV1964"/>
    </row>
    <row r="1965" spans="41:48" x14ac:dyDescent="0.35">
      <c r="AO1965"/>
      <c r="AP1965"/>
      <c r="AQ1965"/>
      <c r="AR1965"/>
      <c r="AS1965"/>
      <c r="AT1965"/>
      <c r="AU1965"/>
      <c r="AV1965"/>
    </row>
    <row r="1966" spans="41:48" x14ac:dyDescent="0.35">
      <c r="AO1966"/>
      <c r="AP1966"/>
      <c r="AQ1966"/>
      <c r="AR1966"/>
      <c r="AS1966"/>
      <c r="AT1966"/>
      <c r="AU1966"/>
      <c r="AV1966"/>
    </row>
    <row r="1967" spans="41:48" x14ac:dyDescent="0.35">
      <c r="AO1967"/>
      <c r="AP1967"/>
      <c r="AQ1967"/>
      <c r="AR1967"/>
      <c r="AS1967"/>
      <c r="AT1967"/>
      <c r="AU1967"/>
      <c r="AV1967"/>
    </row>
    <row r="1968" spans="41:48" x14ac:dyDescent="0.35">
      <c r="AO1968"/>
      <c r="AP1968"/>
      <c r="AQ1968"/>
      <c r="AR1968"/>
      <c r="AS1968"/>
      <c r="AT1968"/>
      <c r="AU1968"/>
      <c r="AV1968"/>
    </row>
    <row r="1969" spans="41:48" x14ac:dyDescent="0.35">
      <c r="AO1969"/>
      <c r="AP1969"/>
      <c r="AQ1969"/>
      <c r="AR1969"/>
      <c r="AS1969"/>
      <c r="AT1969"/>
      <c r="AU1969"/>
      <c r="AV1969"/>
    </row>
    <row r="1970" spans="41:48" x14ac:dyDescent="0.35">
      <c r="AO1970"/>
      <c r="AP1970"/>
      <c r="AQ1970"/>
      <c r="AR1970"/>
      <c r="AS1970"/>
      <c r="AT1970"/>
      <c r="AU1970"/>
      <c r="AV1970"/>
    </row>
    <row r="1971" spans="41:48" x14ac:dyDescent="0.35">
      <c r="AO1971"/>
      <c r="AP1971"/>
      <c r="AQ1971"/>
      <c r="AR1971"/>
      <c r="AS1971"/>
      <c r="AT1971"/>
      <c r="AU1971"/>
      <c r="AV1971"/>
    </row>
    <row r="1972" spans="41:48" x14ac:dyDescent="0.35">
      <c r="AO1972"/>
      <c r="AP1972"/>
      <c r="AQ1972"/>
      <c r="AR1972"/>
      <c r="AS1972"/>
      <c r="AT1972"/>
      <c r="AU1972"/>
      <c r="AV1972"/>
    </row>
    <row r="1973" spans="41:48" x14ac:dyDescent="0.35">
      <c r="AO1973"/>
      <c r="AP1973"/>
      <c r="AQ1973"/>
      <c r="AR1973"/>
      <c r="AS1973"/>
      <c r="AT1973"/>
      <c r="AU1973"/>
      <c r="AV1973"/>
    </row>
    <row r="1974" spans="41:48" x14ac:dyDescent="0.35">
      <c r="AO1974"/>
      <c r="AP1974"/>
      <c r="AQ1974"/>
      <c r="AR1974"/>
      <c r="AS1974"/>
      <c r="AT1974"/>
      <c r="AU1974"/>
      <c r="AV1974"/>
    </row>
    <row r="1975" spans="41:48" x14ac:dyDescent="0.35">
      <c r="AO1975"/>
      <c r="AP1975"/>
      <c r="AQ1975"/>
      <c r="AR1975"/>
      <c r="AS1975"/>
      <c r="AT1975"/>
      <c r="AU1975"/>
      <c r="AV1975"/>
    </row>
    <row r="1976" spans="41:48" x14ac:dyDescent="0.35">
      <c r="AO1976"/>
      <c r="AP1976"/>
      <c r="AQ1976"/>
      <c r="AR1976"/>
      <c r="AS1976"/>
      <c r="AT1976"/>
      <c r="AU1976"/>
      <c r="AV1976"/>
    </row>
    <row r="1977" spans="41:48" x14ac:dyDescent="0.35">
      <c r="AO1977"/>
      <c r="AP1977"/>
      <c r="AQ1977"/>
      <c r="AR1977"/>
      <c r="AS1977"/>
      <c r="AT1977"/>
      <c r="AU1977"/>
      <c r="AV1977"/>
    </row>
    <row r="1978" spans="41:48" x14ac:dyDescent="0.35">
      <c r="AO1978"/>
      <c r="AP1978"/>
      <c r="AQ1978"/>
      <c r="AR1978"/>
      <c r="AS1978"/>
      <c r="AT1978"/>
      <c r="AU1978"/>
      <c r="AV1978"/>
    </row>
    <row r="1979" spans="41:48" x14ac:dyDescent="0.35">
      <c r="AO1979"/>
      <c r="AP1979"/>
      <c r="AQ1979"/>
      <c r="AR1979"/>
      <c r="AS1979"/>
      <c r="AT1979"/>
      <c r="AU1979"/>
      <c r="AV1979"/>
    </row>
    <row r="1980" spans="41:48" x14ac:dyDescent="0.35">
      <c r="AO1980"/>
      <c r="AP1980"/>
      <c r="AQ1980"/>
      <c r="AR1980"/>
      <c r="AS1980"/>
      <c r="AT1980"/>
      <c r="AU1980"/>
      <c r="AV1980"/>
    </row>
    <row r="1981" spans="41:48" x14ac:dyDescent="0.35">
      <c r="AO1981"/>
      <c r="AP1981"/>
      <c r="AQ1981"/>
      <c r="AR1981"/>
      <c r="AS1981"/>
      <c r="AT1981"/>
      <c r="AU1981"/>
      <c r="AV1981"/>
    </row>
    <row r="1982" spans="41:48" x14ac:dyDescent="0.35">
      <c r="AO1982"/>
      <c r="AP1982"/>
      <c r="AQ1982"/>
      <c r="AR1982"/>
      <c r="AS1982"/>
      <c r="AT1982"/>
      <c r="AU1982"/>
      <c r="AV1982"/>
    </row>
    <row r="1983" spans="41:48" x14ac:dyDescent="0.35">
      <c r="AO1983"/>
      <c r="AP1983"/>
      <c r="AQ1983"/>
      <c r="AR1983"/>
      <c r="AS1983"/>
      <c r="AT1983"/>
      <c r="AU1983"/>
      <c r="AV1983"/>
    </row>
    <row r="1984" spans="41:48" x14ac:dyDescent="0.35">
      <c r="AO1984"/>
      <c r="AP1984"/>
      <c r="AQ1984"/>
      <c r="AR1984"/>
      <c r="AS1984"/>
      <c r="AT1984"/>
      <c r="AU1984"/>
      <c r="AV1984"/>
    </row>
    <row r="1985" spans="41:48" x14ac:dyDescent="0.35">
      <c r="AO1985"/>
      <c r="AP1985"/>
      <c r="AQ1985"/>
      <c r="AR1985"/>
      <c r="AS1985"/>
      <c r="AT1985"/>
      <c r="AU1985"/>
      <c r="AV1985"/>
    </row>
    <row r="1986" spans="41:48" x14ac:dyDescent="0.35">
      <c r="AO1986"/>
      <c r="AP1986"/>
      <c r="AQ1986"/>
      <c r="AR1986"/>
      <c r="AS1986"/>
      <c r="AT1986"/>
      <c r="AU1986"/>
      <c r="AV1986"/>
    </row>
    <row r="1987" spans="41:48" x14ac:dyDescent="0.35">
      <c r="AO1987"/>
      <c r="AP1987"/>
      <c r="AQ1987"/>
      <c r="AR1987"/>
      <c r="AS1987"/>
      <c r="AT1987"/>
      <c r="AU1987"/>
      <c r="AV1987"/>
    </row>
    <row r="1988" spans="41:48" x14ac:dyDescent="0.35">
      <c r="AO1988"/>
      <c r="AP1988"/>
      <c r="AQ1988"/>
      <c r="AR1988"/>
      <c r="AS1988"/>
      <c r="AT1988"/>
      <c r="AU1988"/>
      <c r="AV1988"/>
    </row>
    <row r="1989" spans="41:48" x14ac:dyDescent="0.35">
      <c r="AO1989"/>
      <c r="AP1989"/>
      <c r="AQ1989"/>
      <c r="AR1989"/>
      <c r="AS1989"/>
      <c r="AT1989"/>
      <c r="AU1989"/>
      <c r="AV1989"/>
    </row>
    <row r="1990" spans="41:48" x14ac:dyDescent="0.35">
      <c r="AO1990"/>
      <c r="AP1990"/>
      <c r="AQ1990"/>
      <c r="AR1990"/>
      <c r="AS1990"/>
      <c r="AT1990"/>
      <c r="AU1990"/>
      <c r="AV1990"/>
    </row>
    <row r="1991" spans="41:48" x14ac:dyDescent="0.35">
      <c r="AO1991"/>
      <c r="AP1991"/>
      <c r="AQ1991"/>
      <c r="AR1991"/>
      <c r="AS1991"/>
      <c r="AT1991"/>
      <c r="AU1991"/>
      <c r="AV1991"/>
    </row>
    <row r="1992" spans="41:48" x14ac:dyDescent="0.35">
      <c r="AO1992"/>
      <c r="AP1992"/>
      <c r="AQ1992"/>
      <c r="AR1992"/>
      <c r="AS1992"/>
      <c r="AT1992"/>
      <c r="AU1992"/>
      <c r="AV1992"/>
    </row>
    <row r="1993" spans="41:48" x14ac:dyDescent="0.35">
      <c r="AO1993"/>
      <c r="AP1993"/>
      <c r="AQ1993"/>
      <c r="AR1993"/>
      <c r="AS1993"/>
      <c r="AT1993"/>
      <c r="AU1993"/>
      <c r="AV1993"/>
    </row>
    <row r="1994" spans="41:48" x14ac:dyDescent="0.35">
      <c r="AO1994"/>
      <c r="AP1994"/>
      <c r="AQ1994"/>
      <c r="AR1994"/>
      <c r="AS1994"/>
      <c r="AT1994"/>
      <c r="AU1994"/>
      <c r="AV1994"/>
    </row>
    <row r="1995" spans="41:48" x14ac:dyDescent="0.35">
      <c r="AO1995"/>
      <c r="AP1995"/>
      <c r="AQ1995"/>
      <c r="AR1995"/>
      <c r="AS1995"/>
      <c r="AT1995"/>
      <c r="AU1995"/>
      <c r="AV1995"/>
    </row>
    <row r="1996" spans="41:48" x14ac:dyDescent="0.35">
      <c r="AO1996"/>
      <c r="AP1996"/>
      <c r="AQ1996"/>
      <c r="AR1996"/>
      <c r="AS1996"/>
      <c r="AT1996"/>
      <c r="AU1996"/>
      <c r="AV1996"/>
    </row>
    <row r="1997" spans="41:48" x14ac:dyDescent="0.35">
      <c r="AO1997"/>
      <c r="AP1997"/>
      <c r="AQ1997"/>
      <c r="AR1997"/>
      <c r="AS1997"/>
      <c r="AT1997"/>
      <c r="AU1997"/>
      <c r="AV1997"/>
    </row>
    <row r="1998" spans="41:48" x14ac:dyDescent="0.35">
      <c r="AO1998"/>
      <c r="AP1998"/>
      <c r="AQ1998"/>
      <c r="AR1998"/>
      <c r="AS1998"/>
      <c r="AT1998"/>
      <c r="AU1998"/>
      <c r="AV1998"/>
    </row>
    <row r="1999" spans="41:48" x14ac:dyDescent="0.35">
      <c r="AO1999"/>
      <c r="AP1999"/>
      <c r="AQ1999"/>
      <c r="AR1999"/>
      <c r="AS1999"/>
      <c r="AT1999"/>
      <c r="AU1999"/>
      <c r="AV1999"/>
    </row>
    <row r="2000" spans="41:48" x14ac:dyDescent="0.35">
      <c r="AO2000"/>
      <c r="AP2000"/>
      <c r="AQ2000"/>
      <c r="AR2000"/>
      <c r="AS2000"/>
      <c r="AT2000"/>
      <c r="AU2000"/>
      <c r="AV2000"/>
    </row>
    <row r="2001" spans="41:48" x14ac:dyDescent="0.35">
      <c r="AO2001"/>
      <c r="AP2001"/>
      <c r="AQ2001"/>
      <c r="AR2001"/>
      <c r="AS2001"/>
      <c r="AT2001"/>
      <c r="AU2001"/>
      <c r="AV2001"/>
    </row>
    <row r="2002" spans="41:48" x14ac:dyDescent="0.35">
      <c r="AO2002"/>
      <c r="AP2002"/>
      <c r="AQ2002"/>
      <c r="AR2002"/>
      <c r="AS2002"/>
      <c r="AT2002"/>
      <c r="AU2002"/>
      <c r="AV2002"/>
    </row>
    <row r="2003" spans="41:48" x14ac:dyDescent="0.35">
      <c r="AO2003"/>
      <c r="AP2003"/>
      <c r="AQ2003"/>
      <c r="AR2003"/>
      <c r="AS2003"/>
      <c r="AT2003"/>
      <c r="AU2003"/>
      <c r="AV2003"/>
    </row>
    <row r="2004" spans="41:48" x14ac:dyDescent="0.35">
      <c r="AO2004"/>
      <c r="AP2004"/>
      <c r="AQ2004"/>
      <c r="AR2004"/>
      <c r="AS2004"/>
      <c r="AT2004"/>
      <c r="AU2004"/>
      <c r="AV2004"/>
    </row>
    <row r="2005" spans="41:48" x14ac:dyDescent="0.35">
      <c r="AO2005"/>
      <c r="AP2005"/>
      <c r="AQ2005"/>
      <c r="AR2005"/>
      <c r="AS2005"/>
      <c r="AT2005"/>
      <c r="AU2005"/>
      <c r="AV2005"/>
    </row>
    <row r="2006" spans="41:48" x14ac:dyDescent="0.35">
      <c r="AO2006"/>
      <c r="AP2006"/>
      <c r="AQ2006"/>
      <c r="AR2006"/>
      <c r="AS2006"/>
      <c r="AT2006"/>
      <c r="AU2006"/>
      <c r="AV2006"/>
    </row>
    <row r="2007" spans="41:48" x14ac:dyDescent="0.35">
      <c r="AO2007"/>
      <c r="AP2007"/>
      <c r="AQ2007"/>
      <c r="AR2007"/>
      <c r="AS2007"/>
      <c r="AT2007"/>
      <c r="AU2007"/>
      <c r="AV2007"/>
    </row>
    <row r="2008" spans="41:48" x14ac:dyDescent="0.35">
      <c r="AO2008"/>
      <c r="AP2008"/>
      <c r="AQ2008"/>
      <c r="AR2008"/>
      <c r="AS2008"/>
      <c r="AT2008"/>
      <c r="AU2008"/>
      <c r="AV2008"/>
    </row>
    <row r="2009" spans="41:48" x14ac:dyDescent="0.35">
      <c r="AO2009"/>
      <c r="AP2009"/>
      <c r="AQ2009"/>
      <c r="AR2009"/>
      <c r="AS2009"/>
      <c r="AT2009"/>
      <c r="AU2009"/>
      <c r="AV2009"/>
    </row>
    <row r="2010" spans="41:48" x14ac:dyDescent="0.35">
      <c r="AO2010"/>
      <c r="AP2010"/>
      <c r="AQ2010"/>
      <c r="AR2010"/>
      <c r="AS2010"/>
      <c r="AT2010"/>
      <c r="AU2010"/>
      <c r="AV2010"/>
    </row>
    <row r="2011" spans="41:48" x14ac:dyDescent="0.35">
      <c r="AO2011"/>
      <c r="AP2011"/>
      <c r="AQ2011"/>
      <c r="AR2011"/>
      <c r="AS2011"/>
      <c r="AT2011"/>
      <c r="AU2011"/>
      <c r="AV2011"/>
    </row>
    <row r="2012" spans="41:48" x14ac:dyDescent="0.35">
      <c r="AO2012"/>
      <c r="AP2012"/>
      <c r="AQ2012"/>
      <c r="AR2012"/>
      <c r="AS2012"/>
      <c r="AT2012"/>
      <c r="AU2012"/>
      <c r="AV2012"/>
    </row>
    <row r="2013" spans="41:48" x14ac:dyDescent="0.35">
      <c r="AO2013"/>
      <c r="AP2013"/>
      <c r="AQ2013"/>
      <c r="AR2013"/>
      <c r="AS2013"/>
      <c r="AT2013"/>
      <c r="AU2013"/>
      <c r="AV2013"/>
    </row>
    <row r="2014" spans="41:48" x14ac:dyDescent="0.35">
      <c r="AO2014"/>
      <c r="AP2014"/>
      <c r="AQ2014"/>
      <c r="AR2014"/>
      <c r="AS2014"/>
      <c r="AT2014"/>
      <c r="AU2014"/>
      <c r="AV2014"/>
    </row>
    <row r="2015" spans="41:48" x14ac:dyDescent="0.35">
      <c r="AO2015"/>
      <c r="AP2015"/>
      <c r="AQ2015"/>
      <c r="AR2015"/>
      <c r="AS2015"/>
      <c r="AT2015"/>
      <c r="AU2015"/>
      <c r="AV2015"/>
    </row>
    <row r="2016" spans="41:48" x14ac:dyDescent="0.35">
      <c r="AO2016"/>
      <c r="AP2016"/>
      <c r="AQ2016"/>
      <c r="AR2016"/>
      <c r="AS2016"/>
      <c r="AT2016"/>
      <c r="AU2016"/>
      <c r="AV2016"/>
    </row>
    <row r="2017" spans="41:48" x14ac:dyDescent="0.35">
      <c r="AO2017"/>
      <c r="AP2017"/>
      <c r="AQ2017"/>
      <c r="AR2017"/>
      <c r="AS2017"/>
      <c r="AT2017"/>
      <c r="AU2017"/>
      <c r="AV2017"/>
    </row>
    <row r="2018" spans="41:48" x14ac:dyDescent="0.35">
      <c r="AO2018"/>
      <c r="AP2018"/>
      <c r="AQ2018"/>
      <c r="AR2018"/>
      <c r="AS2018"/>
      <c r="AT2018"/>
      <c r="AU2018"/>
      <c r="AV2018"/>
    </row>
    <row r="2019" spans="41:48" x14ac:dyDescent="0.35">
      <c r="AO2019"/>
      <c r="AP2019"/>
      <c r="AQ2019"/>
      <c r="AR2019"/>
      <c r="AS2019"/>
      <c r="AT2019"/>
      <c r="AU2019"/>
      <c r="AV2019"/>
    </row>
    <row r="2020" spans="41:48" x14ac:dyDescent="0.35">
      <c r="AO2020"/>
      <c r="AP2020"/>
      <c r="AQ2020"/>
      <c r="AR2020"/>
      <c r="AS2020"/>
      <c r="AT2020"/>
      <c r="AU2020"/>
      <c r="AV2020"/>
    </row>
    <row r="2021" spans="41:48" x14ac:dyDescent="0.35">
      <c r="AO2021"/>
      <c r="AP2021"/>
      <c r="AQ2021"/>
      <c r="AR2021"/>
      <c r="AS2021"/>
      <c r="AT2021"/>
      <c r="AU2021"/>
      <c r="AV2021"/>
    </row>
    <row r="2022" spans="41:48" x14ac:dyDescent="0.35">
      <c r="AO2022"/>
      <c r="AP2022"/>
      <c r="AQ2022"/>
      <c r="AR2022"/>
      <c r="AS2022"/>
      <c r="AT2022"/>
      <c r="AU2022"/>
      <c r="AV2022"/>
    </row>
    <row r="2023" spans="41:48" x14ac:dyDescent="0.35">
      <c r="AO2023"/>
      <c r="AP2023"/>
      <c r="AQ2023"/>
      <c r="AR2023"/>
      <c r="AS2023"/>
      <c r="AT2023"/>
      <c r="AU2023"/>
      <c r="AV2023"/>
    </row>
    <row r="2024" spans="41:48" x14ac:dyDescent="0.35">
      <c r="AO2024"/>
      <c r="AP2024"/>
      <c r="AQ2024"/>
      <c r="AR2024"/>
      <c r="AS2024"/>
      <c r="AT2024"/>
      <c r="AU2024"/>
      <c r="AV2024"/>
    </row>
    <row r="2025" spans="41:48" x14ac:dyDescent="0.35">
      <c r="AO2025"/>
      <c r="AP2025"/>
      <c r="AQ2025"/>
      <c r="AR2025"/>
      <c r="AS2025"/>
      <c r="AT2025"/>
      <c r="AU2025"/>
      <c r="AV2025"/>
    </row>
    <row r="2026" spans="41:48" x14ac:dyDescent="0.35">
      <c r="AO2026"/>
      <c r="AP2026"/>
      <c r="AQ2026"/>
      <c r="AR2026"/>
      <c r="AS2026"/>
      <c r="AT2026"/>
      <c r="AU2026"/>
      <c r="AV2026"/>
    </row>
    <row r="2027" spans="41:48" x14ac:dyDescent="0.35">
      <c r="AO2027"/>
      <c r="AP2027"/>
      <c r="AQ2027"/>
      <c r="AR2027"/>
      <c r="AS2027"/>
      <c r="AT2027"/>
      <c r="AU2027"/>
      <c r="AV2027"/>
    </row>
    <row r="2028" spans="41:48" x14ac:dyDescent="0.35">
      <c r="AO2028"/>
      <c r="AP2028"/>
      <c r="AQ2028"/>
      <c r="AR2028"/>
      <c r="AS2028"/>
      <c r="AT2028"/>
      <c r="AU2028"/>
      <c r="AV2028"/>
    </row>
    <row r="2029" spans="41:48" x14ac:dyDescent="0.35">
      <c r="AO2029"/>
      <c r="AP2029"/>
      <c r="AQ2029"/>
      <c r="AR2029"/>
      <c r="AS2029"/>
      <c r="AT2029"/>
      <c r="AU2029"/>
      <c r="AV2029"/>
    </row>
    <row r="2030" spans="41:48" x14ac:dyDescent="0.35">
      <c r="AO2030"/>
      <c r="AP2030"/>
      <c r="AQ2030"/>
      <c r="AR2030"/>
      <c r="AS2030"/>
      <c r="AT2030"/>
      <c r="AU2030"/>
      <c r="AV2030"/>
    </row>
    <row r="2031" spans="41:48" x14ac:dyDescent="0.35">
      <c r="AO2031"/>
      <c r="AP2031"/>
      <c r="AQ2031"/>
      <c r="AR2031"/>
      <c r="AS2031"/>
      <c r="AT2031"/>
      <c r="AU2031"/>
      <c r="AV2031"/>
    </row>
    <row r="2032" spans="41:48" x14ac:dyDescent="0.35">
      <c r="AO2032"/>
      <c r="AP2032"/>
      <c r="AQ2032"/>
      <c r="AR2032"/>
      <c r="AS2032"/>
      <c r="AT2032"/>
      <c r="AU2032"/>
      <c r="AV2032"/>
    </row>
    <row r="2033" spans="41:48" x14ac:dyDescent="0.35">
      <c r="AO2033"/>
      <c r="AP2033"/>
      <c r="AQ2033"/>
      <c r="AR2033"/>
      <c r="AS2033"/>
      <c r="AT2033"/>
      <c r="AU2033"/>
      <c r="AV2033"/>
    </row>
    <row r="2034" spans="41:48" x14ac:dyDescent="0.35">
      <c r="AO2034"/>
      <c r="AP2034"/>
      <c r="AQ2034"/>
      <c r="AR2034"/>
      <c r="AS2034"/>
      <c r="AT2034"/>
      <c r="AU2034"/>
      <c r="AV2034"/>
    </row>
    <row r="2035" spans="41:48" x14ac:dyDescent="0.35">
      <c r="AO2035"/>
      <c r="AP2035"/>
      <c r="AQ2035"/>
      <c r="AR2035"/>
      <c r="AS2035"/>
      <c r="AT2035"/>
      <c r="AU2035"/>
      <c r="AV2035"/>
    </row>
    <row r="2036" spans="41:48" x14ac:dyDescent="0.35">
      <c r="AO2036"/>
      <c r="AP2036"/>
      <c r="AQ2036"/>
      <c r="AR2036"/>
      <c r="AS2036"/>
      <c r="AT2036"/>
      <c r="AU2036"/>
      <c r="AV2036"/>
    </row>
    <row r="2037" spans="41:48" x14ac:dyDescent="0.35">
      <c r="AO2037"/>
      <c r="AP2037"/>
      <c r="AQ2037"/>
      <c r="AR2037"/>
      <c r="AS2037"/>
      <c r="AT2037"/>
      <c r="AU2037"/>
      <c r="AV2037"/>
    </row>
    <row r="2038" spans="41:48" x14ac:dyDescent="0.35">
      <c r="AO2038"/>
      <c r="AP2038"/>
      <c r="AQ2038"/>
      <c r="AR2038"/>
      <c r="AS2038"/>
      <c r="AT2038"/>
      <c r="AU2038"/>
      <c r="AV2038"/>
    </row>
    <row r="2039" spans="41:48" x14ac:dyDescent="0.35">
      <c r="AO2039"/>
      <c r="AP2039"/>
      <c r="AQ2039"/>
      <c r="AR2039"/>
      <c r="AS2039"/>
      <c r="AT2039"/>
      <c r="AU2039"/>
      <c r="AV2039"/>
    </row>
    <row r="2040" spans="41:48" x14ac:dyDescent="0.35">
      <c r="AO2040"/>
      <c r="AP2040"/>
      <c r="AQ2040"/>
      <c r="AR2040"/>
      <c r="AS2040"/>
      <c r="AT2040"/>
      <c r="AU2040"/>
      <c r="AV2040"/>
    </row>
    <row r="2041" spans="41:48" x14ac:dyDescent="0.35">
      <c r="AO2041"/>
      <c r="AP2041"/>
      <c r="AQ2041"/>
      <c r="AR2041"/>
      <c r="AS2041"/>
      <c r="AT2041"/>
      <c r="AU2041"/>
      <c r="AV2041"/>
    </row>
    <row r="2042" spans="41:48" x14ac:dyDescent="0.35">
      <c r="AO2042"/>
      <c r="AP2042"/>
      <c r="AQ2042"/>
      <c r="AR2042"/>
      <c r="AS2042"/>
      <c r="AT2042"/>
      <c r="AU2042"/>
      <c r="AV2042"/>
    </row>
    <row r="2043" spans="41:48" x14ac:dyDescent="0.35">
      <c r="AO2043"/>
      <c r="AP2043"/>
      <c r="AQ2043"/>
      <c r="AR2043"/>
      <c r="AS2043"/>
      <c r="AT2043"/>
      <c r="AU2043"/>
      <c r="AV2043"/>
    </row>
    <row r="2044" spans="41:48" x14ac:dyDescent="0.35">
      <c r="AO2044"/>
      <c r="AP2044"/>
      <c r="AQ2044"/>
      <c r="AR2044"/>
      <c r="AS2044"/>
      <c r="AT2044"/>
      <c r="AU2044"/>
      <c r="AV2044"/>
    </row>
    <row r="2045" spans="41:48" x14ac:dyDescent="0.35">
      <c r="AO2045"/>
      <c r="AP2045"/>
      <c r="AQ2045"/>
      <c r="AR2045"/>
      <c r="AS2045"/>
      <c r="AT2045"/>
      <c r="AU2045"/>
      <c r="AV2045"/>
    </row>
    <row r="2046" spans="41:48" x14ac:dyDescent="0.35">
      <c r="AO2046"/>
      <c r="AP2046"/>
      <c r="AQ2046"/>
      <c r="AR2046"/>
      <c r="AS2046"/>
      <c r="AT2046"/>
      <c r="AU2046"/>
      <c r="AV2046"/>
    </row>
    <row r="2047" spans="41:48" x14ac:dyDescent="0.35">
      <c r="AO2047"/>
      <c r="AP2047"/>
      <c r="AQ2047"/>
      <c r="AR2047"/>
      <c r="AS2047"/>
      <c r="AT2047"/>
      <c r="AU2047"/>
      <c r="AV2047"/>
    </row>
    <row r="2048" spans="41:48" x14ac:dyDescent="0.35">
      <c r="AO2048"/>
      <c r="AP2048"/>
      <c r="AQ2048"/>
      <c r="AR2048"/>
      <c r="AS2048"/>
      <c r="AT2048"/>
      <c r="AU2048"/>
      <c r="AV2048"/>
    </row>
    <row r="2049" spans="41:48" x14ac:dyDescent="0.35">
      <c r="AO2049"/>
      <c r="AP2049"/>
      <c r="AQ2049"/>
      <c r="AR2049"/>
      <c r="AS2049"/>
      <c r="AT2049"/>
      <c r="AU2049"/>
      <c r="AV2049"/>
    </row>
    <row r="2050" spans="41:48" x14ac:dyDescent="0.35">
      <c r="AO2050"/>
      <c r="AP2050"/>
      <c r="AQ2050"/>
      <c r="AR2050"/>
      <c r="AS2050"/>
      <c r="AT2050"/>
      <c r="AU2050"/>
      <c r="AV2050"/>
    </row>
    <row r="2051" spans="41:48" x14ac:dyDescent="0.35">
      <c r="AO2051"/>
      <c r="AP2051"/>
      <c r="AQ2051"/>
      <c r="AR2051"/>
      <c r="AS2051"/>
      <c r="AT2051"/>
      <c r="AU2051"/>
      <c r="AV2051"/>
    </row>
    <row r="2052" spans="41:48" x14ac:dyDescent="0.35">
      <c r="AO2052"/>
      <c r="AP2052"/>
      <c r="AQ2052"/>
      <c r="AR2052"/>
      <c r="AS2052"/>
      <c r="AT2052"/>
      <c r="AU2052"/>
      <c r="AV2052"/>
    </row>
    <row r="2053" spans="41:48" x14ac:dyDescent="0.35">
      <c r="AO2053"/>
      <c r="AP2053"/>
      <c r="AQ2053"/>
      <c r="AR2053"/>
      <c r="AS2053"/>
      <c r="AT2053"/>
      <c r="AU2053"/>
      <c r="AV2053"/>
    </row>
    <row r="2054" spans="41:48" x14ac:dyDescent="0.35">
      <c r="AO2054"/>
      <c r="AP2054"/>
      <c r="AQ2054"/>
      <c r="AR2054"/>
      <c r="AS2054"/>
      <c r="AT2054"/>
      <c r="AU2054"/>
      <c r="AV2054"/>
    </row>
    <row r="2055" spans="41:48" x14ac:dyDescent="0.35">
      <c r="AO2055"/>
      <c r="AP2055"/>
      <c r="AQ2055"/>
      <c r="AR2055"/>
      <c r="AS2055"/>
      <c r="AT2055"/>
      <c r="AU2055"/>
      <c r="AV2055"/>
    </row>
    <row r="2056" spans="41:48" x14ac:dyDescent="0.35">
      <c r="AO2056"/>
      <c r="AP2056"/>
      <c r="AQ2056"/>
      <c r="AR2056"/>
      <c r="AS2056"/>
      <c r="AT2056"/>
      <c r="AU2056"/>
      <c r="AV2056"/>
    </row>
    <row r="2057" spans="41:48" x14ac:dyDescent="0.35">
      <c r="AO2057"/>
      <c r="AP2057"/>
      <c r="AQ2057"/>
      <c r="AR2057"/>
      <c r="AS2057"/>
      <c r="AT2057"/>
      <c r="AU2057"/>
      <c r="AV2057"/>
    </row>
    <row r="2058" spans="41:48" x14ac:dyDescent="0.35">
      <c r="AO2058"/>
      <c r="AP2058"/>
      <c r="AQ2058"/>
      <c r="AR2058"/>
      <c r="AS2058"/>
      <c r="AT2058"/>
      <c r="AU2058"/>
      <c r="AV2058"/>
    </row>
    <row r="2059" spans="41:48" x14ac:dyDescent="0.35">
      <c r="AO2059"/>
      <c r="AP2059"/>
      <c r="AQ2059"/>
      <c r="AR2059"/>
      <c r="AS2059"/>
      <c r="AT2059"/>
      <c r="AU2059"/>
      <c r="AV2059"/>
    </row>
    <row r="2060" spans="41:48" x14ac:dyDescent="0.35">
      <c r="AO2060"/>
      <c r="AP2060"/>
      <c r="AQ2060"/>
      <c r="AR2060"/>
      <c r="AS2060"/>
      <c r="AT2060"/>
      <c r="AU2060"/>
      <c r="AV2060"/>
    </row>
    <row r="2061" spans="41:48" x14ac:dyDescent="0.35">
      <c r="AO2061"/>
      <c r="AP2061"/>
      <c r="AQ2061"/>
      <c r="AR2061"/>
      <c r="AS2061"/>
      <c r="AT2061"/>
      <c r="AU2061"/>
      <c r="AV2061"/>
    </row>
    <row r="2062" spans="41:48" x14ac:dyDescent="0.35">
      <c r="AO2062"/>
      <c r="AP2062"/>
      <c r="AQ2062"/>
      <c r="AR2062"/>
      <c r="AS2062"/>
      <c r="AT2062"/>
      <c r="AU2062"/>
      <c r="AV2062"/>
    </row>
    <row r="2063" spans="41:48" x14ac:dyDescent="0.35">
      <c r="AO2063"/>
      <c r="AP2063"/>
      <c r="AQ2063"/>
      <c r="AR2063"/>
      <c r="AS2063"/>
      <c r="AT2063"/>
      <c r="AU2063"/>
      <c r="AV2063"/>
    </row>
    <row r="2064" spans="41:48" x14ac:dyDescent="0.35">
      <c r="AO2064"/>
      <c r="AP2064"/>
      <c r="AQ2064"/>
      <c r="AR2064"/>
      <c r="AS2064"/>
      <c r="AT2064"/>
      <c r="AU2064"/>
      <c r="AV2064"/>
    </row>
    <row r="2065" spans="41:48" x14ac:dyDescent="0.35">
      <c r="AO2065"/>
      <c r="AP2065"/>
      <c r="AQ2065"/>
      <c r="AR2065"/>
      <c r="AS2065"/>
      <c r="AT2065"/>
      <c r="AU2065"/>
      <c r="AV2065"/>
    </row>
    <row r="2066" spans="41:48" x14ac:dyDescent="0.35">
      <c r="AO2066"/>
      <c r="AP2066"/>
      <c r="AQ2066"/>
      <c r="AR2066"/>
      <c r="AS2066"/>
      <c r="AT2066"/>
      <c r="AU2066"/>
      <c r="AV2066"/>
    </row>
    <row r="2067" spans="41:48" x14ac:dyDescent="0.35">
      <c r="AO2067"/>
      <c r="AP2067"/>
      <c r="AQ2067"/>
      <c r="AR2067"/>
      <c r="AS2067"/>
      <c r="AT2067"/>
      <c r="AU2067"/>
      <c r="AV2067"/>
    </row>
    <row r="2068" spans="41:48" x14ac:dyDescent="0.35">
      <c r="AO2068"/>
      <c r="AP2068"/>
      <c r="AQ2068"/>
      <c r="AR2068"/>
      <c r="AS2068"/>
      <c r="AT2068"/>
      <c r="AU2068"/>
      <c r="AV2068"/>
    </row>
    <row r="2069" spans="41:48" x14ac:dyDescent="0.35">
      <c r="AO2069"/>
      <c r="AP2069"/>
      <c r="AQ2069"/>
      <c r="AR2069"/>
      <c r="AS2069"/>
      <c r="AT2069"/>
      <c r="AU2069"/>
      <c r="AV2069"/>
    </row>
    <row r="2070" spans="41:48" x14ac:dyDescent="0.35">
      <c r="AO2070"/>
      <c r="AP2070"/>
      <c r="AQ2070"/>
      <c r="AR2070"/>
      <c r="AS2070"/>
      <c r="AT2070"/>
      <c r="AU2070"/>
      <c r="AV2070"/>
    </row>
    <row r="2071" spans="41:48" x14ac:dyDescent="0.35">
      <c r="AO2071"/>
      <c r="AP2071"/>
      <c r="AQ2071"/>
      <c r="AR2071"/>
      <c r="AS2071"/>
      <c r="AT2071"/>
      <c r="AU2071"/>
      <c r="AV2071"/>
    </row>
    <row r="2072" spans="41:48" x14ac:dyDescent="0.35">
      <c r="AO2072"/>
      <c r="AP2072"/>
      <c r="AQ2072"/>
      <c r="AR2072"/>
      <c r="AS2072"/>
      <c r="AT2072"/>
      <c r="AU2072"/>
      <c r="AV2072"/>
    </row>
    <row r="2073" spans="41:48" x14ac:dyDescent="0.35">
      <c r="AO2073"/>
      <c r="AP2073"/>
      <c r="AQ2073"/>
      <c r="AR2073"/>
      <c r="AS2073"/>
      <c r="AT2073"/>
      <c r="AU2073"/>
      <c r="AV2073"/>
    </row>
    <row r="2074" spans="41:48" x14ac:dyDescent="0.35">
      <c r="AO2074"/>
      <c r="AP2074"/>
      <c r="AQ2074"/>
      <c r="AR2074"/>
      <c r="AS2074"/>
      <c r="AT2074"/>
      <c r="AU2074"/>
      <c r="AV2074"/>
    </row>
    <row r="2075" spans="41:48" x14ac:dyDescent="0.35">
      <c r="AO2075"/>
      <c r="AP2075"/>
      <c r="AQ2075"/>
      <c r="AR2075"/>
      <c r="AS2075"/>
      <c r="AT2075"/>
      <c r="AU2075"/>
      <c r="AV2075"/>
    </row>
    <row r="2076" spans="41:48" x14ac:dyDescent="0.35">
      <c r="AO2076"/>
      <c r="AP2076"/>
      <c r="AQ2076"/>
      <c r="AR2076"/>
      <c r="AS2076"/>
      <c r="AT2076"/>
      <c r="AU2076"/>
      <c r="AV2076"/>
    </row>
    <row r="2077" spans="41:48" x14ac:dyDescent="0.35">
      <c r="AO2077"/>
      <c r="AP2077"/>
      <c r="AQ2077"/>
      <c r="AR2077"/>
      <c r="AS2077"/>
      <c r="AT2077"/>
      <c r="AU2077"/>
      <c r="AV2077"/>
    </row>
    <row r="2078" spans="41:48" x14ac:dyDescent="0.35">
      <c r="AO2078"/>
      <c r="AP2078"/>
      <c r="AQ2078"/>
      <c r="AR2078"/>
      <c r="AS2078"/>
      <c r="AT2078"/>
      <c r="AU2078"/>
      <c r="AV2078"/>
    </row>
    <row r="2079" spans="41:48" x14ac:dyDescent="0.35">
      <c r="AO2079"/>
      <c r="AP2079"/>
      <c r="AQ2079"/>
      <c r="AR2079"/>
      <c r="AS2079"/>
      <c r="AT2079"/>
      <c r="AU2079"/>
      <c r="AV2079"/>
    </row>
    <row r="2080" spans="41:48" x14ac:dyDescent="0.35">
      <c r="AO2080"/>
      <c r="AP2080"/>
      <c r="AQ2080"/>
      <c r="AR2080"/>
      <c r="AS2080"/>
      <c r="AT2080"/>
      <c r="AU2080"/>
      <c r="AV2080"/>
    </row>
    <row r="2081" spans="41:48" x14ac:dyDescent="0.35">
      <c r="AO2081"/>
      <c r="AP2081"/>
      <c r="AQ2081"/>
      <c r="AR2081"/>
      <c r="AS2081"/>
      <c r="AT2081"/>
      <c r="AU2081"/>
      <c r="AV2081"/>
    </row>
    <row r="2082" spans="41:48" x14ac:dyDescent="0.35">
      <c r="AO2082"/>
      <c r="AP2082"/>
      <c r="AQ2082"/>
      <c r="AR2082"/>
      <c r="AS2082"/>
      <c r="AT2082"/>
      <c r="AU2082"/>
      <c r="AV2082"/>
    </row>
    <row r="2083" spans="41:48" x14ac:dyDescent="0.35">
      <c r="AO2083"/>
      <c r="AP2083"/>
      <c r="AQ2083"/>
      <c r="AR2083"/>
      <c r="AS2083"/>
      <c r="AT2083"/>
      <c r="AU2083"/>
      <c r="AV2083"/>
    </row>
    <row r="2084" spans="41:48" x14ac:dyDescent="0.35">
      <c r="AO2084"/>
      <c r="AP2084"/>
      <c r="AQ2084"/>
      <c r="AR2084"/>
      <c r="AS2084"/>
      <c r="AT2084"/>
      <c r="AU2084"/>
      <c r="AV2084"/>
    </row>
    <row r="2085" spans="41:48" x14ac:dyDescent="0.35">
      <c r="AO2085"/>
      <c r="AP2085"/>
      <c r="AQ2085"/>
      <c r="AR2085"/>
      <c r="AS2085"/>
      <c r="AT2085"/>
      <c r="AU2085"/>
      <c r="AV2085"/>
    </row>
    <row r="2086" spans="41:48" x14ac:dyDescent="0.35">
      <c r="AO2086"/>
      <c r="AP2086"/>
      <c r="AQ2086"/>
      <c r="AR2086"/>
      <c r="AS2086"/>
      <c r="AT2086"/>
      <c r="AU2086"/>
      <c r="AV2086"/>
    </row>
    <row r="2087" spans="41:48" x14ac:dyDescent="0.35">
      <c r="AO2087"/>
      <c r="AP2087"/>
      <c r="AQ2087"/>
      <c r="AR2087"/>
      <c r="AS2087"/>
      <c r="AT2087"/>
      <c r="AU2087"/>
      <c r="AV2087"/>
    </row>
    <row r="2088" spans="41:48" x14ac:dyDescent="0.35">
      <c r="AO2088"/>
      <c r="AP2088"/>
      <c r="AQ2088"/>
      <c r="AR2088"/>
      <c r="AS2088"/>
      <c r="AT2088"/>
      <c r="AU2088"/>
      <c r="AV2088"/>
    </row>
    <row r="2089" spans="41:48" x14ac:dyDescent="0.35">
      <c r="AO2089"/>
      <c r="AP2089"/>
      <c r="AQ2089"/>
      <c r="AR2089"/>
      <c r="AS2089"/>
      <c r="AT2089"/>
      <c r="AU2089"/>
      <c r="AV2089"/>
    </row>
    <row r="2090" spans="41:48" x14ac:dyDescent="0.35">
      <c r="AO2090"/>
      <c r="AP2090"/>
      <c r="AQ2090"/>
      <c r="AR2090"/>
      <c r="AS2090"/>
      <c r="AT2090"/>
      <c r="AU2090"/>
      <c r="AV2090"/>
    </row>
    <row r="2091" spans="41:48" x14ac:dyDescent="0.35">
      <c r="AO2091"/>
      <c r="AP2091"/>
      <c r="AQ2091"/>
      <c r="AR2091"/>
      <c r="AS2091"/>
      <c r="AT2091"/>
      <c r="AU2091"/>
      <c r="AV2091"/>
    </row>
    <row r="2092" spans="41:48" x14ac:dyDescent="0.35">
      <c r="AO2092"/>
      <c r="AP2092"/>
      <c r="AQ2092"/>
      <c r="AR2092"/>
      <c r="AS2092"/>
      <c r="AT2092"/>
      <c r="AU2092"/>
      <c r="AV2092"/>
    </row>
    <row r="2093" spans="41:48" x14ac:dyDescent="0.35">
      <c r="AO2093"/>
      <c r="AP2093"/>
      <c r="AQ2093"/>
      <c r="AR2093"/>
      <c r="AS2093"/>
      <c r="AT2093"/>
      <c r="AU2093"/>
      <c r="AV2093"/>
    </row>
    <row r="2094" spans="41:48" x14ac:dyDescent="0.35">
      <c r="AO2094"/>
      <c r="AP2094"/>
      <c r="AQ2094"/>
      <c r="AR2094"/>
      <c r="AS2094"/>
      <c r="AT2094"/>
      <c r="AU2094"/>
      <c r="AV2094"/>
    </row>
    <row r="2095" spans="41:48" x14ac:dyDescent="0.35">
      <c r="AO2095"/>
      <c r="AP2095"/>
      <c r="AQ2095"/>
      <c r="AR2095"/>
      <c r="AS2095"/>
      <c r="AT2095"/>
      <c r="AU2095"/>
      <c r="AV2095"/>
    </row>
    <row r="2096" spans="41:48" x14ac:dyDescent="0.35">
      <c r="AO2096"/>
      <c r="AP2096"/>
      <c r="AQ2096"/>
      <c r="AR2096"/>
      <c r="AS2096"/>
      <c r="AT2096"/>
      <c r="AU2096"/>
      <c r="AV2096"/>
    </row>
    <row r="2097" spans="41:48" x14ac:dyDescent="0.35">
      <c r="AO2097"/>
      <c r="AP2097"/>
      <c r="AQ2097"/>
      <c r="AR2097"/>
      <c r="AS2097"/>
      <c r="AT2097"/>
      <c r="AU2097"/>
      <c r="AV2097"/>
    </row>
    <row r="2098" spans="41:48" x14ac:dyDescent="0.35">
      <c r="AO2098"/>
      <c r="AP2098"/>
      <c r="AQ2098"/>
      <c r="AR2098"/>
      <c r="AS2098"/>
      <c r="AT2098"/>
      <c r="AU2098"/>
      <c r="AV2098"/>
    </row>
    <row r="2099" spans="41:48" x14ac:dyDescent="0.35">
      <c r="AO2099"/>
      <c r="AP2099"/>
      <c r="AQ2099"/>
      <c r="AR2099"/>
      <c r="AS2099"/>
      <c r="AT2099"/>
      <c r="AU2099"/>
      <c r="AV2099"/>
    </row>
    <row r="2100" spans="41:48" x14ac:dyDescent="0.35">
      <c r="AO2100"/>
      <c r="AP2100"/>
      <c r="AQ2100"/>
      <c r="AR2100"/>
      <c r="AS2100"/>
      <c r="AT2100"/>
      <c r="AU2100"/>
      <c r="AV2100"/>
    </row>
    <row r="2101" spans="41:48" x14ac:dyDescent="0.35">
      <c r="AO2101"/>
      <c r="AP2101"/>
      <c r="AQ2101"/>
      <c r="AR2101"/>
      <c r="AS2101"/>
      <c r="AT2101"/>
      <c r="AU2101"/>
      <c r="AV2101"/>
    </row>
    <row r="2102" spans="41:48" x14ac:dyDescent="0.35">
      <c r="AO2102"/>
      <c r="AP2102"/>
      <c r="AQ2102"/>
      <c r="AR2102"/>
      <c r="AS2102"/>
      <c r="AT2102"/>
      <c r="AU2102"/>
      <c r="AV2102"/>
    </row>
    <row r="2103" spans="41:48" x14ac:dyDescent="0.35">
      <c r="AO2103"/>
      <c r="AP2103"/>
      <c r="AQ2103"/>
      <c r="AR2103"/>
      <c r="AS2103"/>
      <c r="AT2103"/>
      <c r="AU2103"/>
      <c r="AV2103"/>
    </row>
    <row r="2104" spans="41:48" x14ac:dyDescent="0.35">
      <c r="AO2104"/>
      <c r="AP2104"/>
      <c r="AQ2104"/>
      <c r="AR2104"/>
      <c r="AS2104"/>
      <c r="AT2104"/>
      <c r="AU2104"/>
      <c r="AV2104"/>
    </row>
    <row r="2105" spans="41:48" x14ac:dyDescent="0.35">
      <c r="AO2105"/>
      <c r="AP2105"/>
      <c r="AQ2105"/>
      <c r="AR2105"/>
      <c r="AS2105"/>
      <c r="AT2105"/>
      <c r="AU2105"/>
      <c r="AV2105"/>
    </row>
    <row r="2106" spans="41:48" x14ac:dyDescent="0.35">
      <c r="AO2106"/>
      <c r="AP2106"/>
      <c r="AQ2106"/>
      <c r="AR2106"/>
      <c r="AS2106"/>
      <c r="AT2106"/>
      <c r="AU2106"/>
      <c r="AV2106"/>
    </row>
    <row r="2107" spans="41:48" x14ac:dyDescent="0.35">
      <c r="AO2107"/>
      <c r="AP2107"/>
      <c r="AQ2107"/>
      <c r="AR2107"/>
      <c r="AS2107"/>
      <c r="AT2107"/>
      <c r="AU2107"/>
      <c r="AV2107"/>
    </row>
    <row r="2108" spans="41:48" x14ac:dyDescent="0.35">
      <c r="AO2108"/>
      <c r="AP2108"/>
      <c r="AQ2108"/>
      <c r="AR2108"/>
      <c r="AS2108"/>
      <c r="AT2108"/>
      <c r="AU2108"/>
      <c r="AV2108"/>
    </row>
    <row r="2109" spans="41:48" x14ac:dyDescent="0.35">
      <c r="AO2109"/>
      <c r="AP2109"/>
      <c r="AQ2109"/>
      <c r="AR2109"/>
      <c r="AS2109"/>
      <c r="AT2109"/>
      <c r="AU2109"/>
      <c r="AV2109"/>
    </row>
    <row r="2110" spans="41:48" x14ac:dyDescent="0.35">
      <c r="AO2110"/>
      <c r="AP2110"/>
      <c r="AQ2110"/>
      <c r="AR2110"/>
      <c r="AS2110"/>
      <c r="AT2110"/>
      <c r="AU2110"/>
      <c r="AV2110"/>
    </row>
    <row r="2111" spans="41:48" x14ac:dyDescent="0.35">
      <c r="AO2111"/>
      <c r="AP2111"/>
      <c r="AQ2111"/>
      <c r="AR2111"/>
      <c r="AS2111"/>
      <c r="AT2111"/>
      <c r="AU2111"/>
      <c r="AV2111"/>
    </row>
    <row r="2112" spans="41:48" x14ac:dyDescent="0.35">
      <c r="AO2112"/>
      <c r="AP2112"/>
      <c r="AQ2112"/>
      <c r="AR2112"/>
      <c r="AS2112"/>
      <c r="AT2112"/>
      <c r="AU2112"/>
      <c r="AV2112"/>
    </row>
    <row r="2113" spans="41:48" x14ac:dyDescent="0.35">
      <c r="AO2113"/>
      <c r="AP2113"/>
      <c r="AQ2113"/>
      <c r="AR2113"/>
      <c r="AS2113"/>
      <c r="AT2113"/>
      <c r="AU2113"/>
      <c r="AV2113"/>
    </row>
    <row r="2114" spans="41:48" x14ac:dyDescent="0.35">
      <c r="AO2114"/>
      <c r="AP2114"/>
      <c r="AQ2114"/>
      <c r="AR2114"/>
      <c r="AS2114"/>
      <c r="AT2114"/>
      <c r="AU2114"/>
      <c r="AV2114"/>
    </row>
    <row r="2115" spans="41:48" x14ac:dyDescent="0.35">
      <c r="AO2115"/>
      <c r="AP2115"/>
      <c r="AQ2115"/>
      <c r="AR2115"/>
      <c r="AS2115"/>
      <c r="AT2115"/>
      <c r="AU2115"/>
      <c r="AV2115"/>
    </row>
    <row r="2116" spans="41:48" x14ac:dyDescent="0.35">
      <c r="AO2116"/>
      <c r="AP2116"/>
      <c r="AQ2116"/>
      <c r="AR2116"/>
      <c r="AS2116"/>
      <c r="AT2116"/>
      <c r="AU2116"/>
      <c r="AV2116"/>
    </row>
    <row r="2117" spans="41:48" x14ac:dyDescent="0.35">
      <c r="AO2117"/>
      <c r="AP2117"/>
      <c r="AQ2117"/>
      <c r="AR2117"/>
      <c r="AS2117"/>
      <c r="AT2117"/>
      <c r="AU2117"/>
      <c r="AV2117"/>
    </row>
    <row r="2118" spans="41:48" x14ac:dyDescent="0.35">
      <c r="AO2118"/>
      <c r="AP2118"/>
      <c r="AQ2118"/>
      <c r="AR2118"/>
      <c r="AS2118"/>
      <c r="AT2118"/>
      <c r="AU2118"/>
      <c r="AV2118"/>
    </row>
    <row r="2119" spans="41:48" x14ac:dyDescent="0.35">
      <c r="AO2119"/>
      <c r="AP2119"/>
      <c r="AQ2119"/>
      <c r="AR2119"/>
      <c r="AS2119"/>
      <c r="AT2119"/>
      <c r="AU2119"/>
      <c r="AV2119"/>
    </row>
    <row r="2120" spans="41:48" x14ac:dyDescent="0.35">
      <c r="AO2120"/>
      <c r="AP2120"/>
      <c r="AQ2120"/>
      <c r="AR2120"/>
      <c r="AS2120"/>
      <c r="AT2120"/>
      <c r="AU2120"/>
      <c r="AV2120"/>
    </row>
    <row r="2121" spans="41:48" x14ac:dyDescent="0.35">
      <c r="AO2121"/>
      <c r="AP2121"/>
      <c r="AQ2121"/>
      <c r="AR2121"/>
      <c r="AS2121"/>
      <c r="AT2121"/>
      <c r="AU2121"/>
      <c r="AV2121"/>
    </row>
    <row r="2122" spans="41:48" x14ac:dyDescent="0.35">
      <c r="AO2122"/>
      <c r="AP2122"/>
      <c r="AQ2122"/>
      <c r="AR2122"/>
      <c r="AS2122"/>
      <c r="AT2122"/>
      <c r="AU2122"/>
      <c r="AV2122"/>
    </row>
    <row r="2123" spans="41:48" x14ac:dyDescent="0.35">
      <c r="AO2123"/>
      <c r="AP2123"/>
      <c r="AQ2123"/>
      <c r="AR2123"/>
      <c r="AS2123"/>
      <c r="AT2123"/>
      <c r="AU2123"/>
      <c r="AV2123"/>
    </row>
    <row r="2124" spans="41:48" x14ac:dyDescent="0.35">
      <c r="AO2124"/>
      <c r="AP2124"/>
      <c r="AQ2124"/>
      <c r="AR2124"/>
      <c r="AS2124"/>
      <c r="AT2124"/>
      <c r="AU2124"/>
      <c r="AV2124"/>
    </row>
    <row r="2125" spans="41:48" x14ac:dyDescent="0.35">
      <c r="AO2125"/>
      <c r="AP2125"/>
      <c r="AQ2125"/>
      <c r="AR2125"/>
      <c r="AS2125"/>
      <c r="AT2125"/>
      <c r="AU2125"/>
      <c r="AV2125"/>
    </row>
    <row r="2126" spans="41:48" x14ac:dyDescent="0.35">
      <c r="AO2126"/>
      <c r="AP2126"/>
      <c r="AQ2126"/>
      <c r="AR2126"/>
      <c r="AS2126"/>
      <c r="AT2126"/>
      <c r="AU2126"/>
      <c r="AV2126"/>
    </row>
    <row r="2127" spans="41:48" x14ac:dyDescent="0.35">
      <c r="AO2127"/>
      <c r="AP2127"/>
      <c r="AQ2127"/>
      <c r="AR2127"/>
      <c r="AS2127"/>
      <c r="AT2127"/>
      <c r="AU2127"/>
      <c r="AV2127"/>
    </row>
    <row r="2128" spans="41:48" x14ac:dyDescent="0.35">
      <c r="AO2128"/>
      <c r="AP2128"/>
      <c r="AQ2128"/>
      <c r="AR2128"/>
      <c r="AS2128"/>
      <c r="AT2128"/>
      <c r="AU2128"/>
      <c r="AV2128"/>
    </row>
    <row r="2129" spans="41:48" x14ac:dyDescent="0.35">
      <c r="AO2129"/>
      <c r="AP2129"/>
      <c r="AQ2129"/>
      <c r="AR2129"/>
      <c r="AS2129"/>
      <c r="AT2129"/>
      <c r="AU2129"/>
      <c r="AV2129"/>
    </row>
    <row r="2130" spans="41:48" x14ac:dyDescent="0.35">
      <c r="AO2130"/>
      <c r="AP2130"/>
      <c r="AQ2130"/>
      <c r="AR2130"/>
      <c r="AS2130"/>
      <c r="AT2130"/>
      <c r="AU2130"/>
      <c r="AV2130"/>
    </row>
    <row r="2131" spans="41:48" x14ac:dyDescent="0.35">
      <c r="AO2131"/>
      <c r="AP2131"/>
      <c r="AQ2131"/>
      <c r="AR2131"/>
      <c r="AS2131"/>
      <c r="AT2131"/>
      <c r="AU2131"/>
      <c r="AV2131"/>
    </row>
    <row r="2132" spans="41:48" x14ac:dyDescent="0.35">
      <c r="AO2132"/>
      <c r="AP2132"/>
      <c r="AQ2132"/>
      <c r="AR2132"/>
      <c r="AS2132"/>
      <c r="AT2132"/>
      <c r="AU2132"/>
      <c r="AV2132"/>
    </row>
    <row r="2133" spans="41:48" x14ac:dyDescent="0.35">
      <c r="AO2133"/>
      <c r="AP2133"/>
      <c r="AQ2133"/>
      <c r="AR2133"/>
      <c r="AS2133"/>
      <c r="AT2133"/>
      <c r="AU2133"/>
      <c r="AV2133"/>
    </row>
    <row r="2134" spans="41:48" x14ac:dyDescent="0.35">
      <c r="AO2134"/>
      <c r="AP2134"/>
      <c r="AQ2134"/>
      <c r="AR2134"/>
      <c r="AS2134"/>
      <c r="AT2134"/>
      <c r="AU2134"/>
      <c r="AV2134"/>
    </row>
    <row r="2135" spans="41:48" x14ac:dyDescent="0.35">
      <c r="AO2135"/>
      <c r="AP2135"/>
      <c r="AQ2135"/>
      <c r="AR2135"/>
      <c r="AS2135"/>
      <c r="AT2135"/>
      <c r="AU2135"/>
      <c r="AV2135"/>
    </row>
    <row r="2136" spans="41:48" x14ac:dyDescent="0.35">
      <c r="AO2136"/>
      <c r="AP2136"/>
      <c r="AQ2136"/>
      <c r="AR2136"/>
      <c r="AS2136"/>
      <c r="AT2136"/>
      <c r="AU2136"/>
      <c r="AV2136"/>
    </row>
    <row r="2137" spans="41:48" x14ac:dyDescent="0.35">
      <c r="AO2137"/>
      <c r="AP2137"/>
      <c r="AQ2137"/>
      <c r="AR2137"/>
      <c r="AS2137"/>
      <c r="AT2137"/>
      <c r="AU2137"/>
      <c r="AV2137"/>
    </row>
    <row r="2138" spans="41:48" x14ac:dyDescent="0.35">
      <c r="AO2138"/>
      <c r="AP2138"/>
      <c r="AQ2138"/>
      <c r="AR2138"/>
      <c r="AS2138"/>
      <c r="AT2138"/>
      <c r="AU2138"/>
      <c r="AV2138"/>
    </row>
    <row r="2139" spans="41:48" x14ac:dyDescent="0.35">
      <c r="AO2139"/>
      <c r="AP2139"/>
      <c r="AQ2139"/>
      <c r="AR2139"/>
      <c r="AS2139"/>
      <c r="AT2139"/>
      <c r="AU2139"/>
      <c r="AV2139"/>
    </row>
    <row r="2140" spans="41:48" x14ac:dyDescent="0.35">
      <c r="AO2140"/>
      <c r="AP2140"/>
      <c r="AQ2140"/>
      <c r="AR2140"/>
      <c r="AS2140"/>
      <c r="AT2140"/>
      <c r="AU2140"/>
      <c r="AV2140"/>
    </row>
    <row r="2141" spans="41:48" x14ac:dyDescent="0.35">
      <c r="AO2141"/>
      <c r="AP2141"/>
      <c r="AQ2141"/>
      <c r="AR2141"/>
      <c r="AS2141"/>
      <c r="AT2141"/>
      <c r="AU2141"/>
      <c r="AV2141"/>
    </row>
    <row r="2142" spans="41:48" x14ac:dyDescent="0.35">
      <c r="AO2142"/>
      <c r="AP2142"/>
      <c r="AQ2142"/>
      <c r="AR2142"/>
      <c r="AS2142"/>
      <c r="AT2142"/>
      <c r="AU2142"/>
      <c r="AV2142"/>
    </row>
    <row r="2143" spans="41:48" x14ac:dyDescent="0.35">
      <c r="AO2143"/>
      <c r="AP2143"/>
      <c r="AQ2143"/>
      <c r="AR2143"/>
      <c r="AS2143"/>
      <c r="AT2143"/>
      <c r="AU2143"/>
      <c r="AV2143"/>
    </row>
    <row r="2144" spans="41:48" x14ac:dyDescent="0.35">
      <c r="AO2144"/>
      <c r="AP2144"/>
      <c r="AQ2144"/>
      <c r="AR2144"/>
      <c r="AS2144"/>
      <c r="AT2144"/>
      <c r="AU2144"/>
      <c r="AV2144"/>
    </row>
    <row r="2145" spans="41:48" x14ac:dyDescent="0.35">
      <c r="AO2145"/>
      <c r="AP2145"/>
      <c r="AQ2145"/>
      <c r="AR2145"/>
      <c r="AS2145"/>
      <c r="AT2145"/>
      <c r="AU2145"/>
      <c r="AV2145"/>
    </row>
    <row r="2146" spans="41:48" x14ac:dyDescent="0.35">
      <c r="AO2146"/>
      <c r="AP2146"/>
      <c r="AQ2146"/>
      <c r="AR2146"/>
      <c r="AS2146"/>
      <c r="AT2146"/>
      <c r="AU2146"/>
      <c r="AV2146"/>
    </row>
    <row r="2147" spans="41:48" x14ac:dyDescent="0.35">
      <c r="AO2147"/>
      <c r="AP2147"/>
      <c r="AQ2147"/>
      <c r="AR2147"/>
      <c r="AS2147"/>
      <c r="AT2147"/>
      <c r="AU2147"/>
      <c r="AV2147"/>
    </row>
    <row r="2148" spans="41:48" x14ac:dyDescent="0.35">
      <c r="AO2148"/>
      <c r="AP2148"/>
      <c r="AQ2148"/>
      <c r="AR2148"/>
      <c r="AS2148"/>
      <c r="AT2148"/>
      <c r="AU2148"/>
      <c r="AV2148"/>
    </row>
    <row r="2149" spans="41:48" x14ac:dyDescent="0.35">
      <c r="AO2149"/>
      <c r="AP2149"/>
      <c r="AQ2149"/>
      <c r="AR2149"/>
      <c r="AS2149"/>
      <c r="AT2149"/>
      <c r="AU2149"/>
      <c r="AV2149"/>
    </row>
    <row r="2150" spans="41:48" x14ac:dyDescent="0.35">
      <c r="AO2150"/>
      <c r="AP2150"/>
      <c r="AQ2150"/>
      <c r="AR2150"/>
      <c r="AS2150"/>
      <c r="AT2150"/>
      <c r="AU2150"/>
      <c r="AV2150"/>
    </row>
    <row r="2151" spans="41:48" x14ac:dyDescent="0.35">
      <c r="AO2151"/>
      <c r="AP2151"/>
      <c r="AQ2151"/>
      <c r="AR2151"/>
      <c r="AS2151"/>
      <c r="AT2151"/>
      <c r="AU2151"/>
      <c r="AV2151"/>
    </row>
    <row r="2152" spans="41:48" x14ac:dyDescent="0.35">
      <c r="AO2152"/>
      <c r="AP2152"/>
      <c r="AQ2152"/>
      <c r="AR2152"/>
      <c r="AS2152"/>
      <c r="AT2152"/>
      <c r="AU2152"/>
      <c r="AV2152"/>
    </row>
    <row r="2153" spans="41:48" x14ac:dyDescent="0.35">
      <c r="AO2153"/>
      <c r="AP2153"/>
      <c r="AQ2153"/>
      <c r="AR2153"/>
      <c r="AS2153"/>
      <c r="AT2153"/>
      <c r="AU2153"/>
      <c r="AV2153"/>
    </row>
    <row r="2154" spans="41:48" x14ac:dyDescent="0.35">
      <c r="AO2154"/>
      <c r="AP2154"/>
      <c r="AQ2154"/>
      <c r="AR2154"/>
      <c r="AS2154"/>
      <c r="AT2154"/>
      <c r="AU2154"/>
      <c r="AV2154"/>
    </row>
    <row r="2155" spans="41:48" x14ac:dyDescent="0.35">
      <c r="AO2155"/>
      <c r="AP2155"/>
      <c r="AQ2155"/>
      <c r="AR2155"/>
      <c r="AS2155"/>
      <c r="AT2155"/>
      <c r="AU2155"/>
      <c r="AV2155"/>
    </row>
    <row r="2156" spans="41:48" x14ac:dyDescent="0.35">
      <c r="AO2156"/>
      <c r="AP2156"/>
      <c r="AQ2156"/>
      <c r="AR2156"/>
      <c r="AS2156"/>
      <c r="AT2156"/>
      <c r="AU2156"/>
      <c r="AV2156"/>
    </row>
    <row r="2157" spans="41:48" x14ac:dyDescent="0.35">
      <c r="AO2157"/>
      <c r="AP2157"/>
      <c r="AQ2157"/>
      <c r="AR2157"/>
      <c r="AS2157"/>
      <c r="AT2157"/>
      <c r="AU2157"/>
      <c r="AV2157"/>
    </row>
    <row r="2158" spans="41:48" x14ac:dyDescent="0.35">
      <c r="AO2158"/>
      <c r="AP2158"/>
      <c r="AQ2158"/>
      <c r="AR2158"/>
      <c r="AS2158"/>
      <c r="AT2158"/>
      <c r="AU2158"/>
      <c r="AV2158"/>
    </row>
    <row r="2159" spans="41:48" x14ac:dyDescent="0.35">
      <c r="AO2159"/>
      <c r="AP2159"/>
      <c r="AQ2159"/>
      <c r="AR2159"/>
      <c r="AS2159"/>
      <c r="AT2159"/>
      <c r="AU2159"/>
      <c r="AV2159"/>
    </row>
    <row r="2160" spans="41:48" x14ac:dyDescent="0.35">
      <c r="AO2160"/>
      <c r="AP2160"/>
      <c r="AQ2160"/>
      <c r="AR2160"/>
      <c r="AS2160"/>
      <c r="AT2160"/>
      <c r="AU2160"/>
      <c r="AV2160"/>
    </row>
    <row r="2161" spans="41:48" x14ac:dyDescent="0.35">
      <c r="AO2161"/>
      <c r="AP2161"/>
      <c r="AQ2161"/>
      <c r="AR2161"/>
      <c r="AS2161"/>
      <c r="AT2161"/>
      <c r="AU2161"/>
      <c r="AV2161"/>
    </row>
    <row r="2162" spans="41:48" x14ac:dyDescent="0.35">
      <c r="AO2162"/>
      <c r="AP2162"/>
      <c r="AQ2162"/>
      <c r="AR2162"/>
      <c r="AS2162"/>
      <c r="AT2162"/>
      <c r="AU2162"/>
      <c r="AV2162"/>
    </row>
    <row r="2163" spans="41:48" x14ac:dyDescent="0.35">
      <c r="AO2163"/>
      <c r="AP2163"/>
      <c r="AQ2163"/>
      <c r="AR2163"/>
      <c r="AS2163"/>
      <c r="AT2163"/>
      <c r="AU2163"/>
      <c r="AV2163"/>
    </row>
    <row r="2164" spans="41:48" x14ac:dyDescent="0.35">
      <c r="AO2164"/>
      <c r="AP2164"/>
      <c r="AQ2164"/>
      <c r="AR2164"/>
      <c r="AS2164"/>
      <c r="AT2164"/>
      <c r="AU2164"/>
      <c r="AV2164"/>
    </row>
    <row r="2165" spans="41:48" x14ac:dyDescent="0.35">
      <c r="AO2165"/>
      <c r="AP2165"/>
      <c r="AQ2165"/>
      <c r="AR2165"/>
      <c r="AS2165"/>
      <c r="AT2165"/>
      <c r="AU2165"/>
      <c r="AV2165"/>
    </row>
    <row r="2166" spans="41:48" x14ac:dyDescent="0.35">
      <c r="AO2166"/>
      <c r="AP2166"/>
      <c r="AQ2166"/>
      <c r="AR2166"/>
      <c r="AS2166"/>
      <c r="AT2166"/>
      <c r="AU2166"/>
      <c r="AV2166"/>
    </row>
    <row r="2167" spans="41:48" x14ac:dyDescent="0.35">
      <c r="AO2167"/>
      <c r="AP2167"/>
      <c r="AQ2167"/>
      <c r="AR2167"/>
      <c r="AS2167"/>
      <c r="AT2167"/>
      <c r="AU2167"/>
      <c r="AV2167"/>
    </row>
    <row r="2168" spans="41:48" x14ac:dyDescent="0.35">
      <c r="AO2168"/>
      <c r="AP2168"/>
      <c r="AQ2168"/>
      <c r="AR2168"/>
      <c r="AS2168"/>
      <c r="AT2168"/>
      <c r="AU2168"/>
      <c r="AV2168"/>
    </row>
    <row r="2169" spans="41:48" x14ac:dyDescent="0.35">
      <c r="AO2169"/>
      <c r="AP2169"/>
      <c r="AQ2169"/>
      <c r="AR2169"/>
      <c r="AS2169"/>
      <c r="AT2169"/>
      <c r="AU2169"/>
      <c r="AV2169"/>
    </row>
    <row r="2170" spans="41:48" x14ac:dyDescent="0.35">
      <c r="AO2170"/>
      <c r="AP2170"/>
      <c r="AQ2170"/>
      <c r="AR2170"/>
      <c r="AS2170"/>
      <c r="AT2170"/>
      <c r="AU2170"/>
      <c r="AV2170"/>
    </row>
    <row r="2171" spans="41:48" x14ac:dyDescent="0.35">
      <c r="AO2171"/>
      <c r="AP2171"/>
      <c r="AQ2171"/>
      <c r="AR2171"/>
      <c r="AS2171"/>
      <c r="AT2171"/>
      <c r="AU2171"/>
      <c r="AV2171"/>
    </row>
    <row r="2172" spans="41:48" x14ac:dyDescent="0.35">
      <c r="AO2172"/>
      <c r="AP2172"/>
      <c r="AQ2172"/>
      <c r="AR2172"/>
      <c r="AS2172"/>
      <c r="AT2172"/>
      <c r="AU2172"/>
      <c r="AV2172"/>
    </row>
    <row r="2173" spans="41:48" x14ac:dyDescent="0.35">
      <c r="AO2173"/>
      <c r="AP2173"/>
      <c r="AQ2173"/>
      <c r="AR2173"/>
      <c r="AS2173"/>
      <c r="AT2173"/>
      <c r="AU2173"/>
      <c r="AV2173"/>
    </row>
    <row r="2174" spans="41:48" x14ac:dyDescent="0.35">
      <c r="AO2174"/>
      <c r="AP2174"/>
      <c r="AQ2174"/>
      <c r="AR2174"/>
      <c r="AS2174"/>
      <c r="AT2174"/>
      <c r="AU2174"/>
      <c r="AV2174"/>
    </row>
    <row r="2175" spans="41:48" x14ac:dyDescent="0.35">
      <c r="AO2175"/>
      <c r="AP2175"/>
      <c r="AQ2175"/>
      <c r="AR2175"/>
      <c r="AS2175"/>
      <c r="AT2175"/>
      <c r="AU2175"/>
      <c r="AV2175"/>
    </row>
    <row r="2176" spans="41:48" x14ac:dyDescent="0.35">
      <c r="AO2176"/>
      <c r="AP2176"/>
      <c r="AQ2176"/>
      <c r="AR2176"/>
      <c r="AS2176"/>
      <c r="AT2176"/>
      <c r="AU2176"/>
      <c r="AV2176"/>
    </row>
    <row r="2177" spans="41:48" x14ac:dyDescent="0.35">
      <c r="AO2177"/>
      <c r="AP2177"/>
      <c r="AQ2177"/>
      <c r="AR2177"/>
      <c r="AS2177"/>
      <c r="AT2177"/>
      <c r="AU2177"/>
      <c r="AV2177"/>
    </row>
    <row r="2178" spans="41:48" x14ac:dyDescent="0.35">
      <c r="AO2178"/>
      <c r="AP2178"/>
      <c r="AQ2178"/>
      <c r="AR2178"/>
      <c r="AS2178"/>
      <c r="AT2178"/>
      <c r="AU2178"/>
      <c r="AV2178"/>
    </row>
    <row r="2179" spans="41:48" x14ac:dyDescent="0.35">
      <c r="AO2179"/>
      <c r="AP2179"/>
      <c r="AQ2179"/>
      <c r="AR2179"/>
      <c r="AS2179"/>
      <c r="AT2179"/>
      <c r="AU2179"/>
      <c r="AV2179"/>
    </row>
    <row r="2180" spans="41:48" x14ac:dyDescent="0.35">
      <c r="AO2180"/>
      <c r="AP2180"/>
      <c r="AQ2180"/>
      <c r="AR2180"/>
      <c r="AS2180"/>
      <c r="AT2180"/>
      <c r="AU2180"/>
      <c r="AV2180"/>
    </row>
    <row r="2181" spans="41:48" x14ac:dyDescent="0.35">
      <c r="AO2181"/>
      <c r="AP2181"/>
      <c r="AQ2181"/>
      <c r="AR2181"/>
      <c r="AS2181"/>
      <c r="AT2181"/>
      <c r="AU2181"/>
      <c r="AV2181"/>
    </row>
    <row r="2182" spans="41:48" x14ac:dyDescent="0.35">
      <c r="AO2182"/>
      <c r="AP2182"/>
      <c r="AQ2182"/>
      <c r="AR2182"/>
      <c r="AS2182"/>
      <c r="AT2182"/>
      <c r="AU2182"/>
      <c r="AV2182"/>
    </row>
    <row r="2183" spans="41:48" x14ac:dyDescent="0.35">
      <c r="AO2183"/>
      <c r="AP2183"/>
      <c r="AQ2183"/>
      <c r="AR2183"/>
      <c r="AS2183"/>
      <c r="AT2183"/>
      <c r="AU2183"/>
      <c r="AV2183"/>
    </row>
    <row r="2184" spans="41:48" x14ac:dyDescent="0.35">
      <c r="AO2184"/>
      <c r="AP2184"/>
      <c r="AQ2184"/>
      <c r="AR2184"/>
      <c r="AS2184"/>
      <c r="AT2184"/>
      <c r="AU2184"/>
      <c r="AV2184"/>
    </row>
    <row r="2185" spans="41:48" x14ac:dyDescent="0.35">
      <c r="AO2185"/>
      <c r="AP2185"/>
      <c r="AQ2185"/>
      <c r="AR2185"/>
      <c r="AS2185"/>
      <c r="AT2185"/>
      <c r="AU2185"/>
      <c r="AV2185"/>
    </row>
    <row r="2186" spans="41:48" x14ac:dyDescent="0.35">
      <c r="AO2186"/>
      <c r="AP2186"/>
      <c r="AQ2186"/>
      <c r="AR2186"/>
      <c r="AS2186"/>
      <c r="AT2186"/>
      <c r="AU2186"/>
      <c r="AV2186"/>
    </row>
    <row r="2187" spans="41:48" x14ac:dyDescent="0.35">
      <c r="AO2187"/>
      <c r="AP2187"/>
      <c r="AQ2187"/>
      <c r="AR2187"/>
      <c r="AS2187"/>
      <c r="AT2187"/>
      <c r="AU2187"/>
      <c r="AV2187"/>
    </row>
    <row r="2188" spans="41:48" x14ac:dyDescent="0.35">
      <c r="AO2188"/>
      <c r="AP2188"/>
      <c r="AQ2188"/>
      <c r="AR2188"/>
      <c r="AS2188"/>
      <c r="AT2188"/>
      <c r="AU2188"/>
      <c r="AV2188"/>
    </row>
    <row r="2189" spans="41:48" x14ac:dyDescent="0.35">
      <c r="AO2189"/>
      <c r="AP2189"/>
      <c r="AQ2189"/>
      <c r="AR2189"/>
      <c r="AS2189"/>
      <c r="AT2189"/>
      <c r="AU2189"/>
      <c r="AV2189"/>
    </row>
    <row r="2190" spans="41:48" x14ac:dyDescent="0.35">
      <c r="AO2190"/>
      <c r="AP2190"/>
      <c r="AQ2190"/>
      <c r="AR2190"/>
      <c r="AS2190"/>
      <c r="AT2190"/>
      <c r="AU2190"/>
      <c r="AV2190"/>
    </row>
    <row r="2191" spans="41:48" x14ac:dyDescent="0.35">
      <c r="AO2191"/>
      <c r="AP2191"/>
      <c r="AQ2191"/>
      <c r="AR2191"/>
      <c r="AS2191"/>
      <c r="AT2191"/>
      <c r="AU2191"/>
      <c r="AV2191"/>
    </row>
    <row r="2192" spans="41:48" x14ac:dyDescent="0.35">
      <c r="AO2192"/>
      <c r="AP2192"/>
      <c r="AQ2192"/>
      <c r="AR2192"/>
      <c r="AS2192"/>
      <c r="AT2192"/>
      <c r="AU2192"/>
      <c r="AV2192"/>
    </row>
    <row r="2193" spans="41:48" x14ac:dyDescent="0.35">
      <c r="AO2193"/>
      <c r="AP2193"/>
      <c r="AQ2193"/>
      <c r="AR2193"/>
      <c r="AS2193"/>
      <c r="AT2193"/>
      <c r="AU2193"/>
      <c r="AV2193"/>
    </row>
    <row r="2194" spans="41:48" x14ac:dyDescent="0.35">
      <c r="AO2194"/>
      <c r="AP2194"/>
      <c r="AQ2194"/>
      <c r="AR2194"/>
      <c r="AS2194"/>
      <c r="AT2194"/>
      <c r="AU2194"/>
      <c r="AV2194"/>
    </row>
    <row r="2195" spans="41:48" x14ac:dyDescent="0.35">
      <c r="AO2195"/>
      <c r="AP2195"/>
      <c r="AQ2195"/>
      <c r="AR2195"/>
      <c r="AS2195"/>
      <c r="AT2195"/>
      <c r="AU2195"/>
      <c r="AV2195"/>
    </row>
    <row r="2196" spans="41:48" x14ac:dyDescent="0.35">
      <c r="AO2196"/>
      <c r="AP2196"/>
      <c r="AQ2196"/>
      <c r="AR2196"/>
      <c r="AS2196"/>
      <c r="AT2196"/>
      <c r="AU2196"/>
      <c r="AV2196"/>
    </row>
    <row r="2197" spans="41:48" x14ac:dyDescent="0.35">
      <c r="AO2197"/>
      <c r="AP2197"/>
      <c r="AQ2197"/>
      <c r="AR2197"/>
      <c r="AS2197"/>
      <c r="AT2197"/>
      <c r="AU2197"/>
      <c r="AV2197"/>
    </row>
    <row r="2198" spans="41:48" x14ac:dyDescent="0.35">
      <c r="AO2198"/>
      <c r="AP2198"/>
      <c r="AQ2198"/>
      <c r="AR2198"/>
      <c r="AS2198"/>
      <c r="AT2198"/>
      <c r="AU2198"/>
      <c r="AV2198"/>
    </row>
    <row r="2199" spans="41:48" x14ac:dyDescent="0.35">
      <c r="AO2199"/>
      <c r="AP2199"/>
      <c r="AQ2199"/>
      <c r="AR2199"/>
      <c r="AS2199"/>
      <c r="AT2199"/>
      <c r="AU2199"/>
      <c r="AV2199"/>
    </row>
    <row r="2200" spans="41:48" x14ac:dyDescent="0.35">
      <c r="AO2200"/>
      <c r="AP2200"/>
      <c r="AQ2200"/>
      <c r="AR2200"/>
      <c r="AS2200"/>
      <c r="AT2200"/>
      <c r="AU2200"/>
      <c r="AV2200"/>
    </row>
    <row r="2201" spans="41:48" x14ac:dyDescent="0.35">
      <c r="AO2201"/>
      <c r="AP2201"/>
      <c r="AQ2201"/>
      <c r="AR2201"/>
      <c r="AS2201"/>
      <c r="AT2201"/>
      <c r="AU2201"/>
      <c r="AV2201"/>
    </row>
    <row r="2202" spans="41:48" x14ac:dyDescent="0.35">
      <c r="AO2202"/>
      <c r="AP2202"/>
      <c r="AQ2202"/>
      <c r="AR2202"/>
      <c r="AS2202"/>
      <c r="AT2202"/>
      <c r="AU2202"/>
      <c r="AV2202"/>
    </row>
    <row r="2203" spans="41:48" x14ac:dyDescent="0.35">
      <c r="AO2203"/>
      <c r="AP2203"/>
      <c r="AQ2203"/>
      <c r="AR2203"/>
      <c r="AS2203"/>
      <c r="AT2203"/>
      <c r="AU2203"/>
      <c r="AV2203"/>
    </row>
    <row r="2204" spans="41:48" x14ac:dyDescent="0.35">
      <c r="AO2204"/>
      <c r="AP2204"/>
      <c r="AQ2204"/>
      <c r="AR2204"/>
      <c r="AS2204"/>
      <c r="AT2204"/>
      <c r="AU2204"/>
      <c r="AV2204"/>
    </row>
    <row r="2205" spans="41:48" x14ac:dyDescent="0.35">
      <c r="AO2205"/>
      <c r="AP2205"/>
      <c r="AQ2205"/>
      <c r="AR2205"/>
      <c r="AS2205"/>
      <c r="AT2205"/>
      <c r="AU2205"/>
      <c r="AV2205"/>
    </row>
    <row r="2206" spans="41:48" x14ac:dyDescent="0.35">
      <c r="AO2206"/>
      <c r="AP2206"/>
      <c r="AQ2206"/>
      <c r="AR2206"/>
      <c r="AS2206"/>
      <c r="AT2206"/>
      <c r="AU2206"/>
      <c r="AV2206"/>
    </row>
    <row r="2207" spans="41:48" x14ac:dyDescent="0.35">
      <c r="AO2207"/>
      <c r="AP2207"/>
      <c r="AQ2207"/>
      <c r="AR2207"/>
      <c r="AS2207"/>
      <c r="AT2207"/>
      <c r="AU2207"/>
      <c r="AV2207"/>
    </row>
    <row r="2208" spans="41:48" x14ac:dyDescent="0.35">
      <c r="AO2208"/>
      <c r="AP2208"/>
      <c r="AQ2208"/>
      <c r="AR2208"/>
      <c r="AS2208"/>
      <c r="AT2208"/>
      <c r="AU2208"/>
      <c r="AV2208"/>
    </row>
    <row r="2209" spans="41:48" x14ac:dyDescent="0.35">
      <c r="AO2209"/>
      <c r="AP2209"/>
      <c r="AQ2209"/>
      <c r="AR2209"/>
      <c r="AS2209"/>
      <c r="AT2209"/>
      <c r="AU2209"/>
      <c r="AV2209"/>
    </row>
    <row r="2210" spans="41:48" x14ac:dyDescent="0.35">
      <c r="AO2210"/>
      <c r="AP2210"/>
      <c r="AQ2210"/>
      <c r="AR2210"/>
      <c r="AS2210"/>
      <c r="AT2210"/>
      <c r="AU2210"/>
      <c r="AV2210"/>
    </row>
    <row r="2211" spans="41:48" x14ac:dyDescent="0.35">
      <c r="AO2211"/>
      <c r="AP2211"/>
      <c r="AQ2211"/>
      <c r="AR2211"/>
      <c r="AS2211"/>
      <c r="AT2211"/>
      <c r="AU2211"/>
      <c r="AV2211"/>
    </row>
    <row r="2212" spans="41:48" x14ac:dyDescent="0.35">
      <c r="AO2212"/>
      <c r="AP2212"/>
      <c r="AQ2212"/>
      <c r="AR2212"/>
      <c r="AS2212"/>
      <c r="AT2212"/>
      <c r="AU2212"/>
      <c r="AV2212"/>
    </row>
    <row r="2213" spans="41:48" x14ac:dyDescent="0.35">
      <c r="AO2213"/>
      <c r="AP2213"/>
      <c r="AQ2213"/>
      <c r="AR2213"/>
      <c r="AS2213"/>
      <c r="AT2213"/>
      <c r="AU2213"/>
      <c r="AV2213"/>
    </row>
    <row r="2214" spans="41:48" x14ac:dyDescent="0.35">
      <c r="AO2214"/>
      <c r="AP2214"/>
      <c r="AQ2214"/>
      <c r="AR2214"/>
      <c r="AS2214"/>
      <c r="AT2214"/>
      <c r="AU2214"/>
      <c r="AV2214"/>
    </row>
    <row r="2215" spans="41:48" x14ac:dyDescent="0.35">
      <c r="AO2215"/>
      <c r="AP2215"/>
      <c r="AQ2215"/>
      <c r="AR2215"/>
      <c r="AS2215"/>
      <c r="AT2215"/>
      <c r="AU2215"/>
      <c r="AV2215"/>
    </row>
    <row r="2216" spans="41:48" x14ac:dyDescent="0.35">
      <c r="AO2216"/>
      <c r="AP2216"/>
      <c r="AQ2216"/>
      <c r="AR2216"/>
      <c r="AS2216"/>
      <c r="AT2216"/>
      <c r="AU2216"/>
      <c r="AV2216"/>
    </row>
    <row r="2217" spans="41:48" x14ac:dyDescent="0.35">
      <c r="AO2217"/>
      <c r="AP2217"/>
      <c r="AQ2217"/>
      <c r="AR2217"/>
      <c r="AS2217"/>
      <c r="AT2217"/>
      <c r="AU2217"/>
      <c r="AV2217"/>
    </row>
    <row r="2218" spans="41:48" x14ac:dyDescent="0.35">
      <c r="AO2218"/>
      <c r="AP2218"/>
      <c r="AQ2218"/>
      <c r="AR2218"/>
      <c r="AS2218"/>
      <c r="AT2218"/>
      <c r="AU2218"/>
      <c r="AV2218"/>
    </row>
    <row r="2219" spans="41:48" x14ac:dyDescent="0.35">
      <c r="AO2219"/>
      <c r="AP2219"/>
      <c r="AQ2219"/>
      <c r="AR2219"/>
      <c r="AS2219"/>
      <c r="AT2219"/>
      <c r="AU2219"/>
      <c r="AV2219"/>
    </row>
    <row r="2220" spans="41:48" x14ac:dyDescent="0.35">
      <c r="AO2220"/>
      <c r="AP2220"/>
      <c r="AQ2220"/>
      <c r="AR2220"/>
      <c r="AS2220"/>
      <c r="AT2220"/>
      <c r="AU2220"/>
      <c r="AV2220"/>
    </row>
    <row r="2221" spans="41:48" x14ac:dyDescent="0.35">
      <c r="AO2221"/>
      <c r="AP2221"/>
      <c r="AQ2221"/>
      <c r="AR2221"/>
      <c r="AS2221"/>
      <c r="AT2221"/>
      <c r="AU2221"/>
      <c r="AV2221"/>
    </row>
    <row r="2222" spans="41:48" x14ac:dyDescent="0.35">
      <c r="AO2222"/>
      <c r="AP2222"/>
      <c r="AQ2222"/>
      <c r="AR2222"/>
      <c r="AS2222"/>
      <c r="AT2222"/>
      <c r="AU2222"/>
      <c r="AV2222"/>
    </row>
    <row r="2223" spans="41:48" x14ac:dyDescent="0.35">
      <c r="AO2223"/>
      <c r="AP2223"/>
      <c r="AQ2223"/>
      <c r="AR2223"/>
      <c r="AS2223"/>
      <c r="AT2223"/>
      <c r="AU2223"/>
      <c r="AV2223"/>
    </row>
    <row r="2224" spans="41:48" x14ac:dyDescent="0.35">
      <c r="AO2224"/>
      <c r="AP2224"/>
      <c r="AQ2224"/>
      <c r="AR2224"/>
      <c r="AS2224"/>
      <c r="AT2224"/>
      <c r="AU2224"/>
      <c r="AV2224"/>
    </row>
    <row r="2225" spans="41:48" x14ac:dyDescent="0.35">
      <c r="AO2225"/>
      <c r="AP2225"/>
      <c r="AQ2225"/>
      <c r="AR2225"/>
      <c r="AS2225"/>
      <c r="AT2225"/>
      <c r="AU2225"/>
      <c r="AV2225"/>
    </row>
    <row r="2226" spans="41:48" x14ac:dyDescent="0.35">
      <c r="AO2226"/>
      <c r="AP2226"/>
      <c r="AQ2226"/>
      <c r="AR2226"/>
      <c r="AS2226"/>
      <c r="AT2226"/>
      <c r="AU2226"/>
      <c r="AV2226"/>
    </row>
    <row r="2227" spans="41:48" x14ac:dyDescent="0.35">
      <c r="AO2227"/>
      <c r="AP2227"/>
      <c r="AQ2227"/>
      <c r="AR2227"/>
      <c r="AS2227"/>
      <c r="AT2227"/>
      <c r="AU2227"/>
      <c r="AV2227"/>
    </row>
    <row r="2228" spans="41:48" x14ac:dyDescent="0.35">
      <c r="AO2228"/>
      <c r="AP2228"/>
      <c r="AQ2228"/>
      <c r="AR2228"/>
      <c r="AS2228"/>
      <c r="AT2228"/>
      <c r="AU2228"/>
      <c r="AV2228"/>
    </row>
    <row r="2229" spans="41:48" x14ac:dyDescent="0.35">
      <c r="AO2229"/>
      <c r="AP2229"/>
      <c r="AQ2229"/>
      <c r="AR2229"/>
      <c r="AS2229"/>
      <c r="AT2229"/>
      <c r="AU2229"/>
      <c r="AV2229"/>
    </row>
    <row r="2230" spans="41:48" x14ac:dyDescent="0.35">
      <c r="AO2230"/>
      <c r="AP2230"/>
      <c r="AQ2230"/>
      <c r="AR2230"/>
      <c r="AS2230"/>
      <c r="AT2230"/>
      <c r="AU2230"/>
      <c r="AV2230"/>
    </row>
    <row r="2231" spans="41:48" x14ac:dyDescent="0.35">
      <c r="AO2231"/>
      <c r="AP2231"/>
      <c r="AQ2231"/>
      <c r="AR2231"/>
      <c r="AS2231"/>
      <c r="AT2231"/>
      <c r="AU2231"/>
      <c r="AV2231"/>
    </row>
    <row r="2232" spans="41:48" x14ac:dyDescent="0.35">
      <c r="AO2232"/>
      <c r="AP2232"/>
      <c r="AQ2232"/>
      <c r="AR2232"/>
      <c r="AS2232"/>
      <c r="AT2232"/>
      <c r="AU2232"/>
      <c r="AV2232"/>
    </row>
    <row r="2233" spans="41:48" x14ac:dyDescent="0.35">
      <c r="AO2233"/>
      <c r="AP2233"/>
      <c r="AQ2233"/>
      <c r="AR2233"/>
      <c r="AS2233"/>
      <c r="AT2233"/>
      <c r="AU2233"/>
      <c r="AV2233"/>
    </row>
    <row r="2234" spans="41:48" x14ac:dyDescent="0.35">
      <c r="AO2234"/>
      <c r="AP2234"/>
      <c r="AQ2234"/>
      <c r="AR2234"/>
      <c r="AS2234"/>
      <c r="AT2234"/>
      <c r="AU2234"/>
      <c r="AV2234"/>
    </row>
    <row r="2235" spans="41:48" x14ac:dyDescent="0.35">
      <c r="AO2235"/>
      <c r="AP2235"/>
      <c r="AQ2235"/>
      <c r="AR2235"/>
      <c r="AS2235"/>
      <c r="AT2235"/>
      <c r="AU2235"/>
      <c r="AV2235"/>
    </row>
    <row r="2236" spans="41:48" x14ac:dyDescent="0.35">
      <c r="AO2236"/>
      <c r="AP2236"/>
      <c r="AQ2236"/>
      <c r="AR2236"/>
      <c r="AS2236"/>
      <c r="AT2236"/>
      <c r="AU2236"/>
      <c r="AV2236"/>
    </row>
    <row r="2237" spans="41:48" x14ac:dyDescent="0.35">
      <c r="AO2237"/>
      <c r="AP2237"/>
      <c r="AQ2237"/>
      <c r="AR2237"/>
      <c r="AS2237"/>
      <c r="AT2237"/>
      <c r="AU2237"/>
      <c r="AV2237"/>
    </row>
    <row r="2238" spans="41:48" x14ac:dyDescent="0.35">
      <c r="AO2238"/>
      <c r="AP2238"/>
      <c r="AQ2238"/>
      <c r="AR2238"/>
      <c r="AS2238"/>
      <c r="AT2238"/>
      <c r="AU2238"/>
      <c r="AV2238"/>
    </row>
    <row r="2239" spans="41:48" x14ac:dyDescent="0.35">
      <c r="AO2239"/>
      <c r="AP2239"/>
      <c r="AQ2239"/>
      <c r="AR2239"/>
      <c r="AS2239"/>
      <c r="AT2239"/>
      <c r="AU2239"/>
      <c r="AV2239"/>
    </row>
    <row r="2240" spans="41:48" x14ac:dyDescent="0.35">
      <c r="AO2240"/>
      <c r="AP2240"/>
      <c r="AQ2240"/>
      <c r="AR2240"/>
      <c r="AS2240"/>
      <c r="AT2240"/>
      <c r="AU2240"/>
      <c r="AV2240"/>
    </row>
    <row r="2241" spans="41:48" x14ac:dyDescent="0.35">
      <c r="AO2241"/>
      <c r="AP2241"/>
      <c r="AQ2241"/>
      <c r="AR2241"/>
      <c r="AS2241"/>
      <c r="AT2241"/>
      <c r="AU2241"/>
      <c r="AV2241"/>
    </row>
    <row r="2242" spans="41:48" x14ac:dyDescent="0.35">
      <c r="AO2242"/>
      <c r="AP2242"/>
      <c r="AQ2242"/>
      <c r="AR2242"/>
      <c r="AS2242"/>
      <c r="AT2242"/>
      <c r="AU2242"/>
      <c r="AV2242"/>
    </row>
    <row r="2243" spans="41:48" x14ac:dyDescent="0.35">
      <c r="AO2243"/>
      <c r="AP2243"/>
      <c r="AQ2243"/>
      <c r="AR2243"/>
      <c r="AS2243"/>
      <c r="AT2243"/>
      <c r="AU2243"/>
      <c r="AV2243"/>
    </row>
    <row r="2244" spans="41:48" x14ac:dyDescent="0.35">
      <c r="AO2244"/>
      <c r="AP2244"/>
      <c r="AQ2244"/>
      <c r="AR2244"/>
      <c r="AS2244"/>
      <c r="AT2244"/>
      <c r="AU2244"/>
      <c r="AV2244"/>
    </row>
    <row r="2245" spans="41:48" x14ac:dyDescent="0.35">
      <c r="AO2245"/>
      <c r="AP2245"/>
      <c r="AQ2245"/>
      <c r="AR2245"/>
      <c r="AS2245"/>
      <c r="AT2245"/>
      <c r="AU2245"/>
      <c r="AV2245"/>
    </row>
    <row r="2246" spans="41:48" x14ac:dyDescent="0.35">
      <c r="AO2246"/>
      <c r="AP2246"/>
      <c r="AQ2246"/>
      <c r="AR2246"/>
      <c r="AS2246"/>
      <c r="AT2246"/>
      <c r="AU2246"/>
      <c r="AV2246"/>
    </row>
    <row r="2247" spans="41:48" x14ac:dyDescent="0.35">
      <c r="AO2247"/>
      <c r="AP2247"/>
      <c r="AQ2247"/>
      <c r="AR2247"/>
      <c r="AS2247"/>
      <c r="AT2247"/>
      <c r="AU2247"/>
      <c r="AV2247"/>
    </row>
    <row r="2248" spans="41:48" x14ac:dyDescent="0.35">
      <c r="AO2248"/>
      <c r="AP2248"/>
      <c r="AQ2248"/>
      <c r="AR2248"/>
      <c r="AS2248"/>
      <c r="AT2248"/>
      <c r="AU2248"/>
      <c r="AV2248"/>
    </row>
    <row r="2249" spans="41:48" x14ac:dyDescent="0.35">
      <c r="AO2249"/>
      <c r="AP2249"/>
      <c r="AQ2249"/>
      <c r="AR2249"/>
      <c r="AS2249"/>
      <c r="AT2249"/>
      <c r="AU2249"/>
      <c r="AV2249"/>
    </row>
    <row r="2250" spans="41:48" x14ac:dyDescent="0.35">
      <c r="AO2250"/>
      <c r="AP2250"/>
      <c r="AQ2250"/>
      <c r="AR2250"/>
      <c r="AS2250"/>
      <c r="AT2250"/>
      <c r="AU2250"/>
      <c r="AV2250"/>
    </row>
    <row r="2251" spans="41:48" x14ac:dyDescent="0.35">
      <c r="AO2251"/>
      <c r="AP2251"/>
      <c r="AQ2251"/>
      <c r="AR2251"/>
      <c r="AS2251"/>
      <c r="AT2251"/>
      <c r="AU2251"/>
      <c r="AV2251"/>
    </row>
    <row r="2252" spans="41:48" x14ac:dyDescent="0.35">
      <c r="AO2252"/>
      <c r="AP2252"/>
      <c r="AQ2252"/>
      <c r="AR2252"/>
      <c r="AS2252"/>
      <c r="AT2252"/>
      <c r="AU2252"/>
      <c r="AV2252"/>
    </row>
    <row r="2253" spans="41:48" x14ac:dyDescent="0.35">
      <c r="AO2253"/>
      <c r="AP2253"/>
      <c r="AQ2253"/>
      <c r="AR2253"/>
      <c r="AS2253"/>
      <c r="AT2253"/>
      <c r="AU2253"/>
      <c r="AV2253"/>
    </row>
    <row r="2254" spans="41:48" x14ac:dyDescent="0.35">
      <c r="AO2254"/>
      <c r="AP2254"/>
      <c r="AQ2254"/>
      <c r="AR2254"/>
      <c r="AS2254"/>
      <c r="AT2254"/>
      <c r="AU2254"/>
      <c r="AV2254"/>
    </row>
    <row r="2255" spans="41:48" x14ac:dyDescent="0.35">
      <c r="AO2255"/>
      <c r="AP2255"/>
      <c r="AQ2255"/>
      <c r="AR2255"/>
      <c r="AS2255"/>
      <c r="AT2255"/>
      <c r="AU2255"/>
      <c r="AV2255"/>
    </row>
    <row r="2256" spans="41:48" x14ac:dyDescent="0.35">
      <c r="AO2256"/>
      <c r="AP2256"/>
      <c r="AQ2256"/>
      <c r="AR2256"/>
      <c r="AS2256"/>
      <c r="AT2256"/>
      <c r="AU2256"/>
      <c r="AV2256"/>
    </row>
    <row r="2257" spans="41:48" x14ac:dyDescent="0.35">
      <c r="AO2257"/>
      <c r="AP2257"/>
      <c r="AQ2257"/>
      <c r="AR2257"/>
      <c r="AS2257"/>
      <c r="AT2257"/>
      <c r="AU2257"/>
      <c r="AV2257"/>
    </row>
    <row r="2258" spans="41:48" x14ac:dyDescent="0.35">
      <c r="AO2258"/>
      <c r="AP2258"/>
      <c r="AQ2258"/>
      <c r="AR2258"/>
      <c r="AS2258"/>
      <c r="AT2258"/>
      <c r="AU2258"/>
      <c r="AV2258"/>
    </row>
    <row r="2259" spans="41:48" x14ac:dyDescent="0.35">
      <c r="AO2259"/>
      <c r="AP2259"/>
      <c r="AQ2259"/>
      <c r="AR2259"/>
      <c r="AS2259"/>
      <c r="AT2259"/>
      <c r="AU2259"/>
      <c r="AV2259"/>
    </row>
    <row r="2260" spans="41:48" x14ac:dyDescent="0.35">
      <c r="AO2260"/>
      <c r="AP2260"/>
      <c r="AQ2260"/>
      <c r="AR2260"/>
      <c r="AS2260"/>
      <c r="AT2260"/>
      <c r="AU2260"/>
      <c r="AV2260"/>
    </row>
    <row r="2261" spans="41:48" x14ac:dyDescent="0.35">
      <c r="AO2261"/>
      <c r="AP2261"/>
      <c r="AQ2261"/>
      <c r="AR2261"/>
      <c r="AS2261"/>
      <c r="AT2261"/>
      <c r="AU2261"/>
      <c r="AV2261"/>
    </row>
    <row r="2262" spans="41:48" x14ac:dyDescent="0.35">
      <c r="AO2262"/>
      <c r="AP2262"/>
      <c r="AQ2262"/>
      <c r="AR2262"/>
      <c r="AS2262"/>
      <c r="AT2262"/>
      <c r="AU2262"/>
      <c r="AV2262"/>
    </row>
    <row r="2263" spans="41:48" x14ac:dyDescent="0.35">
      <c r="AO2263"/>
      <c r="AP2263"/>
      <c r="AQ2263"/>
      <c r="AR2263"/>
      <c r="AS2263"/>
      <c r="AT2263"/>
      <c r="AU2263"/>
      <c r="AV2263"/>
    </row>
    <row r="2264" spans="41:48" x14ac:dyDescent="0.35">
      <c r="AO2264"/>
      <c r="AP2264"/>
      <c r="AQ2264"/>
      <c r="AR2264"/>
      <c r="AS2264"/>
      <c r="AT2264"/>
      <c r="AU2264"/>
      <c r="AV2264"/>
    </row>
    <row r="2265" spans="41:48" x14ac:dyDescent="0.35">
      <c r="AO2265"/>
      <c r="AP2265"/>
      <c r="AQ2265"/>
      <c r="AR2265"/>
      <c r="AS2265"/>
      <c r="AT2265"/>
      <c r="AU2265"/>
      <c r="AV2265"/>
    </row>
    <row r="2266" spans="41:48" x14ac:dyDescent="0.35">
      <c r="AO2266"/>
      <c r="AP2266"/>
      <c r="AQ2266"/>
      <c r="AR2266"/>
      <c r="AS2266"/>
      <c r="AT2266"/>
      <c r="AU2266"/>
      <c r="AV2266"/>
    </row>
    <row r="2267" spans="41:48" x14ac:dyDescent="0.35">
      <c r="AO2267"/>
      <c r="AP2267"/>
      <c r="AQ2267"/>
      <c r="AR2267"/>
      <c r="AS2267"/>
      <c r="AT2267"/>
      <c r="AU2267"/>
      <c r="AV2267"/>
    </row>
    <row r="2268" spans="41:48" x14ac:dyDescent="0.35">
      <c r="AO2268"/>
      <c r="AP2268"/>
      <c r="AQ2268"/>
      <c r="AR2268"/>
      <c r="AS2268"/>
      <c r="AT2268"/>
      <c r="AU2268"/>
      <c r="AV2268"/>
    </row>
    <row r="2269" spans="41:48" x14ac:dyDescent="0.35">
      <c r="AO2269"/>
      <c r="AP2269"/>
      <c r="AQ2269"/>
      <c r="AR2269"/>
      <c r="AS2269"/>
      <c r="AT2269"/>
      <c r="AU2269"/>
      <c r="AV2269"/>
    </row>
    <row r="2270" spans="41:48" x14ac:dyDescent="0.35">
      <c r="AO2270"/>
      <c r="AP2270"/>
      <c r="AQ2270"/>
      <c r="AR2270"/>
      <c r="AS2270"/>
      <c r="AT2270"/>
      <c r="AU2270"/>
      <c r="AV2270"/>
    </row>
    <row r="2271" spans="41:48" x14ac:dyDescent="0.35">
      <c r="AO2271"/>
      <c r="AP2271"/>
      <c r="AQ2271"/>
      <c r="AR2271"/>
      <c r="AS2271"/>
      <c r="AT2271"/>
      <c r="AU2271"/>
      <c r="AV2271"/>
    </row>
    <row r="2272" spans="41:48" x14ac:dyDescent="0.35">
      <c r="AO2272"/>
      <c r="AP2272"/>
      <c r="AQ2272"/>
      <c r="AR2272"/>
      <c r="AS2272"/>
      <c r="AT2272"/>
      <c r="AU2272"/>
      <c r="AV2272"/>
    </row>
    <row r="2273" spans="41:48" x14ac:dyDescent="0.35">
      <c r="AO2273"/>
      <c r="AP2273"/>
      <c r="AQ2273"/>
      <c r="AR2273"/>
      <c r="AS2273"/>
      <c r="AT2273"/>
      <c r="AU2273"/>
      <c r="AV2273"/>
    </row>
    <row r="2274" spans="41:48" x14ac:dyDescent="0.35">
      <c r="AO2274"/>
      <c r="AP2274"/>
      <c r="AQ2274"/>
      <c r="AR2274"/>
      <c r="AS2274"/>
      <c r="AT2274"/>
      <c r="AU2274"/>
      <c r="AV2274"/>
    </row>
    <row r="2275" spans="41:48" x14ac:dyDescent="0.35">
      <c r="AO2275"/>
      <c r="AP2275"/>
      <c r="AQ2275"/>
      <c r="AR2275"/>
      <c r="AS2275"/>
      <c r="AT2275"/>
      <c r="AU2275"/>
      <c r="AV2275"/>
    </row>
    <row r="2276" spans="41:48" x14ac:dyDescent="0.35">
      <c r="AO2276"/>
      <c r="AP2276"/>
      <c r="AQ2276"/>
      <c r="AR2276"/>
      <c r="AS2276"/>
      <c r="AT2276"/>
      <c r="AU2276"/>
      <c r="AV2276"/>
    </row>
    <row r="2277" spans="41:48" x14ac:dyDescent="0.35">
      <c r="AO2277"/>
      <c r="AP2277"/>
      <c r="AQ2277"/>
      <c r="AR2277"/>
      <c r="AS2277"/>
      <c r="AT2277"/>
      <c r="AU2277"/>
      <c r="AV2277"/>
    </row>
    <row r="2278" spans="41:48" x14ac:dyDescent="0.35">
      <c r="AO2278"/>
      <c r="AP2278"/>
      <c r="AQ2278"/>
      <c r="AR2278"/>
      <c r="AS2278"/>
      <c r="AT2278"/>
      <c r="AU2278"/>
      <c r="AV2278"/>
    </row>
    <row r="2279" spans="41:48" x14ac:dyDescent="0.35">
      <c r="AO2279"/>
      <c r="AP2279"/>
      <c r="AQ2279"/>
      <c r="AR2279"/>
      <c r="AS2279"/>
      <c r="AT2279"/>
      <c r="AU2279"/>
      <c r="AV2279"/>
    </row>
    <row r="2280" spans="41:48" x14ac:dyDescent="0.35">
      <c r="AO2280"/>
      <c r="AP2280"/>
      <c r="AQ2280"/>
      <c r="AR2280"/>
      <c r="AS2280"/>
      <c r="AT2280"/>
      <c r="AU2280"/>
      <c r="AV2280"/>
    </row>
    <row r="2281" spans="41:48" x14ac:dyDescent="0.35">
      <c r="AO2281"/>
      <c r="AP2281"/>
      <c r="AQ2281"/>
      <c r="AR2281"/>
      <c r="AS2281"/>
      <c r="AT2281"/>
      <c r="AU2281"/>
      <c r="AV2281"/>
    </row>
    <row r="2282" spans="41:48" x14ac:dyDescent="0.35">
      <c r="AO2282"/>
      <c r="AP2282"/>
      <c r="AQ2282"/>
      <c r="AR2282"/>
      <c r="AS2282"/>
      <c r="AT2282"/>
      <c r="AU2282"/>
      <c r="AV2282"/>
    </row>
    <row r="2283" spans="41:48" x14ac:dyDescent="0.35">
      <c r="AO2283"/>
      <c r="AP2283"/>
      <c r="AQ2283"/>
      <c r="AR2283"/>
      <c r="AS2283"/>
      <c r="AT2283"/>
      <c r="AU2283"/>
      <c r="AV2283"/>
    </row>
    <row r="2284" spans="41:48" x14ac:dyDescent="0.35">
      <c r="AO2284"/>
      <c r="AP2284"/>
      <c r="AQ2284"/>
      <c r="AR2284"/>
      <c r="AS2284"/>
      <c r="AT2284"/>
      <c r="AU2284"/>
      <c r="AV2284"/>
    </row>
    <row r="2285" spans="41:48" x14ac:dyDescent="0.35">
      <c r="AO2285"/>
      <c r="AP2285"/>
      <c r="AQ2285"/>
      <c r="AR2285"/>
      <c r="AS2285"/>
      <c r="AT2285"/>
      <c r="AU2285"/>
      <c r="AV2285"/>
    </row>
    <row r="2286" spans="41:48" x14ac:dyDescent="0.35">
      <c r="AO2286"/>
      <c r="AP2286"/>
      <c r="AQ2286"/>
      <c r="AR2286"/>
      <c r="AS2286"/>
      <c r="AT2286"/>
      <c r="AU2286"/>
      <c r="AV2286"/>
    </row>
    <row r="2287" spans="41:48" x14ac:dyDescent="0.35">
      <c r="AO2287"/>
      <c r="AP2287"/>
      <c r="AQ2287"/>
      <c r="AR2287"/>
      <c r="AS2287"/>
      <c r="AT2287"/>
      <c r="AU2287"/>
      <c r="AV2287"/>
    </row>
    <row r="2288" spans="41:48" x14ac:dyDescent="0.35">
      <c r="AO2288"/>
      <c r="AP2288"/>
      <c r="AQ2288"/>
      <c r="AR2288"/>
      <c r="AS2288"/>
      <c r="AT2288"/>
      <c r="AU2288"/>
      <c r="AV2288"/>
    </row>
    <row r="2289" spans="41:48" x14ac:dyDescent="0.35">
      <c r="AO2289"/>
      <c r="AP2289"/>
      <c r="AQ2289"/>
      <c r="AR2289"/>
      <c r="AS2289"/>
      <c r="AT2289"/>
      <c r="AU2289"/>
      <c r="AV2289"/>
    </row>
    <row r="2290" spans="41:48" x14ac:dyDescent="0.35">
      <c r="AO2290"/>
      <c r="AP2290"/>
      <c r="AQ2290"/>
      <c r="AR2290"/>
      <c r="AS2290"/>
      <c r="AT2290"/>
      <c r="AU2290"/>
      <c r="AV2290"/>
    </row>
    <row r="2291" spans="41:48" x14ac:dyDescent="0.35">
      <c r="AO2291"/>
      <c r="AP2291"/>
      <c r="AQ2291"/>
      <c r="AR2291"/>
      <c r="AS2291"/>
      <c r="AT2291"/>
      <c r="AU2291"/>
      <c r="AV2291"/>
    </row>
    <row r="2292" spans="41:48" x14ac:dyDescent="0.35">
      <c r="AO2292"/>
      <c r="AP2292"/>
      <c r="AQ2292"/>
      <c r="AR2292"/>
      <c r="AS2292"/>
      <c r="AT2292"/>
      <c r="AU2292"/>
      <c r="AV2292"/>
    </row>
    <row r="2293" spans="41:48" x14ac:dyDescent="0.35">
      <c r="AO2293"/>
      <c r="AP2293"/>
      <c r="AQ2293"/>
      <c r="AR2293"/>
      <c r="AS2293"/>
      <c r="AT2293"/>
      <c r="AU2293"/>
      <c r="AV2293"/>
    </row>
    <row r="2294" spans="41:48" x14ac:dyDescent="0.35">
      <c r="AO2294"/>
      <c r="AP2294"/>
      <c r="AQ2294"/>
      <c r="AR2294"/>
      <c r="AS2294"/>
      <c r="AT2294"/>
      <c r="AU2294"/>
      <c r="AV2294"/>
    </row>
    <row r="2295" spans="41:48" x14ac:dyDescent="0.35">
      <c r="AO2295"/>
      <c r="AP2295"/>
      <c r="AQ2295"/>
      <c r="AR2295"/>
      <c r="AS2295"/>
      <c r="AT2295"/>
      <c r="AU2295"/>
      <c r="AV2295"/>
    </row>
    <row r="2296" spans="41:48" x14ac:dyDescent="0.35">
      <c r="AO2296"/>
      <c r="AP2296"/>
      <c r="AQ2296"/>
      <c r="AR2296"/>
      <c r="AS2296"/>
      <c r="AT2296"/>
      <c r="AU2296"/>
      <c r="AV2296"/>
    </row>
    <row r="2297" spans="41:48" x14ac:dyDescent="0.35">
      <c r="AO2297"/>
      <c r="AP2297"/>
      <c r="AQ2297"/>
      <c r="AR2297"/>
      <c r="AS2297"/>
      <c r="AT2297"/>
      <c r="AU2297"/>
      <c r="AV2297"/>
    </row>
    <row r="2298" spans="41:48" x14ac:dyDescent="0.35">
      <c r="AO2298"/>
      <c r="AP2298"/>
      <c r="AQ2298"/>
      <c r="AR2298"/>
      <c r="AS2298"/>
      <c r="AT2298"/>
      <c r="AU2298"/>
      <c r="AV2298"/>
    </row>
    <row r="2299" spans="41:48" x14ac:dyDescent="0.35">
      <c r="AO2299"/>
      <c r="AP2299"/>
      <c r="AQ2299"/>
      <c r="AR2299"/>
      <c r="AS2299"/>
      <c r="AT2299"/>
      <c r="AU2299"/>
      <c r="AV2299"/>
    </row>
    <row r="2300" spans="41:48" x14ac:dyDescent="0.35">
      <c r="AO2300"/>
      <c r="AP2300"/>
      <c r="AQ2300"/>
      <c r="AR2300"/>
      <c r="AS2300"/>
      <c r="AT2300"/>
      <c r="AU2300"/>
      <c r="AV2300"/>
    </row>
    <row r="2301" spans="41:48" x14ac:dyDescent="0.35">
      <c r="AO2301"/>
      <c r="AP2301"/>
      <c r="AQ2301"/>
      <c r="AR2301"/>
      <c r="AS2301"/>
      <c r="AT2301"/>
      <c r="AU2301"/>
      <c r="AV2301"/>
    </row>
    <row r="2302" spans="41:48" x14ac:dyDescent="0.35">
      <c r="AO2302"/>
      <c r="AP2302"/>
      <c r="AQ2302"/>
      <c r="AR2302"/>
      <c r="AS2302"/>
      <c r="AT2302"/>
      <c r="AU2302"/>
      <c r="AV2302"/>
    </row>
    <row r="2303" spans="41:48" x14ac:dyDescent="0.35">
      <c r="AO2303"/>
      <c r="AP2303"/>
      <c r="AQ2303"/>
      <c r="AR2303"/>
      <c r="AS2303"/>
      <c r="AT2303"/>
      <c r="AU2303"/>
      <c r="AV2303"/>
    </row>
    <row r="2304" spans="41:48" x14ac:dyDescent="0.35">
      <c r="AO2304"/>
      <c r="AP2304"/>
      <c r="AQ2304"/>
      <c r="AR2304"/>
      <c r="AS2304"/>
      <c r="AT2304"/>
      <c r="AU2304"/>
      <c r="AV2304"/>
    </row>
    <row r="2305" spans="41:48" x14ac:dyDescent="0.35">
      <c r="AO2305"/>
      <c r="AP2305"/>
      <c r="AQ2305"/>
      <c r="AR2305"/>
      <c r="AS2305"/>
      <c r="AT2305"/>
      <c r="AU2305"/>
      <c r="AV2305"/>
    </row>
    <row r="2306" spans="41:48" x14ac:dyDescent="0.35">
      <c r="AO2306"/>
      <c r="AP2306"/>
      <c r="AQ2306"/>
      <c r="AR2306"/>
      <c r="AS2306"/>
      <c r="AT2306"/>
      <c r="AU2306"/>
      <c r="AV2306"/>
    </row>
    <row r="2307" spans="41:48" x14ac:dyDescent="0.35">
      <c r="AO2307"/>
      <c r="AP2307"/>
      <c r="AQ2307"/>
      <c r="AR2307"/>
      <c r="AS2307"/>
      <c r="AT2307"/>
      <c r="AU2307"/>
      <c r="AV2307"/>
    </row>
    <row r="2308" spans="41:48" x14ac:dyDescent="0.35">
      <c r="AO2308"/>
      <c r="AP2308"/>
      <c r="AQ2308"/>
      <c r="AR2308"/>
      <c r="AS2308"/>
      <c r="AT2308"/>
      <c r="AU2308"/>
      <c r="AV2308"/>
    </row>
    <row r="2309" spans="41:48" x14ac:dyDescent="0.35">
      <c r="AO2309"/>
      <c r="AP2309"/>
      <c r="AQ2309"/>
      <c r="AR2309"/>
      <c r="AS2309"/>
      <c r="AT2309"/>
      <c r="AU2309"/>
      <c r="AV2309"/>
    </row>
    <row r="2310" spans="41:48" x14ac:dyDescent="0.35">
      <c r="AO2310"/>
      <c r="AP2310"/>
      <c r="AQ2310"/>
      <c r="AR2310"/>
      <c r="AS2310"/>
      <c r="AT2310"/>
      <c r="AU2310"/>
      <c r="AV2310"/>
    </row>
    <row r="2311" spans="41:48" x14ac:dyDescent="0.35">
      <c r="AO2311"/>
      <c r="AP2311"/>
      <c r="AQ2311"/>
      <c r="AR2311"/>
      <c r="AS2311"/>
      <c r="AT2311"/>
      <c r="AU2311"/>
      <c r="AV2311"/>
    </row>
    <row r="2312" spans="41:48" x14ac:dyDescent="0.35">
      <c r="AO2312"/>
      <c r="AP2312"/>
      <c r="AQ2312"/>
      <c r="AR2312"/>
      <c r="AS2312"/>
      <c r="AT2312"/>
      <c r="AU2312"/>
      <c r="AV2312"/>
    </row>
    <row r="2313" spans="41:48" x14ac:dyDescent="0.35">
      <c r="AO2313"/>
      <c r="AP2313"/>
      <c r="AQ2313"/>
      <c r="AR2313"/>
      <c r="AS2313"/>
      <c r="AT2313"/>
      <c r="AU2313"/>
      <c r="AV2313"/>
    </row>
    <row r="2314" spans="41:48" x14ac:dyDescent="0.35">
      <c r="AO2314"/>
      <c r="AP2314"/>
      <c r="AQ2314"/>
      <c r="AR2314"/>
      <c r="AS2314"/>
      <c r="AT2314"/>
      <c r="AU2314"/>
      <c r="AV2314"/>
    </row>
    <row r="2315" spans="41:48" x14ac:dyDescent="0.35">
      <c r="AO2315"/>
      <c r="AP2315"/>
      <c r="AQ2315"/>
      <c r="AR2315"/>
      <c r="AS2315"/>
      <c r="AT2315"/>
      <c r="AU2315"/>
      <c r="AV2315"/>
    </row>
    <row r="2316" spans="41:48" x14ac:dyDescent="0.35">
      <c r="AO2316"/>
      <c r="AP2316"/>
      <c r="AQ2316"/>
      <c r="AR2316"/>
      <c r="AS2316"/>
      <c r="AT2316"/>
      <c r="AU2316"/>
      <c r="AV2316"/>
    </row>
    <row r="2317" spans="41:48" x14ac:dyDescent="0.35">
      <c r="AO2317"/>
      <c r="AP2317"/>
      <c r="AQ2317"/>
      <c r="AR2317"/>
      <c r="AS2317"/>
      <c r="AT2317"/>
      <c r="AU2317"/>
      <c r="AV2317"/>
    </row>
    <row r="2318" spans="41:48" x14ac:dyDescent="0.35">
      <c r="AO2318"/>
      <c r="AP2318"/>
      <c r="AQ2318"/>
      <c r="AR2318"/>
      <c r="AS2318"/>
      <c r="AT2318"/>
      <c r="AU2318"/>
      <c r="AV2318"/>
    </row>
    <row r="2319" spans="41:48" x14ac:dyDescent="0.35">
      <c r="AO2319"/>
      <c r="AP2319"/>
      <c r="AQ2319"/>
      <c r="AR2319"/>
      <c r="AS2319"/>
      <c r="AT2319"/>
      <c r="AU2319"/>
      <c r="AV2319"/>
    </row>
    <row r="2320" spans="41:48" x14ac:dyDescent="0.35">
      <c r="AO2320"/>
      <c r="AP2320"/>
      <c r="AQ2320"/>
      <c r="AR2320"/>
      <c r="AS2320"/>
      <c r="AT2320"/>
      <c r="AU2320"/>
      <c r="AV2320"/>
    </row>
    <row r="2321" spans="41:48" x14ac:dyDescent="0.35">
      <c r="AO2321"/>
      <c r="AP2321"/>
      <c r="AQ2321"/>
      <c r="AR2321"/>
      <c r="AS2321"/>
      <c r="AT2321"/>
      <c r="AU2321"/>
      <c r="AV2321"/>
    </row>
    <row r="2322" spans="41:48" x14ac:dyDescent="0.35">
      <c r="AO2322"/>
      <c r="AP2322"/>
      <c r="AQ2322"/>
      <c r="AR2322"/>
      <c r="AS2322"/>
      <c r="AT2322"/>
      <c r="AU2322"/>
      <c r="AV2322"/>
    </row>
    <row r="2323" spans="41:48" x14ac:dyDescent="0.35">
      <c r="AO2323"/>
      <c r="AP2323"/>
      <c r="AQ2323"/>
      <c r="AR2323"/>
      <c r="AS2323"/>
      <c r="AT2323"/>
      <c r="AU2323"/>
      <c r="AV2323"/>
    </row>
    <row r="2324" spans="41:48" x14ac:dyDescent="0.35">
      <c r="AO2324"/>
      <c r="AP2324"/>
      <c r="AQ2324"/>
      <c r="AR2324"/>
      <c r="AS2324"/>
      <c r="AT2324"/>
      <c r="AU2324"/>
      <c r="AV2324"/>
    </row>
    <row r="2325" spans="41:48" x14ac:dyDescent="0.35">
      <c r="AO2325"/>
      <c r="AP2325"/>
      <c r="AQ2325"/>
      <c r="AR2325"/>
      <c r="AS2325"/>
      <c r="AT2325"/>
      <c r="AU2325"/>
      <c r="AV2325"/>
    </row>
    <row r="2326" spans="41:48" x14ac:dyDescent="0.35">
      <c r="AO2326"/>
      <c r="AP2326"/>
      <c r="AQ2326"/>
      <c r="AR2326"/>
      <c r="AS2326"/>
      <c r="AT2326"/>
      <c r="AU2326"/>
      <c r="AV2326"/>
    </row>
    <row r="2327" spans="41:48" x14ac:dyDescent="0.35">
      <c r="AO2327"/>
      <c r="AP2327"/>
      <c r="AQ2327"/>
      <c r="AR2327"/>
      <c r="AS2327"/>
      <c r="AT2327"/>
      <c r="AU2327"/>
      <c r="AV2327"/>
    </row>
    <row r="2328" spans="41:48" x14ac:dyDescent="0.35">
      <c r="AO2328"/>
      <c r="AP2328"/>
      <c r="AQ2328"/>
      <c r="AR2328"/>
      <c r="AS2328"/>
      <c r="AT2328"/>
      <c r="AU2328"/>
      <c r="AV2328"/>
    </row>
    <row r="2329" spans="41:48" x14ac:dyDescent="0.35">
      <c r="AO2329"/>
      <c r="AP2329"/>
      <c r="AQ2329"/>
      <c r="AR2329"/>
      <c r="AS2329"/>
      <c r="AT2329"/>
      <c r="AU2329"/>
      <c r="AV2329"/>
    </row>
    <row r="2330" spans="41:48" x14ac:dyDescent="0.35">
      <c r="AO2330"/>
      <c r="AP2330"/>
      <c r="AQ2330"/>
      <c r="AR2330"/>
      <c r="AS2330"/>
      <c r="AT2330"/>
      <c r="AU2330"/>
      <c r="AV2330"/>
    </row>
    <row r="2331" spans="41:48" x14ac:dyDescent="0.35">
      <c r="AO2331"/>
      <c r="AP2331"/>
      <c r="AQ2331"/>
      <c r="AR2331"/>
      <c r="AS2331"/>
      <c r="AT2331"/>
      <c r="AU2331"/>
      <c r="AV2331"/>
    </row>
    <row r="2332" spans="41:48" x14ac:dyDescent="0.35">
      <c r="AO2332"/>
      <c r="AP2332"/>
      <c r="AQ2332"/>
      <c r="AR2332"/>
      <c r="AS2332"/>
      <c r="AT2332"/>
      <c r="AU2332"/>
      <c r="AV2332"/>
    </row>
    <row r="2333" spans="41:48" x14ac:dyDescent="0.35">
      <c r="AO2333"/>
      <c r="AP2333"/>
      <c r="AQ2333"/>
      <c r="AR2333"/>
      <c r="AS2333"/>
      <c r="AT2333"/>
      <c r="AU2333"/>
      <c r="AV2333"/>
    </row>
    <row r="2334" spans="41:48" x14ac:dyDescent="0.35">
      <c r="AO2334"/>
      <c r="AP2334"/>
      <c r="AQ2334"/>
      <c r="AR2334"/>
      <c r="AS2334"/>
      <c r="AT2334"/>
      <c r="AU2334"/>
      <c r="AV2334"/>
    </row>
    <row r="2335" spans="41:48" x14ac:dyDescent="0.35">
      <c r="AO2335"/>
      <c r="AP2335"/>
      <c r="AQ2335"/>
      <c r="AR2335"/>
      <c r="AS2335"/>
      <c r="AT2335"/>
      <c r="AU2335"/>
      <c r="AV2335"/>
    </row>
    <row r="2336" spans="41:48" x14ac:dyDescent="0.35">
      <c r="AO2336"/>
      <c r="AP2336"/>
      <c r="AQ2336"/>
      <c r="AR2336"/>
      <c r="AS2336"/>
      <c r="AT2336"/>
      <c r="AU2336"/>
      <c r="AV2336"/>
    </row>
    <row r="2337" spans="41:48" x14ac:dyDescent="0.35">
      <c r="AO2337"/>
      <c r="AP2337"/>
      <c r="AQ2337"/>
      <c r="AR2337"/>
      <c r="AS2337"/>
      <c r="AT2337"/>
      <c r="AU2337"/>
      <c r="AV2337"/>
    </row>
    <row r="2338" spans="41:48" x14ac:dyDescent="0.35">
      <c r="AO2338"/>
      <c r="AP2338"/>
      <c r="AQ2338"/>
      <c r="AR2338"/>
      <c r="AS2338"/>
      <c r="AT2338"/>
      <c r="AU2338"/>
      <c r="AV2338"/>
    </row>
    <row r="2339" spans="41:48" x14ac:dyDescent="0.35">
      <c r="AO2339"/>
      <c r="AP2339"/>
      <c r="AQ2339"/>
      <c r="AR2339"/>
      <c r="AS2339"/>
      <c r="AT2339"/>
      <c r="AU2339"/>
      <c r="AV2339"/>
    </row>
    <row r="2340" spans="41:48" x14ac:dyDescent="0.35">
      <c r="AO2340"/>
      <c r="AP2340"/>
      <c r="AQ2340"/>
      <c r="AR2340"/>
      <c r="AS2340"/>
      <c r="AT2340"/>
      <c r="AU2340"/>
      <c r="AV2340"/>
    </row>
    <row r="2341" spans="41:48" x14ac:dyDescent="0.35">
      <c r="AO2341"/>
      <c r="AP2341"/>
      <c r="AQ2341"/>
      <c r="AR2341"/>
      <c r="AS2341"/>
      <c r="AT2341"/>
      <c r="AU2341"/>
      <c r="AV2341"/>
    </row>
    <row r="2342" spans="41:48" x14ac:dyDescent="0.35">
      <c r="AO2342"/>
      <c r="AP2342"/>
      <c r="AQ2342"/>
      <c r="AR2342"/>
      <c r="AS2342"/>
      <c r="AT2342"/>
      <c r="AU2342"/>
      <c r="AV2342"/>
    </row>
    <row r="2343" spans="41:48" x14ac:dyDescent="0.35">
      <c r="AO2343"/>
      <c r="AP2343"/>
      <c r="AQ2343"/>
      <c r="AR2343"/>
      <c r="AS2343"/>
      <c r="AT2343"/>
      <c r="AU2343"/>
      <c r="AV2343"/>
    </row>
    <row r="2344" spans="41:48" x14ac:dyDescent="0.35">
      <c r="AO2344"/>
      <c r="AP2344"/>
      <c r="AQ2344"/>
      <c r="AR2344"/>
      <c r="AS2344"/>
      <c r="AT2344"/>
      <c r="AU2344"/>
      <c r="AV2344"/>
    </row>
    <row r="2345" spans="41:48" x14ac:dyDescent="0.35">
      <c r="AO2345"/>
      <c r="AP2345"/>
      <c r="AQ2345"/>
      <c r="AR2345"/>
      <c r="AS2345"/>
      <c r="AT2345"/>
      <c r="AU2345"/>
      <c r="AV2345"/>
    </row>
    <row r="2346" spans="41:48" x14ac:dyDescent="0.35">
      <c r="AO2346"/>
      <c r="AP2346"/>
      <c r="AQ2346"/>
      <c r="AR2346"/>
      <c r="AS2346"/>
      <c r="AT2346"/>
      <c r="AU2346"/>
      <c r="AV2346"/>
    </row>
    <row r="2347" spans="41:48" x14ac:dyDescent="0.35">
      <c r="AO2347"/>
      <c r="AP2347"/>
      <c r="AQ2347"/>
      <c r="AR2347"/>
      <c r="AS2347"/>
      <c r="AT2347"/>
      <c r="AU2347"/>
      <c r="AV2347"/>
    </row>
    <row r="2348" spans="41:48" x14ac:dyDescent="0.35">
      <c r="AO2348"/>
      <c r="AP2348"/>
      <c r="AQ2348"/>
      <c r="AR2348"/>
      <c r="AS2348"/>
      <c r="AT2348"/>
      <c r="AU2348"/>
      <c r="AV2348"/>
    </row>
    <row r="2349" spans="41:48" x14ac:dyDescent="0.35">
      <c r="AO2349"/>
      <c r="AP2349"/>
      <c r="AQ2349"/>
      <c r="AR2349"/>
      <c r="AS2349"/>
      <c r="AT2349"/>
      <c r="AU2349"/>
      <c r="AV2349"/>
    </row>
    <row r="2350" spans="41:48" x14ac:dyDescent="0.35">
      <c r="AO2350"/>
      <c r="AP2350"/>
      <c r="AQ2350"/>
      <c r="AR2350"/>
      <c r="AS2350"/>
      <c r="AT2350"/>
      <c r="AU2350"/>
      <c r="AV2350"/>
    </row>
    <row r="2351" spans="41:48" x14ac:dyDescent="0.35">
      <c r="AO2351"/>
      <c r="AP2351"/>
      <c r="AQ2351"/>
      <c r="AR2351"/>
      <c r="AS2351"/>
      <c r="AT2351"/>
      <c r="AU2351"/>
      <c r="AV2351"/>
    </row>
    <row r="2352" spans="41:48" x14ac:dyDescent="0.35">
      <c r="AO2352"/>
      <c r="AP2352"/>
      <c r="AQ2352"/>
      <c r="AR2352"/>
      <c r="AS2352"/>
      <c r="AT2352"/>
      <c r="AU2352"/>
      <c r="AV2352"/>
    </row>
    <row r="2353" spans="41:48" x14ac:dyDescent="0.35">
      <c r="AO2353"/>
      <c r="AP2353"/>
      <c r="AQ2353"/>
      <c r="AR2353"/>
      <c r="AS2353"/>
      <c r="AT2353"/>
      <c r="AU2353"/>
      <c r="AV2353"/>
    </row>
    <row r="2354" spans="41:48" x14ac:dyDescent="0.35">
      <c r="AO2354"/>
      <c r="AP2354"/>
      <c r="AQ2354"/>
      <c r="AR2354"/>
      <c r="AS2354"/>
      <c r="AT2354"/>
      <c r="AU2354"/>
      <c r="AV2354"/>
    </row>
    <row r="2355" spans="41:48" x14ac:dyDescent="0.35">
      <c r="AO2355"/>
      <c r="AP2355"/>
      <c r="AQ2355"/>
      <c r="AR2355"/>
      <c r="AS2355"/>
      <c r="AT2355"/>
      <c r="AU2355"/>
      <c r="AV2355"/>
    </row>
    <row r="2356" spans="41:48" x14ac:dyDescent="0.35">
      <c r="AO2356"/>
      <c r="AP2356"/>
      <c r="AQ2356"/>
      <c r="AR2356"/>
      <c r="AS2356"/>
      <c r="AT2356"/>
      <c r="AU2356"/>
      <c r="AV2356"/>
    </row>
    <row r="2357" spans="41:48" x14ac:dyDescent="0.35">
      <c r="AO2357"/>
      <c r="AP2357"/>
      <c r="AQ2357"/>
      <c r="AR2357"/>
      <c r="AS2357"/>
      <c r="AT2357"/>
      <c r="AU2357"/>
      <c r="AV2357"/>
    </row>
    <row r="2358" spans="41:48" x14ac:dyDescent="0.35">
      <c r="AO2358"/>
      <c r="AP2358"/>
      <c r="AQ2358"/>
      <c r="AR2358"/>
      <c r="AS2358"/>
      <c r="AT2358"/>
      <c r="AU2358"/>
      <c r="AV2358"/>
    </row>
    <row r="2359" spans="41:48" x14ac:dyDescent="0.35">
      <c r="AO2359"/>
      <c r="AP2359"/>
      <c r="AQ2359"/>
      <c r="AR2359"/>
      <c r="AS2359"/>
      <c r="AT2359"/>
      <c r="AU2359"/>
      <c r="AV2359"/>
    </row>
    <row r="2360" spans="41:48" x14ac:dyDescent="0.35">
      <c r="AO2360"/>
      <c r="AP2360"/>
      <c r="AQ2360"/>
      <c r="AR2360"/>
      <c r="AS2360"/>
      <c r="AT2360"/>
      <c r="AU2360"/>
      <c r="AV2360"/>
    </row>
    <row r="2361" spans="41:48" x14ac:dyDescent="0.35">
      <c r="AO2361"/>
      <c r="AP2361"/>
      <c r="AQ2361"/>
      <c r="AR2361"/>
      <c r="AS2361"/>
      <c r="AT2361"/>
      <c r="AU2361"/>
      <c r="AV2361"/>
    </row>
    <row r="2362" spans="41:48" x14ac:dyDescent="0.35">
      <c r="AO2362"/>
      <c r="AP2362"/>
      <c r="AQ2362"/>
      <c r="AR2362"/>
      <c r="AS2362"/>
      <c r="AT2362"/>
      <c r="AU2362"/>
      <c r="AV2362"/>
    </row>
    <row r="2363" spans="41:48" x14ac:dyDescent="0.35">
      <c r="AO2363"/>
      <c r="AP2363"/>
      <c r="AQ2363"/>
      <c r="AR2363"/>
      <c r="AS2363"/>
      <c r="AT2363"/>
      <c r="AU2363"/>
      <c r="AV2363"/>
    </row>
    <row r="2364" spans="41:48" x14ac:dyDescent="0.35">
      <c r="AO2364"/>
      <c r="AP2364"/>
      <c r="AQ2364"/>
      <c r="AR2364"/>
      <c r="AS2364"/>
      <c r="AT2364"/>
      <c r="AU2364"/>
      <c r="AV2364"/>
    </row>
    <row r="2365" spans="41:48" x14ac:dyDescent="0.35">
      <c r="AO2365"/>
      <c r="AP2365"/>
      <c r="AQ2365"/>
      <c r="AR2365"/>
      <c r="AS2365"/>
      <c r="AT2365"/>
      <c r="AU2365"/>
      <c r="AV2365"/>
    </row>
    <row r="2366" spans="41:48" x14ac:dyDescent="0.35">
      <c r="AO2366"/>
      <c r="AP2366"/>
      <c r="AQ2366"/>
      <c r="AR2366"/>
      <c r="AS2366"/>
      <c r="AT2366"/>
      <c r="AU2366"/>
      <c r="AV2366"/>
    </row>
    <row r="2367" spans="41:48" x14ac:dyDescent="0.35">
      <c r="AO2367"/>
      <c r="AP2367"/>
      <c r="AQ2367"/>
      <c r="AR2367"/>
      <c r="AS2367"/>
      <c r="AT2367"/>
      <c r="AU2367"/>
      <c r="AV2367"/>
    </row>
    <row r="2368" spans="41:48" x14ac:dyDescent="0.35">
      <c r="AO2368"/>
      <c r="AP2368"/>
      <c r="AQ2368"/>
      <c r="AR2368"/>
      <c r="AS2368"/>
      <c r="AT2368"/>
      <c r="AU2368"/>
      <c r="AV2368"/>
    </row>
    <row r="2369" spans="41:48" x14ac:dyDescent="0.35">
      <c r="AO2369"/>
      <c r="AP2369"/>
      <c r="AQ2369"/>
      <c r="AR2369"/>
      <c r="AS2369"/>
      <c r="AT2369"/>
      <c r="AU2369"/>
      <c r="AV2369"/>
    </row>
    <row r="2370" spans="41:48" x14ac:dyDescent="0.35">
      <c r="AO2370"/>
      <c r="AP2370"/>
      <c r="AQ2370"/>
      <c r="AR2370"/>
      <c r="AS2370"/>
      <c r="AT2370"/>
      <c r="AU2370"/>
      <c r="AV2370"/>
    </row>
    <row r="2371" spans="41:48" x14ac:dyDescent="0.35">
      <c r="AO2371"/>
      <c r="AP2371"/>
      <c r="AQ2371"/>
      <c r="AR2371"/>
      <c r="AS2371"/>
      <c r="AT2371"/>
      <c r="AU2371"/>
      <c r="AV2371"/>
    </row>
    <row r="2372" spans="41:48" x14ac:dyDescent="0.35">
      <c r="AO2372"/>
      <c r="AP2372"/>
      <c r="AQ2372"/>
      <c r="AR2372"/>
      <c r="AS2372"/>
      <c r="AT2372"/>
      <c r="AU2372"/>
      <c r="AV2372"/>
    </row>
    <row r="2373" spans="41:48" x14ac:dyDescent="0.35">
      <c r="AO2373"/>
      <c r="AP2373"/>
      <c r="AQ2373"/>
      <c r="AR2373"/>
      <c r="AS2373"/>
      <c r="AT2373"/>
      <c r="AU2373"/>
      <c r="AV2373"/>
    </row>
    <row r="2374" spans="41:48" x14ac:dyDescent="0.35">
      <c r="AO2374"/>
      <c r="AP2374"/>
      <c r="AQ2374"/>
      <c r="AR2374"/>
      <c r="AS2374"/>
      <c r="AT2374"/>
      <c r="AU2374"/>
      <c r="AV2374"/>
    </row>
    <row r="2375" spans="41:48" x14ac:dyDescent="0.35">
      <c r="AO2375"/>
      <c r="AP2375"/>
      <c r="AQ2375"/>
      <c r="AR2375"/>
      <c r="AS2375"/>
      <c r="AT2375"/>
      <c r="AU2375"/>
      <c r="AV2375"/>
    </row>
    <row r="2376" spans="41:48" x14ac:dyDescent="0.35">
      <c r="AO2376"/>
      <c r="AP2376"/>
      <c r="AQ2376"/>
      <c r="AR2376"/>
      <c r="AS2376"/>
      <c r="AT2376"/>
      <c r="AU2376"/>
      <c r="AV2376"/>
    </row>
    <row r="2377" spans="41:48" x14ac:dyDescent="0.35">
      <c r="AO2377"/>
      <c r="AP2377"/>
      <c r="AQ2377"/>
      <c r="AR2377"/>
      <c r="AS2377"/>
      <c r="AT2377"/>
      <c r="AU2377"/>
      <c r="AV2377"/>
    </row>
    <row r="2378" spans="41:48" x14ac:dyDescent="0.35">
      <c r="AO2378"/>
      <c r="AP2378"/>
      <c r="AQ2378"/>
      <c r="AR2378"/>
      <c r="AS2378"/>
      <c r="AT2378"/>
      <c r="AU2378"/>
      <c r="AV2378"/>
    </row>
    <row r="2379" spans="41:48" x14ac:dyDescent="0.35">
      <c r="AO2379"/>
      <c r="AP2379"/>
      <c r="AQ2379"/>
      <c r="AR2379"/>
      <c r="AS2379"/>
      <c r="AT2379"/>
      <c r="AU2379"/>
      <c r="AV2379"/>
    </row>
    <row r="2380" spans="41:48" x14ac:dyDescent="0.35">
      <c r="AO2380"/>
      <c r="AP2380"/>
      <c r="AQ2380"/>
      <c r="AR2380"/>
      <c r="AS2380"/>
      <c r="AT2380"/>
      <c r="AU2380"/>
      <c r="AV2380"/>
    </row>
    <row r="2381" spans="41:48" x14ac:dyDescent="0.35">
      <c r="AO2381"/>
      <c r="AP2381"/>
      <c r="AQ2381"/>
      <c r="AR2381"/>
      <c r="AS2381"/>
      <c r="AT2381"/>
      <c r="AU2381"/>
      <c r="AV2381"/>
    </row>
    <row r="2382" spans="41:48" x14ac:dyDescent="0.35">
      <c r="AO2382"/>
      <c r="AP2382"/>
      <c r="AQ2382"/>
      <c r="AR2382"/>
      <c r="AS2382"/>
      <c r="AT2382"/>
      <c r="AU2382"/>
      <c r="AV2382"/>
    </row>
    <row r="2383" spans="41:48" x14ac:dyDescent="0.35">
      <c r="AO2383"/>
      <c r="AP2383"/>
      <c r="AQ2383"/>
      <c r="AR2383"/>
      <c r="AS2383"/>
      <c r="AT2383"/>
      <c r="AU2383"/>
      <c r="AV2383"/>
    </row>
    <row r="2384" spans="41:48" x14ac:dyDescent="0.35">
      <c r="AO2384"/>
      <c r="AP2384"/>
      <c r="AQ2384"/>
      <c r="AR2384"/>
      <c r="AS2384"/>
      <c r="AT2384"/>
      <c r="AU2384"/>
      <c r="AV2384"/>
    </row>
    <row r="2385" spans="41:48" x14ac:dyDescent="0.35">
      <c r="AO2385"/>
      <c r="AP2385"/>
      <c r="AQ2385"/>
      <c r="AR2385"/>
      <c r="AS2385"/>
      <c r="AT2385"/>
      <c r="AU2385"/>
      <c r="AV2385"/>
    </row>
    <row r="2386" spans="41:48" x14ac:dyDescent="0.35">
      <c r="AO2386"/>
      <c r="AP2386"/>
      <c r="AQ2386"/>
      <c r="AR2386"/>
      <c r="AS2386"/>
      <c r="AT2386"/>
      <c r="AU2386"/>
      <c r="AV2386"/>
    </row>
    <row r="2387" spans="41:48" x14ac:dyDescent="0.35">
      <c r="AO2387"/>
      <c r="AP2387"/>
      <c r="AQ2387"/>
      <c r="AR2387"/>
      <c r="AS2387"/>
      <c r="AT2387"/>
      <c r="AU2387"/>
      <c r="AV2387"/>
    </row>
    <row r="2388" spans="41:48" x14ac:dyDescent="0.35">
      <c r="AO2388"/>
      <c r="AP2388"/>
      <c r="AQ2388"/>
      <c r="AR2388"/>
      <c r="AS2388"/>
      <c r="AT2388"/>
      <c r="AU2388"/>
      <c r="AV2388"/>
    </row>
    <row r="2389" spans="41:48" x14ac:dyDescent="0.35">
      <c r="AO2389"/>
      <c r="AP2389"/>
      <c r="AQ2389"/>
      <c r="AR2389"/>
      <c r="AS2389"/>
      <c r="AT2389"/>
      <c r="AU2389"/>
      <c r="AV2389"/>
    </row>
    <row r="2390" spans="41:48" x14ac:dyDescent="0.35">
      <c r="AO2390"/>
      <c r="AP2390"/>
      <c r="AQ2390"/>
      <c r="AR2390"/>
      <c r="AS2390"/>
      <c r="AT2390"/>
      <c r="AU2390"/>
      <c r="AV2390"/>
    </row>
    <row r="2391" spans="41:48" x14ac:dyDescent="0.35">
      <c r="AO2391"/>
      <c r="AP2391"/>
      <c r="AQ2391"/>
      <c r="AR2391"/>
      <c r="AS2391"/>
      <c r="AT2391"/>
      <c r="AU2391"/>
      <c r="AV2391"/>
    </row>
    <row r="2392" spans="41:48" x14ac:dyDescent="0.35">
      <c r="AO2392"/>
      <c r="AP2392"/>
      <c r="AQ2392"/>
      <c r="AR2392"/>
      <c r="AS2392"/>
      <c r="AT2392"/>
      <c r="AU2392"/>
      <c r="AV2392"/>
    </row>
    <row r="2393" spans="41:48" x14ac:dyDescent="0.35">
      <c r="AO2393"/>
      <c r="AP2393"/>
      <c r="AQ2393"/>
      <c r="AR2393"/>
      <c r="AS2393"/>
      <c r="AT2393"/>
      <c r="AU2393"/>
      <c r="AV2393"/>
    </row>
    <row r="2394" spans="41:48" x14ac:dyDescent="0.35">
      <c r="AO2394"/>
      <c r="AP2394"/>
      <c r="AQ2394"/>
      <c r="AR2394"/>
      <c r="AS2394"/>
      <c r="AT2394"/>
      <c r="AU2394"/>
      <c r="AV2394"/>
    </row>
    <row r="2395" spans="41:48" x14ac:dyDescent="0.35">
      <c r="AO2395"/>
      <c r="AP2395"/>
      <c r="AQ2395"/>
      <c r="AR2395"/>
      <c r="AS2395"/>
      <c r="AT2395"/>
      <c r="AU2395"/>
      <c r="AV2395"/>
    </row>
    <row r="2396" spans="41:48" x14ac:dyDescent="0.35">
      <c r="AO2396"/>
      <c r="AP2396"/>
      <c r="AQ2396"/>
      <c r="AR2396"/>
      <c r="AS2396"/>
      <c r="AT2396"/>
      <c r="AU2396"/>
      <c r="AV2396"/>
    </row>
    <row r="2397" spans="41:48" x14ac:dyDescent="0.35">
      <c r="AO2397"/>
      <c r="AP2397"/>
      <c r="AQ2397"/>
      <c r="AR2397"/>
      <c r="AS2397"/>
      <c r="AT2397"/>
      <c r="AU2397"/>
      <c r="AV2397"/>
    </row>
    <row r="2398" spans="41:48" x14ac:dyDescent="0.35">
      <c r="AO2398"/>
      <c r="AP2398"/>
      <c r="AQ2398"/>
      <c r="AR2398"/>
      <c r="AS2398"/>
      <c r="AT2398"/>
      <c r="AU2398"/>
      <c r="AV2398"/>
    </row>
    <row r="2399" spans="41:48" x14ac:dyDescent="0.35">
      <c r="AO2399"/>
      <c r="AP2399"/>
      <c r="AQ2399"/>
      <c r="AR2399"/>
      <c r="AS2399"/>
      <c r="AT2399"/>
      <c r="AU2399"/>
      <c r="AV2399"/>
    </row>
    <row r="2400" spans="41:48" x14ac:dyDescent="0.35">
      <c r="AO2400"/>
      <c r="AP2400"/>
      <c r="AQ2400"/>
      <c r="AR2400"/>
      <c r="AS2400"/>
      <c r="AT2400"/>
      <c r="AU2400"/>
      <c r="AV2400"/>
    </row>
    <row r="2401" spans="41:48" x14ac:dyDescent="0.35">
      <c r="AO2401"/>
      <c r="AP2401"/>
      <c r="AQ2401"/>
      <c r="AR2401"/>
      <c r="AS2401"/>
      <c r="AT2401"/>
      <c r="AU2401"/>
      <c r="AV2401"/>
    </row>
    <row r="2402" spans="41:48" x14ac:dyDescent="0.35">
      <c r="AO2402"/>
      <c r="AP2402"/>
      <c r="AQ2402"/>
      <c r="AR2402"/>
      <c r="AS2402"/>
      <c r="AT2402"/>
      <c r="AU2402"/>
      <c r="AV2402"/>
    </row>
    <row r="2403" spans="41:48" x14ac:dyDescent="0.35">
      <c r="AO2403"/>
      <c r="AP2403"/>
      <c r="AQ2403"/>
      <c r="AR2403"/>
      <c r="AS2403"/>
      <c r="AT2403"/>
      <c r="AU2403"/>
      <c r="AV2403"/>
    </row>
    <row r="2404" spans="41:48" x14ac:dyDescent="0.35">
      <c r="AO2404"/>
      <c r="AP2404"/>
      <c r="AQ2404"/>
      <c r="AR2404"/>
      <c r="AS2404"/>
      <c r="AT2404"/>
      <c r="AU2404"/>
      <c r="AV2404"/>
    </row>
    <row r="2405" spans="41:48" x14ac:dyDescent="0.35">
      <c r="AO2405"/>
      <c r="AP2405"/>
      <c r="AQ2405"/>
      <c r="AR2405"/>
      <c r="AS2405"/>
      <c r="AT2405"/>
      <c r="AU2405"/>
      <c r="AV2405"/>
    </row>
    <row r="2406" spans="41:48" x14ac:dyDescent="0.35">
      <c r="AO2406"/>
      <c r="AP2406"/>
      <c r="AQ2406"/>
      <c r="AR2406"/>
      <c r="AS2406"/>
      <c r="AT2406"/>
      <c r="AU2406"/>
      <c r="AV2406"/>
    </row>
    <row r="2407" spans="41:48" x14ac:dyDescent="0.35">
      <c r="AO2407"/>
      <c r="AP2407"/>
      <c r="AQ2407"/>
      <c r="AR2407"/>
      <c r="AS2407"/>
      <c r="AT2407"/>
      <c r="AU2407"/>
      <c r="AV2407"/>
    </row>
    <row r="2408" spans="41:48" x14ac:dyDescent="0.35">
      <c r="AO2408"/>
      <c r="AP2408"/>
      <c r="AQ2408"/>
      <c r="AR2408"/>
      <c r="AS2408"/>
      <c r="AT2408"/>
      <c r="AU2408"/>
      <c r="AV2408"/>
    </row>
    <row r="2409" spans="41:48" x14ac:dyDescent="0.35">
      <c r="AO2409"/>
      <c r="AP2409"/>
      <c r="AQ2409"/>
      <c r="AR2409"/>
      <c r="AS2409"/>
      <c r="AT2409"/>
      <c r="AU2409"/>
      <c r="AV2409"/>
    </row>
    <row r="2410" spans="41:48" x14ac:dyDescent="0.35">
      <c r="AO2410"/>
      <c r="AP2410"/>
      <c r="AQ2410"/>
      <c r="AR2410"/>
      <c r="AS2410"/>
      <c r="AT2410"/>
      <c r="AU2410"/>
      <c r="AV2410"/>
    </row>
    <row r="2411" spans="41:48" x14ac:dyDescent="0.35">
      <c r="AO2411"/>
      <c r="AP2411"/>
      <c r="AQ2411"/>
      <c r="AR2411"/>
      <c r="AS2411"/>
      <c r="AT2411"/>
      <c r="AU2411"/>
      <c r="AV2411"/>
    </row>
    <row r="2412" spans="41:48" x14ac:dyDescent="0.35">
      <c r="AO2412"/>
      <c r="AP2412"/>
      <c r="AQ2412"/>
      <c r="AR2412"/>
      <c r="AS2412"/>
      <c r="AT2412"/>
      <c r="AU2412"/>
      <c r="AV2412"/>
    </row>
    <row r="2413" spans="41:48" x14ac:dyDescent="0.35">
      <c r="AO2413"/>
      <c r="AP2413"/>
      <c r="AQ2413"/>
      <c r="AR2413"/>
      <c r="AS2413"/>
      <c r="AT2413"/>
      <c r="AU2413"/>
      <c r="AV2413"/>
    </row>
    <row r="2414" spans="41:48" x14ac:dyDescent="0.35">
      <c r="AO2414"/>
      <c r="AP2414"/>
      <c r="AQ2414"/>
      <c r="AR2414"/>
      <c r="AS2414"/>
      <c r="AT2414"/>
      <c r="AU2414"/>
      <c r="AV2414"/>
    </row>
    <row r="2415" spans="41:48" x14ac:dyDescent="0.35">
      <c r="AO2415"/>
      <c r="AP2415"/>
      <c r="AQ2415"/>
      <c r="AR2415"/>
      <c r="AS2415"/>
      <c r="AT2415"/>
      <c r="AU2415"/>
      <c r="AV2415"/>
    </row>
    <row r="2416" spans="41:48" x14ac:dyDescent="0.35">
      <c r="AO2416"/>
      <c r="AP2416"/>
      <c r="AQ2416"/>
      <c r="AR2416"/>
      <c r="AS2416"/>
      <c r="AT2416"/>
      <c r="AU2416"/>
      <c r="AV2416"/>
    </row>
    <row r="2417" spans="41:48" x14ac:dyDescent="0.35">
      <c r="AO2417"/>
      <c r="AP2417"/>
      <c r="AQ2417"/>
      <c r="AR2417"/>
      <c r="AS2417"/>
      <c r="AT2417"/>
      <c r="AU2417"/>
      <c r="AV2417"/>
    </row>
    <row r="2418" spans="41:48" x14ac:dyDescent="0.35">
      <c r="AO2418"/>
      <c r="AP2418"/>
      <c r="AQ2418"/>
      <c r="AR2418"/>
      <c r="AS2418"/>
      <c r="AT2418"/>
      <c r="AU2418"/>
      <c r="AV2418"/>
    </row>
    <row r="2419" spans="41:48" x14ac:dyDescent="0.35">
      <c r="AO2419"/>
      <c r="AP2419"/>
      <c r="AQ2419"/>
      <c r="AR2419"/>
      <c r="AS2419"/>
      <c r="AT2419"/>
      <c r="AU2419"/>
      <c r="AV2419"/>
    </row>
    <row r="2420" spans="41:48" x14ac:dyDescent="0.35">
      <c r="AO2420"/>
      <c r="AP2420"/>
      <c r="AQ2420"/>
      <c r="AR2420"/>
      <c r="AS2420"/>
      <c r="AT2420"/>
      <c r="AU2420"/>
      <c r="AV2420"/>
    </row>
    <row r="2421" spans="41:48" x14ac:dyDescent="0.35">
      <c r="AO2421"/>
      <c r="AP2421"/>
      <c r="AQ2421"/>
      <c r="AR2421"/>
      <c r="AS2421"/>
      <c r="AT2421"/>
      <c r="AU2421"/>
      <c r="AV2421"/>
    </row>
    <row r="2422" spans="41:48" x14ac:dyDescent="0.35">
      <c r="AO2422"/>
      <c r="AP2422"/>
      <c r="AQ2422"/>
      <c r="AR2422"/>
      <c r="AS2422"/>
      <c r="AT2422"/>
      <c r="AU2422"/>
      <c r="AV2422"/>
    </row>
    <row r="2423" spans="41:48" x14ac:dyDescent="0.35">
      <c r="AO2423"/>
      <c r="AP2423"/>
      <c r="AQ2423"/>
      <c r="AR2423"/>
      <c r="AS2423"/>
      <c r="AT2423"/>
      <c r="AU2423"/>
      <c r="AV2423"/>
    </row>
    <row r="2424" spans="41:48" x14ac:dyDescent="0.35">
      <c r="AO2424"/>
      <c r="AP2424"/>
      <c r="AQ2424"/>
      <c r="AR2424"/>
      <c r="AS2424"/>
      <c r="AT2424"/>
      <c r="AU2424"/>
      <c r="AV2424"/>
    </row>
    <row r="2425" spans="41:48" x14ac:dyDescent="0.35">
      <c r="AO2425"/>
      <c r="AP2425"/>
      <c r="AQ2425"/>
      <c r="AR2425"/>
      <c r="AS2425"/>
      <c r="AT2425"/>
      <c r="AU2425"/>
      <c r="AV2425"/>
    </row>
    <row r="2426" spans="41:48" x14ac:dyDescent="0.35">
      <c r="AO2426"/>
      <c r="AP2426"/>
      <c r="AQ2426"/>
      <c r="AR2426"/>
      <c r="AS2426"/>
      <c r="AT2426"/>
      <c r="AU2426"/>
      <c r="AV2426"/>
    </row>
    <row r="2427" spans="41:48" x14ac:dyDescent="0.35">
      <c r="AO2427"/>
      <c r="AP2427"/>
      <c r="AQ2427"/>
      <c r="AR2427"/>
      <c r="AS2427"/>
      <c r="AT2427"/>
      <c r="AU2427"/>
      <c r="AV2427"/>
    </row>
    <row r="2428" spans="41:48" x14ac:dyDescent="0.35">
      <c r="AO2428"/>
      <c r="AP2428"/>
      <c r="AQ2428"/>
      <c r="AR2428"/>
      <c r="AS2428"/>
      <c r="AT2428"/>
      <c r="AU2428"/>
      <c r="AV2428"/>
    </row>
    <row r="2429" spans="41:48" x14ac:dyDescent="0.35">
      <c r="AO2429"/>
      <c r="AP2429"/>
      <c r="AQ2429"/>
      <c r="AR2429"/>
      <c r="AS2429"/>
      <c r="AT2429"/>
      <c r="AU2429"/>
      <c r="AV2429"/>
    </row>
    <row r="2430" spans="41:48" x14ac:dyDescent="0.35">
      <c r="AO2430"/>
      <c r="AP2430"/>
      <c r="AQ2430"/>
      <c r="AR2430"/>
      <c r="AS2430"/>
      <c r="AT2430"/>
      <c r="AU2430"/>
      <c r="AV2430"/>
    </row>
    <row r="2431" spans="41:48" x14ac:dyDescent="0.35">
      <c r="AO2431"/>
      <c r="AP2431"/>
      <c r="AQ2431"/>
      <c r="AR2431"/>
      <c r="AS2431"/>
      <c r="AT2431"/>
      <c r="AU2431"/>
      <c r="AV2431"/>
    </row>
    <row r="2432" spans="41:48" x14ac:dyDescent="0.35">
      <c r="AO2432"/>
      <c r="AP2432"/>
      <c r="AQ2432"/>
      <c r="AR2432"/>
      <c r="AS2432"/>
      <c r="AT2432"/>
      <c r="AU2432"/>
      <c r="AV2432"/>
    </row>
    <row r="2433" spans="41:48" x14ac:dyDescent="0.35">
      <c r="AO2433"/>
      <c r="AP2433"/>
      <c r="AQ2433"/>
      <c r="AR2433"/>
      <c r="AS2433"/>
      <c r="AT2433"/>
      <c r="AU2433"/>
      <c r="AV2433"/>
    </row>
    <row r="2434" spans="41:48" x14ac:dyDescent="0.35">
      <c r="AO2434"/>
      <c r="AP2434"/>
      <c r="AQ2434"/>
      <c r="AR2434"/>
      <c r="AS2434"/>
      <c r="AT2434"/>
      <c r="AU2434"/>
      <c r="AV2434"/>
    </row>
    <row r="2435" spans="41:48" x14ac:dyDescent="0.35">
      <c r="AO2435"/>
      <c r="AP2435"/>
      <c r="AQ2435"/>
      <c r="AR2435"/>
      <c r="AS2435"/>
      <c r="AT2435"/>
      <c r="AU2435"/>
      <c r="AV2435"/>
    </row>
    <row r="2436" spans="41:48" x14ac:dyDescent="0.35">
      <c r="AO2436"/>
      <c r="AP2436"/>
      <c r="AQ2436"/>
      <c r="AR2436"/>
      <c r="AS2436"/>
      <c r="AT2436"/>
      <c r="AU2436"/>
      <c r="AV2436"/>
    </row>
    <row r="2437" spans="41:48" x14ac:dyDescent="0.35">
      <c r="AO2437"/>
      <c r="AP2437"/>
      <c r="AQ2437"/>
      <c r="AR2437"/>
      <c r="AS2437"/>
      <c r="AT2437"/>
      <c r="AU2437"/>
      <c r="AV2437"/>
    </row>
    <row r="2438" spans="41:48" x14ac:dyDescent="0.35">
      <c r="AO2438"/>
      <c r="AP2438"/>
      <c r="AQ2438"/>
      <c r="AR2438"/>
      <c r="AS2438"/>
      <c r="AT2438"/>
      <c r="AU2438"/>
      <c r="AV2438"/>
    </row>
    <row r="2439" spans="41:48" x14ac:dyDescent="0.35">
      <c r="AO2439"/>
      <c r="AP2439"/>
      <c r="AQ2439"/>
      <c r="AR2439"/>
      <c r="AS2439"/>
      <c r="AT2439"/>
      <c r="AU2439"/>
      <c r="AV2439"/>
    </row>
    <row r="2440" spans="41:48" x14ac:dyDescent="0.35">
      <c r="AO2440"/>
      <c r="AP2440"/>
      <c r="AQ2440"/>
      <c r="AR2440"/>
      <c r="AS2440"/>
      <c r="AT2440"/>
      <c r="AU2440"/>
      <c r="AV2440"/>
    </row>
    <row r="2441" spans="41:48" x14ac:dyDescent="0.35">
      <c r="AO2441"/>
      <c r="AP2441"/>
      <c r="AQ2441"/>
      <c r="AR2441"/>
      <c r="AS2441"/>
      <c r="AT2441"/>
      <c r="AU2441"/>
      <c r="AV2441"/>
    </row>
    <row r="2442" spans="41:48" x14ac:dyDescent="0.35">
      <c r="AO2442"/>
      <c r="AP2442"/>
      <c r="AQ2442"/>
      <c r="AR2442"/>
      <c r="AS2442"/>
      <c r="AT2442"/>
      <c r="AU2442"/>
      <c r="AV2442"/>
    </row>
    <row r="2443" spans="41:48" x14ac:dyDescent="0.35">
      <c r="AO2443"/>
      <c r="AP2443"/>
      <c r="AQ2443"/>
      <c r="AR2443"/>
      <c r="AS2443"/>
      <c r="AT2443"/>
      <c r="AU2443"/>
      <c r="AV2443"/>
    </row>
    <row r="2444" spans="41:48" x14ac:dyDescent="0.35">
      <c r="AO2444"/>
      <c r="AP2444"/>
      <c r="AQ2444"/>
      <c r="AR2444"/>
      <c r="AS2444"/>
      <c r="AT2444"/>
      <c r="AU2444"/>
      <c r="AV2444"/>
    </row>
    <row r="2445" spans="41:48" x14ac:dyDescent="0.35">
      <c r="AO2445"/>
      <c r="AP2445"/>
      <c r="AQ2445"/>
      <c r="AR2445"/>
      <c r="AS2445"/>
      <c r="AT2445"/>
      <c r="AU2445"/>
      <c r="AV2445"/>
    </row>
    <row r="2446" spans="41:48" x14ac:dyDescent="0.35">
      <c r="AO2446"/>
      <c r="AP2446"/>
      <c r="AQ2446"/>
      <c r="AR2446"/>
      <c r="AS2446"/>
      <c r="AT2446"/>
      <c r="AU2446"/>
      <c r="AV2446"/>
    </row>
    <row r="2447" spans="41:48" x14ac:dyDescent="0.35">
      <c r="AO2447"/>
      <c r="AP2447"/>
      <c r="AQ2447"/>
      <c r="AR2447"/>
      <c r="AS2447"/>
      <c r="AT2447"/>
      <c r="AU2447"/>
      <c r="AV2447"/>
    </row>
    <row r="2448" spans="41:48" x14ac:dyDescent="0.35">
      <c r="AO2448"/>
      <c r="AP2448"/>
      <c r="AQ2448"/>
      <c r="AR2448"/>
      <c r="AS2448"/>
      <c r="AT2448"/>
      <c r="AU2448"/>
      <c r="AV2448"/>
    </row>
    <row r="2449" spans="41:48" x14ac:dyDescent="0.35">
      <c r="AO2449"/>
      <c r="AP2449"/>
      <c r="AQ2449"/>
      <c r="AR2449"/>
      <c r="AS2449"/>
      <c r="AT2449"/>
      <c r="AU2449"/>
      <c r="AV2449"/>
    </row>
    <row r="2450" spans="41:48" x14ac:dyDescent="0.35">
      <c r="AO2450"/>
      <c r="AP2450"/>
      <c r="AQ2450"/>
      <c r="AR2450"/>
      <c r="AS2450"/>
      <c r="AT2450"/>
      <c r="AU2450"/>
      <c r="AV2450"/>
    </row>
    <row r="2451" spans="41:48" x14ac:dyDescent="0.35">
      <c r="AO2451"/>
      <c r="AP2451"/>
      <c r="AQ2451"/>
      <c r="AR2451"/>
      <c r="AS2451"/>
      <c r="AT2451"/>
      <c r="AU2451"/>
      <c r="AV2451"/>
    </row>
    <row r="2452" spans="41:48" x14ac:dyDescent="0.35">
      <c r="AO2452"/>
      <c r="AP2452"/>
      <c r="AQ2452"/>
      <c r="AR2452"/>
      <c r="AS2452"/>
      <c r="AT2452"/>
      <c r="AU2452"/>
      <c r="AV2452"/>
    </row>
    <row r="2453" spans="41:48" x14ac:dyDescent="0.35">
      <c r="AO2453"/>
      <c r="AP2453"/>
      <c r="AQ2453"/>
      <c r="AR2453"/>
      <c r="AS2453"/>
      <c r="AT2453"/>
      <c r="AU2453"/>
      <c r="AV2453"/>
    </row>
    <row r="2454" spans="41:48" x14ac:dyDescent="0.35">
      <c r="AO2454"/>
      <c r="AP2454"/>
      <c r="AQ2454"/>
      <c r="AR2454"/>
      <c r="AS2454"/>
      <c r="AT2454"/>
      <c r="AU2454"/>
      <c r="AV2454"/>
    </row>
    <row r="2455" spans="41:48" x14ac:dyDescent="0.35">
      <c r="AO2455"/>
      <c r="AP2455"/>
      <c r="AQ2455"/>
      <c r="AR2455"/>
      <c r="AS2455"/>
      <c r="AT2455"/>
      <c r="AU2455"/>
      <c r="AV2455"/>
    </row>
    <row r="2456" spans="41:48" x14ac:dyDescent="0.35">
      <c r="AO2456"/>
      <c r="AP2456"/>
      <c r="AQ2456"/>
      <c r="AR2456"/>
      <c r="AS2456"/>
      <c r="AT2456"/>
      <c r="AU2456"/>
      <c r="AV2456"/>
    </row>
    <row r="2457" spans="41:48" x14ac:dyDescent="0.35">
      <c r="AO2457"/>
      <c r="AP2457"/>
      <c r="AQ2457"/>
      <c r="AR2457"/>
      <c r="AS2457"/>
      <c r="AT2457"/>
      <c r="AU2457"/>
      <c r="AV2457"/>
    </row>
    <row r="2458" spans="41:48" x14ac:dyDescent="0.35">
      <c r="AO2458"/>
      <c r="AP2458"/>
      <c r="AQ2458"/>
      <c r="AR2458"/>
      <c r="AS2458"/>
      <c r="AT2458"/>
      <c r="AU2458"/>
      <c r="AV2458"/>
    </row>
    <row r="2459" spans="41:48" x14ac:dyDescent="0.35">
      <c r="AO2459"/>
      <c r="AP2459"/>
      <c r="AQ2459"/>
      <c r="AR2459"/>
      <c r="AS2459"/>
      <c r="AT2459"/>
      <c r="AU2459"/>
      <c r="AV2459"/>
    </row>
    <row r="2460" spans="41:48" x14ac:dyDescent="0.35">
      <c r="AO2460"/>
      <c r="AP2460"/>
      <c r="AQ2460"/>
      <c r="AR2460"/>
      <c r="AS2460"/>
      <c r="AT2460"/>
      <c r="AU2460"/>
      <c r="AV2460"/>
    </row>
    <row r="2461" spans="41:48" x14ac:dyDescent="0.35">
      <c r="AO2461"/>
      <c r="AP2461"/>
      <c r="AQ2461"/>
      <c r="AR2461"/>
      <c r="AS2461"/>
      <c r="AT2461"/>
      <c r="AU2461"/>
      <c r="AV2461"/>
    </row>
    <row r="2462" spans="41:48" x14ac:dyDescent="0.35">
      <c r="AO2462"/>
      <c r="AP2462"/>
      <c r="AQ2462"/>
      <c r="AR2462"/>
      <c r="AS2462"/>
      <c r="AT2462"/>
      <c r="AU2462"/>
      <c r="AV2462"/>
    </row>
    <row r="2463" spans="41:48" x14ac:dyDescent="0.35">
      <c r="AO2463"/>
      <c r="AP2463"/>
      <c r="AQ2463"/>
      <c r="AR2463"/>
      <c r="AS2463"/>
      <c r="AT2463"/>
      <c r="AU2463"/>
      <c r="AV2463"/>
    </row>
    <row r="2464" spans="41:48" x14ac:dyDescent="0.35">
      <c r="AO2464"/>
      <c r="AP2464"/>
      <c r="AQ2464"/>
      <c r="AR2464"/>
      <c r="AS2464"/>
      <c r="AT2464"/>
      <c r="AU2464"/>
      <c r="AV2464"/>
    </row>
    <row r="2465" spans="41:48" x14ac:dyDescent="0.35">
      <c r="AO2465"/>
      <c r="AP2465"/>
      <c r="AQ2465"/>
      <c r="AR2465"/>
      <c r="AS2465"/>
      <c r="AT2465"/>
      <c r="AU2465"/>
      <c r="AV2465"/>
    </row>
    <row r="2466" spans="41:48" x14ac:dyDescent="0.35">
      <c r="AO2466"/>
      <c r="AP2466"/>
      <c r="AQ2466"/>
      <c r="AR2466"/>
      <c r="AS2466"/>
      <c r="AT2466"/>
      <c r="AU2466"/>
      <c r="AV2466"/>
    </row>
    <row r="2467" spans="41:48" x14ac:dyDescent="0.35">
      <c r="AO2467"/>
      <c r="AP2467"/>
      <c r="AQ2467"/>
      <c r="AR2467"/>
      <c r="AS2467"/>
      <c r="AT2467"/>
      <c r="AU2467"/>
      <c r="AV2467"/>
    </row>
    <row r="2468" spans="41:48" x14ac:dyDescent="0.35">
      <c r="AO2468"/>
      <c r="AP2468"/>
      <c r="AQ2468"/>
      <c r="AR2468"/>
      <c r="AS2468"/>
      <c r="AT2468"/>
      <c r="AU2468"/>
      <c r="AV2468"/>
    </row>
    <row r="2469" spans="41:48" x14ac:dyDescent="0.35">
      <c r="AO2469"/>
      <c r="AP2469"/>
      <c r="AQ2469"/>
      <c r="AR2469"/>
      <c r="AS2469"/>
      <c r="AT2469"/>
      <c r="AU2469"/>
      <c r="AV2469"/>
    </row>
    <row r="2470" spans="41:48" x14ac:dyDescent="0.35">
      <c r="AO2470"/>
      <c r="AP2470"/>
      <c r="AQ2470"/>
      <c r="AR2470"/>
      <c r="AS2470"/>
      <c r="AT2470"/>
      <c r="AU2470"/>
      <c r="AV2470"/>
    </row>
    <row r="2471" spans="41:48" x14ac:dyDescent="0.35">
      <c r="AO2471"/>
      <c r="AP2471"/>
      <c r="AQ2471"/>
      <c r="AR2471"/>
      <c r="AS2471"/>
      <c r="AT2471"/>
      <c r="AU2471"/>
      <c r="AV2471"/>
    </row>
    <row r="2472" spans="41:48" x14ac:dyDescent="0.35">
      <c r="AO2472"/>
      <c r="AP2472"/>
      <c r="AQ2472"/>
      <c r="AR2472"/>
      <c r="AS2472"/>
      <c r="AT2472"/>
      <c r="AU2472"/>
      <c r="AV2472"/>
    </row>
    <row r="2473" spans="41:48" x14ac:dyDescent="0.35">
      <c r="AO2473"/>
      <c r="AP2473"/>
      <c r="AQ2473"/>
      <c r="AR2473"/>
      <c r="AS2473"/>
      <c r="AT2473"/>
      <c r="AU2473"/>
      <c r="AV2473"/>
    </row>
    <row r="2474" spans="41:48" x14ac:dyDescent="0.35">
      <c r="AO2474"/>
      <c r="AP2474"/>
      <c r="AQ2474"/>
      <c r="AR2474"/>
      <c r="AS2474"/>
      <c r="AT2474"/>
      <c r="AU2474"/>
      <c r="AV2474"/>
    </row>
    <row r="2475" spans="41:48" x14ac:dyDescent="0.35">
      <c r="AO2475"/>
      <c r="AP2475"/>
      <c r="AQ2475"/>
      <c r="AR2475"/>
      <c r="AS2475"/>
      <c r="AT2475"/>
      <c r="AU2475"/>
      <c r="AV2475"/>
    </row>
    <row r="2476" spans="41:48" x14ac:dyDescent="0.35">
      <c r="AO2476"/>
      <c r="AP2476"/>
      <c r="AQ2476"/>
      <c r="AR2476"/>
      <c r="AS2476"/>
      <c r="AT2476"/>
      <c r="AU2476"/>
      <c r="AV2476"/>
    </row>
    <row r="2477" spans="41:48" x14ac:dyDescent="0.35">
      <c r="AO2477"/>
      <c r="AP2477"/>
      <c r="AQ2477"/>
      <c r="AR2477"/>
      <c r="AS2477"/>
      <c r="AT2477"/>
      <c r="AU2477"/>
      <c r="AV2477"/>
    </row>
    <row r="2478" spans="41:48" x14ac:dyDescent="0.35">
      <c r="AO2478"/>
      <c r="AP2478"/>
      <c r="AQ2478"/>
      <c r="AR2478"/>
      <c r="AS2478"/>
      <c r="AT2478"/>
      <c r="AU2478"/>
      <c r="AV2478"/>
    </row>
    <row r="2479" spans="41:48" x14ac:dyDescent="0.35">
      <c r="AO2479"/>
      <c r="AP2479"/>
      <c r="AQ2479"/>
      <c r="AR2479"/>
      <c r="AS2479"/>
      <c r="AT2479"/>
      <c r="AU2479"/>
      <c r="AV2479"/>
    </row>
    <row r="2480" spans="41:48" x14ac:dyDescent="0.35">
      <c r="AO2480"/>
      <c r="AP2480"/>
      <c r="AQ2480"/>
      <c r="AR2480"/>
      <c r="AS2480"/>
      <c r="AT2480"/>
      <c r="AU2480"/>
      <c r="AV2480"/>
    </row>
    <row r="2481" spans="41:48" x14ac:dyDescent="0.35">
      <c r="AO2481"/>
      <c r="AP2481"/>
      <c r="AQ2481"/>
      <c r="AR2481"/>
      <c r="AS2481"/>
      <c r="AT2481"/>
      <c r="AU2481"/>
      <c r="AV2481"/>
    </row>
    <row r="2482" spans="41:48" x14ac:dyDescent="0.35">
      <c r="AO2482"/>
      <c r="AP2482"/>
      <c r="AQ2482"/>
      <c r="AR2482"/>
      <c r="AS2482"/>
      <c r="AT2482"/>
      <c r="AU2482"/>
      <c r="AV2482"/>
    </row>
    <row r="2483" spans="41:48" x14ac:dyDescent="0.35">
      <c r="AO2483"/>
      <c r="AP2483"/>
      <c r="AQ2483"/>
      <c r="AR2483"/>
      <c r="AS2483"/>
      <c r="AT2483"/>
      <c r="AU2483"/>
      <c r="AV2483"/>
    </row>
    <row r="2484" spans="41:48" x14ac:dyDescent="0.35">
      <c r="AO2484"/>
      <c r="AP2484"/>
      <c r="AQ2484"/>
      <c r="AR2484"/>
      <c r="AS2484"/>
      <c r="AT2484"/>
      <c r="AU2484"/>
      <c r="AV2484"/>
    </row>
    <row r="2485" spans="41:48" x14ac:dyDescent="0.35">
      <c r="AO2485"/>
      <c r="AP2485"/>
      <c r="AQ2485"/>
      <c r="AR2485"/>
      <c r="AS2485"/>
      <c r="AT2485"/>
      <c r="AU2485"/>
      <c r="AV2485"/>
    </row>
    <row r="2486" spans="41:48" x14ac:dyDescent="0.35">
      <c r="AO2486"/>
      <c r="AP2486"/>
      <c r="AQ2486"/>
      <c r="AR2486"/>
      <c r="AS2486"/>
      <c r="AT2486"/>
      <c r="AU2486"/>
      <c r="AV2486"/>
    </row>
    <row r="2487" spans="41:48" x14ac:dyDescent="0.35">
      <c r="AO2487"/>
      <c r="AP2487"/>
      <c r="AQ2487"/>
      <c r="AR2487"/>
      <c r="AS2487"/>
      <c r="AT2487"/>
      <c r="AU2487"/>
      <c r="AV2487"/>
    </row>
    <row r="2488" spans="41:48" x14ac:dyDescent="0.35">
      <c r="AO2488"/>
      <c r="AP2488"/>
      <c r="AQ2488"/>
      <c r="AR2488"/>
      <c r="AS2488"/>
      <c r="AT2488"/>
      <c r="AU2488"/>
      <c r="AV2488"/>
    </row>
    <row r="2489" spans="41:48" x14ac:dyDescent="0.35">
      <c r="AO2489"/>
      <c r="AP2489"/>
      <c r="AQ2489"/>
      <c r="AR2489"/>
      <c r="AS2489"/>
      <c r="AT2489"/>
      <c r="AU2489"/>
      <c r="AV2489"/>
    </row>
    <row r="2490" spans="41:48" x14ac:dyDescent="0.35">
      <c r="AO2490"/>
      <c r="AP2490"/>
      <c r="AQ2490"/>
      <c r="AR2490"/>
      <c r="AS2490"/>
      <c r="AT2490"/>
      <c r="AU2490"/>
      <c r="AV2490"/>
    </row>
    <row r="2491" spans="41:48" x14ac:dyDescent="0.35">
      <c r="AO2491"/>
      <c r="AP2491"/>
      <c r="AQ2491"/>
      <c r="AR2491"/>
      <c r="AS2491"/>
      <c r="AT2491"/>
      <c r="AU2491"/>
      <c r="AV2491"/>
    </row>
    <row r="2492" spans="41:48" x14ac:dyDescent="0.35">
      <c r="AO2492"/>
      <c r="AP2492"/>
      <c r="AQ2492"/>
      <c r="AR2492"/>
      <c r="AS2492"/>
      <c r="AT2492"/>
      <c r="AU2492"/>
      <c r="AV2492"/>
    </row>
    <row r="2493" spans="41:48" x14ac:dyDescent="0.35">
      <c r="AO2493"/>
      <c r="AP2493"/>
      <c r="AQ2493"/>
      <c r="AR2493"/>
      <c r="AS2493"/>
      <c r="AT2493"/>
      <c r="AU2493"/>
      <c r="AV2493"/>
    </row>
    <row r="2494" spans="41:48" x14ac:dyDescent="0.35">
      <c r="AO2494"/>
      <c r="AP2494"/>
      <c r="AQ2494"/>
      <c r="AR2494"/>
      <c r="AS2494"/>
      <c r="AT2494"/>
      <c r="AU2494"/>
      <c r="AV2494"/>
    </row>
    <row r="2495" spans="41:48" x14ac:dyDescent="0.35">
      <c r="AO2495"/>
      <c r="AP2495"/>
      <c r="AQ2495"/>
      <c r="AR2495"/>
      <c r="AS2495"/>
      <c r="AT2495"/>
      <c r="AU2495"/>
      <c r="AV2495"/>
    </row>
    <row r="2496" spans="41:48" x14ac:dyDescent="0.35">
      <c r="AO2496"/>
      <c r="AP2496"/>
      <c r="AQ2496"/>
      <c r="AR2496"/>
      <c r="AS2496"/>
      <c r="AT2496"/>
      <c r="AU2496"/>
      <c r="AV2496"/>
    </row>
    <row r="2497" spans="41:48" x14ac:dyDescent="0.35">
      <c r="AO2497"/>
      <c r="AP2497"/>
      <c r="AQ2497"/>
      <c r="AR2497"/>
      <c r="AS2497"/>
      <c r="AT2497"/>
      <c r="AU2497"/>
      <c r="AV2497"/>
    </row>
    <row r="2498" spans="41:48" x14ac:dyDescent="0.35">
      <c r="AO2498"/>
      <c r="AP2498"/>
      <c r="AQ2498"/>
      <c r="AR2498"/>
      <c r="AS2498"/>
      <c r="AT2498"/>
      <c r="AU2498"/>
      <c r="AV2498"/>
    </row>
    <row r="2499" spans="41:48" x14ac:dyDescent="0.35">
      <c r="AO2499"/>
      <c r="AP2499"/>
      <c r="AQ2499"/>
      <c r="AR2499"/>
      <c r="AS2499"/>
      <c r="AT2499"/>
      <c r="AU2499"/>
      <c r="AV2499"/>
    </row>
    <row r="2500" spans="41:48" x14ac:dyDescent="0.35">
      <c r="AO2500"/>
      <c r="AP2500"/>
      <c r="AQ2500"/>
      <c r="AR2500"/>
      <c r="AS2500"/>
      <c r="AT2500"/>
      <c r="AU2500"/>
      <c r="AV2500"/>
    </row>
    <row r="2501" spans="41:48" x14ac:dyDescent="0.35">
      <c r="AO2501"/>
      <c r="AP2501"/>
      <c r="AQ2501"/>
      <c r="AR2501"/>
      <c r="AS2501"/>
      <c r="AT2501"/>
      <c r="AU2501"/>
      <c r="AV2501"/>
    </row>
    <row r="2502" spans="41:48" x14ac:dyDescent="0.35">
      <c r="AO2502"/>
      <c r="AP2502"/>
      <c r="AQ2502"/>
      <c r="AR2502"/>
      <c r="AS2502"/>
      <c r="AT2502"/>
      <c r="AU2502"/>
      <c r="AV2502"/>
    </row>
    <row r="2503" spans="41:48" x14ac:dyDescent="0.35">
      <c r="AO2503"/>
      <c r="AP2503"/>
      <c r="AQ2503"/>
      <c r="AR2503"/>
      <c r="AS2503"/>
      <c r="AT2503"/>
      <c r="AU2503"/>
      <c r="AV2503"/>
    </row>
    <row r="2504" spans="41:48" x14ac:dyDescent="0.35">
      <c r="AO2504"/>
      <c r="AP2504"/>
      <c r="AQ2504"/>
      <c r="AR2504"/>
      <c r="AS2504"/>
      <c r="AT2504"/>
      <c r="AU2504"/>
      <c r="AV2504"/>
    </row>
    <row r="2505" spans="41:48" x14ac:dyDescent="0.35">
      <c r="AO2505"/>
      <c r="AP2505"/>
      <c r="AQ2505"/>
      <c r="AR2505"/>
      <c r="AS2505"/>
      <c r="AT2505"/>
      <c r="AU2505"/>
      <c r="AV2505"/>
    </row>
    <row r="2506" spans="41:48" x14ac:dyDescent="0.35">
      <c r="AO2506"/>
      <c r="AP2506"/>
      <c r="AQ2506"/>
      <c r="AR2506"/>
      <c r="AS2506"/>
      <c r="AT2506"/>
      <c r="AU2506"/>
      <c r="AV2506"/>
    </row>
    <row r="2507" spans="41:48" x14ac:dyDescent="0.35">
      <c r="AO2507"/>
      <c r="AP2507"/>
      <c r="AQ2507"/>
      <c r="AR2507"/>
      <c r="AS2507"/>
      <c r="AT2507"/>
      <c r="AU2507"/>
      <c r="AV2507"/>
    </row>
    <row r="2508" spans="41:48" x14ac:dyDescent="0.35">
      <c r="AO2508"/>
      <c r="AP2508"/>
      <c r="AQ2508"/>
      <c r="AR2508"/>
      <c r="AS2508"/>
      <c r="AT2508"/>
      <c r="AU2508"/>
      <c r="AV2508"/>
    </row>
    <row r="2509" spans="41:48" x14ac:dyDescent="0.35">
      <c r="AO2509"/>
      <c r="AP2509"/>
      <c r="AQ2509"/>
      <c r="AR2509"/>
      <c r="AS2509"/>
      <c r="AT2509"/>
      <c r="AU2509"/>
      <c r="AV2509"/>
    </row>
    <row r="2510" spans="41:48" x14ac:dyDescent="0.35">
      <c r="AO2510"/>
      <c r="AP2510"/>
      <c r="AQ2510"/>
      <c r="AR2510"/>
      <c r="AS2510"/>
      <c r="AT2510"/>
      <c r="AU2510"/>
      <c r="AV2510"/>
    </row>
    <row r="2511" spans="41:48" x14ac:dyDescent="0.35">
      <c r="AO2511"/>
      <c r="AP2511"/>
      <c r="AQ2511"/>
      <c r="AR2511"/>
      <c r="AS2511"/>
      <c r="AT2511"/>
      <c r="AU2511"/>
      <c r="AV2511"/>
    </row>
    <row r="2512" spans="41:48" x14ac:dyDescent="0.35">
      <c r="AO2512"/>
      <c r="AP2512"/>
      <c r="AQ2512"/>
      <c r="AR2512"/>
      <c r="AS2512"/>
      <c r="AT2512"/>
      <c r="AU2512"/>
      <c r="AV2512"/>
    </row>
    <row r="2513" spans="41:48" x14ac:dyDescent="0.35">
      <c r="AO2513"/>
      <c r="AP2513"/>
      <c r="AQ2513"/>
      <c r="AR2513"/>
      <c r="AS2513"/>
      <c r="AT2513"/>
      <c r="AU2513"/>
      <c r="AV2513"/>
    </row>
    <row r="2514" spans="41:48" x14ac:dyDescent="0.35">
      <c r="AO2514"/>
      <c r="AP2514"/>
      <c r="AQ2514"/>
      <c r="AR2514"/>
      <c r="AS2514"/>
      <c r="AT2514"/>
      <c r="AU2514"/>
      <c r="AV2514"/>
    </row>
    <row r="2515" spans="41:48" x14ac:dyDescent="0.35">
      <c r="AO2515"/>
      <c r="AP2515"/>
      <c r="AQ2515"/>
      <c r="AR2515"/>
      <c r="AS2515"/>
      <c r="AT2515"/>
      <c r="AU2515"/>
      <c r="AV2515"/>
    </row>
    <row r="2516" spans="41:48" x14ac:dyDescent="0.35">
      <c r="AO2516"/>
      <c r="AP2516"/>
      <c r="AQ2516"/>
      <c r="AR2516"/>
      <c r="AS2516"/>
      <c r="AT2516"/>
      <c r="AU2516"/>
      <c r="AV2516"/>
    </row>
    <row r="2517" spans="41:48" x14ac:dyDescent="0.35">
      <c r="AO2517"/>
      <c r="AP2517"/>
      <c r="AQ2517"/>
      <c r="AR2517"/>
      <c r="AS2517"/>
      <c r="AT2517"/>
      <c r="AU2517"/>
      <c r="AV2517"/>
    </row>
    <row r="2518" spans="41:48" x14ac:dyDescent="0.35">
      <c r="AO2518"/>
      <c r="AP2518"/>
      <c r="AQ2518"/>
      <c r="AR2518"/>
      <c r="AS2518"/>
      <c r="AT2518"/>
      <c r="AU2518"/>
      <c r="AV2518"/>
    </row>
    <row r="2519" spans="41:48" x14ac:dyDescent="0.35">
      <c r="AO2519"/>
      <c r="AP2519"/>
      <c r="AQ2519"/>
      <c r="AR2519"/>
      <c r="AS2519"/>
      <c r="AT2519"/>
      <c r="AU2519"/>
      <c r="AV2519"/>
    </row>
    <row r="2520" spans="41:48" x14ac:dyDescent="0.35">
      <c r="AO2520"/>
      <c r="AP2520"/>
      <c r="AQ2520"/>
      <c r="AR2520"/>
      <c r="AS2520"/>
      <c r="AT2520"/>
      <c r="AU2520"/>
      <c r="AV2520"/>
    </row>
    <row r="2521" spans="41:48" x14ac:dyDescent="0.35">
      <c r="AO2521"/>
      <c r="AP2521"/>
      <c r="AQ2521"/>
      <c r="AR2521"/>
      <c r="AS2521"/>
      <c r="AT2521"/>
      <c r="AU2521"/>
      <c r="AV2521"/>
    </row>
    <row r="2522" spans="41:48" x14ac:dyDescent="0.35">
      <c r="AO2522"/>
      <c r="AP2522"/>
      <c r="AQ2522"/>
      <c r="AR2522"/>
      <c r="AS2522"/>
      <c r="AT2522"/>
      <c r="AU2522"/>
      <c r="AV2522"/>
    </row>
    <row r="2523" spans="41:48" x14ac:dyDescent="0.35">
      <c r="AO2523"/>
      <c r="AP2523"/>
      <c r="AQ2523"/>
      <c r="AR2523"/>
      <c r="AS2523"/>
      <c r="AT2523"/>
      <c r="AU2523"/>
      <c r="AV2523"/>
    </row>
    <row r="2524" spans="41:48" x14ac:dyDescent="0.35">
      <c r="AO2524"/>
      <c r="AP2524"/>
      <c r="AQ2524"/>
      <c r="AR2524"/>
      <c r="AS2524"/>
      <c r="AT2524"/>
      <c r="AU2524"/>
      <c r="AV2524"/>
    </row>
    <row r="2525" spans="41:48" x14ac:dyDescent="0.35">
      <c r="AO2525"/>
      <c r="AP2525"/>
      <c r="AQ2525"/>
      <c r="AR2525"/>
      <c r="AS2525"/>
      <c r="AT2525"/>
      <c r="AU2525"/>
      <c r="AV2525"/>
    </row>
    <row r="2526" spans="41:48" x14ac:dyDescent="0.35">
      <c r="AO2526"/>
      <c r="AP2526"/>
      <c r="AQ2526"/>
      <c r="AR2526"/>
      <c r="AS2526"/>
      <c r="AT2526"/>
      <c r="AU2526"/>
      <c r="AV2526"/>
    </row>
    <row r="2527" spans="41:48" x14ac:dyDescent="0.35">
      <c r="AO2527"/>
      <c r="AP2527"/>
      <c r="AQ2527"/>
      <c r="AR2527"/>
      <c r="AS2527"/>
      <c r="AT2527"/>
      <c r="AU2527"/>
      <c r="AV2527"/>
    </row>
    <row r="2528" spans="41:48" x14ac:dyDescent="0.35">
      <c r="AO2528"/>
      <c r="AP2528"/>
      <c r="AQ2528"/>
      <c r="AR2528"/>
      <c r="AS2528"/>
      <c r="AT2528"/>
      <c r="AU2528"/>
      <c r="AV2528"/>
    </row>
    <row r="2529" spans="41:48" x14ac:dyDescent="0.35">
      <c r="AO2529"/>
      <c r="AP2529"/>
      <c r="AQ2529"/>
      <c r="AR2529"/>
      <c r="AS2529"/>
      <c r="AT2529"/>
      <c r="AU2529"/>
      <c r="AV2529"/>
    </row>
    <row r="2530" spans="41:48" x14ac:dyDescent="0.35">
      <c r="AO2530"/>
      <c r="AP2530"/>
      <c r="AQ2530"/>
      <c r="AR2530"/>
      <c r="AS2530"/>
      <c r="AT2530"/>
      <c r="AU2530"/>
      <c r="AV2530"/>
    </row>
    <row r="2531" spans="41:48" x14ac:dyDescent="0.35">
      <c r="AO2531"/>
      <c r="AP2531"/>
      <c r="AQ2531"/>
      <c r="AR2531"/>
      <c r="AS2531"/>
      <c r="AT2531"/>
      <c r="AU2531"/>
      <c r="AV2531"/>
    </row>
    <row r="2532" spans="41:48" x14ac:dyDescent="0.35">
      <c r="AO2532"/>
      <c r="AP2532"/>
      <c r="AQ2532"/>
      <c r="AR2532"/>
      <c r="AS2532"/>
      <c r="AT2532"/>
      <c r="AU2532"/>
      <c r="AV2532"/>
    </row>
    <row r="2533" spans="41:48" x14ac:dyDescent="0.35">
      <c r="AO2533"/>
      <c r="AP2533"/>
      <c r="AQ2533"/>
      <c r="AR2533"/>
      <c r="AS2533"/>
      <c r="AT2533"/>
      <c r="AU2533"/>
      <c r="AV2533"/>
    </row>
    <row r="2534" spans="41:48" x14ac:dyDescent="0.35">
      <c r="AO2534"/>
      <c r="AP2534"/>
      <c r="AQ2534"/>
      <c r="AR2534"/>
      <c r="AS2534"/>
      <c r="AT2534"/>
      <c r="AU2534"/>
      <c r="AV2534"/>
    </row>
    <row r="2535" spans="41:48" x14ac:dyDescent="0.35">
      <c r="AO2535"/>
      <c r="AP2535"/>
      <c r="AQ2535"/>
      <c r="AR2535"/>
      <c r="AS2535"/>
      <c r="AT2535"/>
      <c r="AU2535"/>
      <c r="AV2535"/>
    </row>
    <row r="2536" spans="41:48" x14ac:dyDescent="0.35">
      <c r="AO2536"/>
      <c r="AP2536"/>
      <c r="AQ2536"/>
      <c r="AR2536"/>
      <c r="AS2536"/>
      <c r="AT2536"/>
      <c r="AU2536"/>
      <c r="AV2536"/>
    </row>
    <row r="2537" spans="41:48" x14ac:dyDescent="0.35">
      <c r="AO2537"/>
      <c r="AP2537"/>
      <c r="AQ2537"/>
      <c r="AR2537"/>
      <c r="AS2537"/>
      <c r="AT2537"/>
      <c r="AU2537"/>
      <c r="AV2537"/>
    </row>
    <row r="2538" spans="41:48" x14ac:dyDescent="0.35">
      <c r="AO2538"/>
      <c r="AP2538"/>
      <c r="AQ2538"/>
      <c r="AR2538"/>
      <c r="AS2538"/>
      <c r="AT2538"/>
      <c r="AU2538"/>
      <c r="AV2538"/>
    </row>
    <row r="2539" spans="41:48" x14ac:dyDescent="0.35">
      <c r="AO2539"/>
      <c r="AP2539"/>
      <c r="AQ2539"/>
      <c r="AR2539"/>
      <c r="AS2539"/>
      <c r="AT2539"/>
      <c r="AU2539"/>
      <c r="AV2539"/>
    </row>
    <row r="2540" spans="41:48" x14ac:dyDescent="0.35">
      <c r="AO2540"/>
      <c r="AP2540"/>
      <c r="AQ2540"/>
      <c r="AR2540"/>
      <c r="AS2540"/>
      <c r="AT2540"/>
      <c r="AU2540"/>
      <c r="AV2540"/>
    </row>
    <row r="2541" spans="41:48" x14ac:dyDescent="0.35">
      <c r="AO2541"/>
      <c r="AP2541"/>
      <c r="AQ2541"/>
      <c r="AR2541"/>
      <c r="AS2541"/>
      <c r="AT2541"/>
      <c r="AU2541"/>
      <c r="AV2541"/>
    </row>
    <row r="2542" spans="41:48" x14ac:dyDescent="0.35">
      <c r="AO2542"/>
      <c r="AP2542"/>
      <c r="AQ2542"/>
      <c r="AR2542"/>
      <c r="AS2542"/>
      <c r="AT2542"/>
      <c r="AU2542"/>
      <c r="AV2542"/>
    </row>
    <row r="2543" spans="41:48" x14ac:dyDescent="0.35">
      <c r="AO2543"/>
      <c r="AP2543"/>
      <c r="AQ2543"/>
      <c r="AR2543"/>
      <c r="AS2543"/>
      <c r="AT2543"/>
      <c r="AU2543"/>
      <c r="AV2543"/>
    </row>
    <row r="2544" spans="41:48" x14ac:dyDescent="0.35">
      <c r="AO2544"/>
      <c r="AP2544"/>
      <c r="AQ2544"/>
      <c r="AR2544"/>
      <c r="AS2544"/>
      <c r="AT2544"/>
      <c r="AU2544"/>
      <c r="AV2544"/>
    </row>
    <row r="2545" spans="41:48" x14ac:dyDescent="0.35">
      <c r="AO2545"/>
      <c r="AP2545"/>
      <c r="AQ2545"/>
      <c r="AR2545"/>
      <c r="AS2545"/>
      <c r="AT2545"/>
      <c r="AU2545"/>
      <c r="AV2545"/>
    </row>
    <row r="2546" spans="41:48" x14ac:dyDescent="0.35">
      <c r="AO2546"/>
      <c r="AP2546"/>
      <c r="AQ2546"/>
      <c r="AR2546"/>
      <c r="AS2546"/>
      <c r="AT2546"/>
      <c r="AU2546"/>
      <c r="AV2546"/>
    </row>
    <row r="2547" spans="41:48" x14ac:dyDescent="0.35">
      <c r="AO2547"/>
      <c r="AP2547"/>
      <c r="AQ2547"/>
      <c r="AR2547"/>
      <c r="AS2547"/>
      <c r="AT2547"/>
      <c r="AU2547"/>
      <c r="AV2547"/>
    </row>
    <row r="2548" spans="41:48" x14ac:dyDescent="0.35">
      <c r="AO2548"/>
      <c r="AP2548"/>
      <c r="AQ2548"/>
      <c r="AR2548"/>
      <c r="AS2548"/>
      <c r="AT2548"/>
      <c r="AU2548"/>
      <c r="AV2548"/>
    </row>
    <row r="2549" spans="41:48" x14ac:dyDescent="0.35">
      <c r="AO2549"/>
      <c r="AP2549"/>
      <c r="AQ2549"/>
      <c r="AR2549"/>
      <c r="AS2549"/>
      <c r="AT2549"/>
      <c r="AU2549"/>
      <c r="AV2549"/>
    </row>
    <row r="2550" spans="41:48" x14ac:dyDescent="0.35">
      <c r="AO2550"/>
      <c r="AP2550"/>
      <c r="AQ2550"/>
      <c r="AR2550"/>
      <c r="AS2550"/>
      <c r="AT2550"/>
      <c r="AU2550"/>
      <c r="AV2550"/>
    </row>
    <row r="2551" spans="41:48" x14ac:dyDescent="0.35">
      <c r="AO2551"/>
      <c r="AP2551"/>
      <c r="AQ2551"/>
      <c r="AR2551"/>
      <c r="AS2551"/>
      <c r="AT2551"/>
      <c r="AU2551"/>
      <c r="AV2551"/>
    </row>
    <row r="2552" spans="41:48" x14ac:dyDescent="0.35">
      <c r="AO2552"/>
      <c r="AP2552"/>
      <c r="AQ2552"/>
      <c r="AR2552"/>
      <c r="AS2552"/>
      <c r="AT2552"/>
      <c r="AU2552"/>
      <c r="AV2552"/>
    </row>
    <row r="2553" spans="41:48" x14ac:dyDescent="0.35">
      <c r="AO2553"/>
      <c r="AP2553"/>
      <c r="AQ2553"/>
      <c r="AR2553"/>
      <c r="AS2553"/>
      <c r="AT2553"/>
      <c r="AU2553"/>
      <c r="AV2553"/>
    </row>
    <row r="2554" spans="41:48" x14ac:dyDescent="0.35">
      <c r="AO2554"/>
      <c r="AP2554"/>
      <c r="AQ2554"/>
      <c r="AR2554"/>
      <c r="AS2554"/>
      <c r="AT2554"/>
      <c r="AU2554"/>
      <c r="AV2554"/>
    </row>
    <row r="2555" spans="41:48" x14ac:dyDescent="0.35">
      <c r="AO2555"/>
      <c r="AP2555"/>
      <c r="AQ2555"/>
      <c r="AR2555"/>
      <c r="AS2555"/>
      <c r="AT2555"/>
      <c r="AU2555"/>
      <c r="AV2555"/>
    </row>
    <row r="2556" spans="41:48" x14ac:dyDescent="0.35">
      <c r="AO2556"/>
      <c r="AP2556"/>
      <c r="AQ2556"/>
      <c r="AR2556"/>
      <c r="AS2556"/>
      <c r="AT2556"/>
      <c r="AU2556"/>
      <c r="AV2556"/>
    </row>
    <row r="2557" spans="41:48" x14ac:dyDescent="0.35">
      <c r="AO2557"/>
      <c r="AP2557"/>
      <c r="AQ2557"/>
      <c r="AR2557"/>
      <c r="AS2557"/>
      <c r="AT2557"/>
      <c r="AU2557"/>
      <c r="AV2557"/>
    </row>
    <row r="2558" spans="41:48" x14ac:dyDescent="0.35">
      <c r="AO2558"/>
      <c r="AP2558"/>
      <c r="AQ2558"/>
      <c r="AR2558"/>
      <c r="AS2558"/>
      <c r="AT2558"/>
      <c r="AU2558"/>
      <c r="AV2558"/>
    </row>
    <row r="2559" spans="41:48" x14ac:dyDescent="0.35">
      <c r="AO2559"/>
      <c r="AP2559"/>
      <c r="AQ2559"/>
      <c r="AR2559"/>
      <c r="AS2559"/>
      <c r="AT2559"/>
      <c r="AU2559"/>
      <c r="AV2559"/>
    </row>
    <row r="2560" spans="41:48" x14ac:dyDescent="0.35">
      <c r="AO2560"/>
      <c r="AP2560"/>
      <c r="AQ2560"/>
      <c r="AR2560"/>
      <c r="AS2560"/>
      <c r="AT2560"/>
      <c r="AU2560"/>
      <c r="AV2560"/>
    </row>
    <row r="2561" spans="41:48" x14ac:dyDescent="0.35">
      <c r="AO2561"/>
      <c r="AP2561"/>
      <c r="AQ2561"/>
      <c r="AR2561"/>
      <c r="AS2561"/>
      <c r="AT2561"/>
      <c r="AU2561"/>
      <c r="AV2561"/>
    </row>
    <row r="2562" spans="41:48" x14ac:dyDescent="0.35">
      <c r="AO2562"/>
      <c r="AP2562"/>
      <c r="AQ2562"/>
      <c r="AR2562"/>
      <c r="AS2562"/>
      <c r="AT2562"/>
      <c r="AU2562"/>
      <c r="AV2562"/>
    </row>
    <row r="2563" spans="41:48" x14ac:dyDescent="0.35">
      <c r="AO2563"/>
      <c r="AP2563"/>
      <c r="AQ2563"/>
      <c r="AR2563"/>
      <c r="AS2563"/>
      <c r="AT2563"/>
      <c r="AU2563"/>
      <c r="AV2563"/>
    </row>
    <row r="2564" spans="41:48" x14ac:dyDescent="0.35">
      <c r="AO2564"/>
      <c r="AP2564"/>
      <c r="AQ2564"/>
      <c r="AR2564"/>
      <c r="AS2564"/>
      <c r="AT2564"/>
      <c r="AU2564"/>
      <c r="AV2564"/>
    </row>
    <row r="2565" spans="41:48" x14ac:dyDescent="0.35">
      <c r="AO2565"/>
      <c r="AP2565"/>
      <c r="AQ2565"/>
      <c r="AR2565"/>
      <c r="AS2565"/>
      <c r="AT2565"/>
      <c r="AU2565"/>
      <c r="AV2565"/>
    </row>
    <row r="2566" spans="41:48" x14ac:dyDescent="0.35">
      <c r="AO2566"/>
      <c r="AP2566"/>
      <c r="AQ2566"/>
      <c r="AR2566"/>
      <c r="AS2566"/>
      <c r="AT2566"/>
      <c r="AU2566"/>
      <c r="AV2566"/>
    </row>
    <row r="2567" spans="41:48" x14ac:dyDescent="0.35">
      <c r="AO2567"/>
      <c r="AP2567"/>
      <c r="AQ2567"/>
      <c r="AR2567"/>
      <c r="AS2567"/>
      <c r="AT2567"/>
      <c r="AU2567"/>
      <c r="AV2567"/>
    </row>
    <row r="2568" spans="41:48" x14ac:dyDescent="0.35">
      <c r="AO2568"/>
      <c r="AP2568"/>
      <c r="AQ2568"/>
      <c r="AR2568"/>
      <c r="AS2568"/>
      <c r="AT2568"/>
      <c r="AU2568"/>
      <c r="AV2568"/>
    </row>
    <row r="2569" spans="41:48" x14ac:dyDescent="0.35">
      <c r="AO2569"/>
      <c r="AP2569"/>
      <c r="AQ2569"/>
      <c r="AR2569"/>
      <c r="AS2569"/>
      <c r="AT2569"/>
      <c r="AU2569"/>
      <c r="AV2569"/>
    </row>
    <row r="2570" spans="41:48" x14ac:dyDescent="0.35">
      <c r="AO2570"/>
      <c r="AP2570"/>
      <c r="AQ2570"/>
      <c r="AR2570"/>
      <c r="AS2570"/>
      <c r="AT2570"/>
      <c r="AU2570"/>
      <c r="AV2570"/>
    </row>
    <row r="2571" spans="41:48" x14ac:dyDescent="0.35">
      <c r="AO2571"/>
      <c r="AP2571"/>
      <c r="AQ2571"/>
      <c r="AR2571"/>
      <c r="AS2571"/>
      <c r="AT2571"/>
      <c r="AU2571"/>
      <c r="AV2571"/>
    </row>
    <row r="2572" spans="41:48" x14ac:dyDescent="0.35">
      <c r="AO2572"/>
      <c r="AP2572"/>
      <c r="AQ2572"/>
      <c r="AR2572"/>
      <c r="AS2572"/>
      <c r="AT2572"/>
      <c r="AU2572"/>
      <c r="AV2572"/>
    </row>
    <row r="2573" spans="41:48" x14ac:dyDescent="0.35">
      <c r="AO2573"/>
      <c r="AP2573"/>
      <c r="AQ2573"/>
      <c r="AR2573"/>
      <c r="AS2573"/>
      <c r="AT2573"/>
      <c r="AU2573"/>
      <c r="AV2573"/>
    </row>
    <row r="2574" spans="41:48" x14ac:dyDescent="0.35">
      <c r="AO2574"/>
      <c r="AP2574"/>
      <c r="AQ2574"/>
      <c r="AR2574"/>
      <c r="AS2574"/>
      <c r="AT2574"/>
      <c r="AU2574"/>
      <c r="AV2574"/>
    </row>
    <row r="2575" spans="41:48" x14ac:dyDescent="0.35">
      <c r="AO2575"/>
      <c r="AP2575"/>
      <c r="AQ2575"/>
      <c r="AR2575"/>
      <c r="AS2575"/>
      <c r="AT2575"/>
      <c r="AU2575"/>
      <c r="AV2575"/>
    </row>
    <row r="2576" spans="41:48" x14ac:dyDescent="0.35">
      <c r="AO2576"/>
      <c r="AP2576"/>
      <c r="AQ2576"/>
      <c r="AR2576"/>
      <c r="AS2576"/>
      <c r="AT2576"/>
      <c r="AU2576"/>
      <c r="AV2576"/>
    </row>
    <row r="2577" spans="41:48" x14ac:dyDescent="0.35">
      <c r="AO2577"/>
      <c r="AP2577"/>
      <c r="AQ2577"/>
      <c r="AR2577"/>
      <c r="AS2577"/>
      <c r="AT2577"/>
      <c r="AU2577"/>
      <c r="AV2577"/>
    </row>
    <row r="2578" spans="41:48" x14ac:dyDescent="0.35">
      <c r="AO2578"/>
      <c r="AP2578"/>
      <c r="AQ2578"/>
      <c r="AR2578"/>
      <c r="AS2578"/>
      <c r="AT2578"/>
      <c r="AU2578"/>
      <c r="AV2578"/>
    </row>
    <row r="2579" spans="41:48" x14ac:dyDescent="0.35">
      <c r="AO2579"/>
      <c r="AP2579"/>
      <c r="AQ2579"/>
      <c r="AR2579"/>
      <c r="AS2579"/>
      <c r="AT2579"/>
      <c r="AU2579"/>
      <c r="AV2579"/>
    </row>
    <row r="2580" spans="41:48" x14ac:dyDescent="0.35">
      <c r="AO2580"/>
      <c r="AP2580"/>
      <c r="AQ2580"/>
      <c r="AR2580"/>
      <c r="AS2580"/>
      <c r="AT2580"/>
      <c r="AU2580"/>
      <c r="AV2580"/>
    </row>
    <row r="2581" spans="41:48" x14ac:dyDescent="0.35">
      <c r="AO2581"/>
      <c r="AP2581"/>
      <c r="AQ2581"/>
      <c r="AR2581"/>
      <c r="AS2581"/>
      <c r="AT2581"/>
      <c r="AU2581"/>
      <c r="AV2581"/>
    </row>
    <row r="2582" spans="41:48" x14ac:dyDescent="0.35">
      <c r="AO2582"/>
      <c r="AP2582"/>
      <c r="AQ2582"/>
      <c r="AR2582"/>
      <c r="AS2582"/>
      <c r="AT2582"/>
      <c r="AU2582"/>
      <c r="AV2582"/>
    </row>
    <row r="2583" spans="41:48" x14ac:dyDescent="0.35">
      <c r="AO2583"/>
      <c r="AP2583"/>
      <c r="AQ2583"/>
      <c r="AR2583"/>
      <c r="AS2583"/>
      <c r="AT2583"/>
      <c r="AU2583"/>
      <c r="AV2583"/>
    </row>
    <row r="2584" spans="41:48" x14ac:dyDescent="0.35">
      <c r="AO2584"/>
      <c r="AP2584"/>
      <c r="AQ2584"/>
      <c r="AR2584"/>
      <c r="AS2584"/>
      <c r="AT2584"/>
      <c r="AU2584"/>
      <c r="AV2584"/>
    </row>
    <row r="2585" spans="41:48" x14ac:dyDescent="0.35">
      <c r="AO2585"/>
      <c r="AP2585"/>
      <c r="AQ2585"/>
      <c r="AR2585"/>
      <c r="AS2585"/>
      <c r="AT2585"/>
      <c r="AU2585"/>
      <c r="AV2585"/>
    </row>
    <row r="2586" spans="41:48" x14ac:dyDescent="0.35">
      <c r="AO2586"/>
      <c r="AP2586"/>
      <c r="AQ2586"/>
      <c r="AR2586"/>
      <c r="AS2586"/>
      <c r="AT2586"/>
      <c r="AU2586"/>
      <c r="AV2586"/>
    </row>
    <row r="2587" spans="41:48" x14ac:dyDescent="0.35">
      <c r="AO2587"/>
      <c r="AP2587"/>
      <c r="AQ2587"/>
      <c r="AR2587"/>
      <c r="AS2587"/>
      <c r="AT2587"/>
      <c r="AU2587"/>
      <c r="AV2587"/>
    </row>
    <row r="2588" spans="41:48" x14ac:dyDescent="0.35">
      <c r="AO2588"/>
      <c r="AP2588"/>
      <c r="AQ2588"/>
      <c r="AR2588"/>
      <c r="AS2588"/>
      <c r="AT2588"/>
      <c r="AU2588"/>
      <c r="AV2588"/>
    </row>
    <row r="2589" spans="41:48" x14ac:dyDescent="0.35">
      <c r="AO2589"/>
      <c r="AP2589"/>
      <c r="AQ2589"/>
      <c r="AR2589"/>
      <c r="AS2589"/>
      <c r="AT2589"/>
      <c r="AU2589"/>
      <c r="AV2589"/>
    </row>
    <row r="2590" spans="41:48" x14ac:dyDescent="0.35">
      <c r="AO2590"/>
      <c r="AP2590"/>
      <c r="AQ2590"/>
      <c r="AR2590"/>
      <c r="AS2590"/>
      <c r="AT2590"/>
      <c r="AU2590"/>
      <c r="AV2590"/>
    </row>
    <row r="2591" spans="41:48" x14ac:dyDescent="0.35">
      <c r="AO2591"/>
      <c r="AP2591"/>
      <c r="AQ2591"/>
      <c r="AR2591"/>
      <c r="AS2591"/>
      <c r="AT2591"/>
      <c r="AU2591"/>
      <c r="AV2591"/>
    </row>
    <row r="2592" spans="41:48" x14ac:dyDescent="0.35">
      <c r="AO2592"/>
      <c r="AP2592"/>
      <c r="AQ2592"/>
      <c r="AR2592"/>
      <c r="AS2592"/>
      <c r="AT2592"/>
      <c r="AU2592"/>
      <c r="AV2592"/>
    </row>
    <row r="2593" spans="41:48" x14ac:dyDescent="0.35">
      <c r="AO2593"/>
      <c r="AP2593"/>
      <c r="AQ2593"/>
      <c r="AR2593"/>
      <c r="AS2593"/>
      <c r="AT2593"/>
      <c r="AU2593"/>
      <c r="AV2593"/>
    </row>
    <row r="2594" spans="41:48" x14ac:dyDescent="0.35">
      <c r="AO2594"/>
      <c r="AP2594"/>
      <c r="AQ2594"/>
      <c r="AR2594"/>
      <c r="AS2594"/>
      <c r="AT2594"/>
      <c r="AU2594"/>
      <c r="AV2594"/>
    </row>
    <row r="2595" spans="41:48" x14ac:dyDescent="0.35">
      <c r="AO2595"/>
      <c r="AP2595"/>
      <c r="AQ2595"/>
      <c r="AR2595"/>
      <c r="AS2595"/>
      <c r="AT2595"/>
      <c r="AU2595"/>
      <c r="AV2595"/>
    </row>
    <row r="2596" spans="41:48" x14ac:dyDescent="0.35">
      <c r="AO2596"/>
      <c r="AP2596"/>
      <c r="AQ2596"/>
      <c r="AR2596"/>
      <c r="AS2596"/>
      <c r="AT2596"/>
      <c r="AU2596"/>
      <c r="AV2596"/>
    </row>
    <row r="2597" spans="41:48" x14ac:dyDescent="0.35">
      <c r="AO2597"/>
      <c r="AP2597"/>
      <c r="AQ2597"/>
      <c r="AR2597"/>
      <c r="AS2597"/>
      <c r="AT2597"/>
      <c r="AU2597"/>
      <c r="AV2597"/>
    </row>
    <row r="2598" spans="41:48" x14ac:dyDescent="0.35">
      <c r="AO2598"/>
      <c r="AP2598"/>
      <c r="AQ2598"/>
      <c r="AR2598"/>
      <c r="AS2598"/>
      <c r="AT2598"/>
      <c r="AU2598"/>
      <c r="AV2598"/>
    </row>
    <row r="2599" spans="41:48" x14ac:dyDescent="0.35">
      <c r="AO2599"/>
      <c r="AP2599"/>
      <c r="AQ2599"/>
      <c r="AR2599"/>
      <c r="AS2599"/>
      <c r="AT2599"/>
      <c r="AU2599"/>
      <c r="AV2599"/>
    </row>
    <row r="2600" spans="41:48" x14ac:dyDescent="0.35">
      <c r="AO2600"/>
      <c r="AP2600"/>
      <c r="AQ2600"/>
      <c r="AR2600"/>
      <c r="AS2600"/>
      <c r="AT2600"/>
      <c r="AU2600"/>
      <c r="AV2600"/>
    </row>
    <row r="2601" spans="41:48" x14ac:dyDescent="0.35">
      <c r="AO2601"/>
      <c r="AP2601"/>
      <c r="AQ2601"/>
      <c r="AR2601"/>
      <c r="AS2601"/>
      <c r="AT2601"/>
      <c r="AU2601"/>
      <c r="AV2601"/>
    </row>
    <row r="2602" spans="41:48" x14ac:dyDescent="0.35">
      <c r="AO2602"/>
      <c r="AP2602"/>
      <c r="AQ2602"/>
      <c r="AR2602"/>
      <c r="AS2602"/>
      <c r="AT2602"/>
      <c r="AU2602"/>
      <c r="AV2602"/>
    </row>
    <row r="2603" spans="41:48" x14ac:dyDescent="0.35">
      <c r="AO2603"/>
      <c r="AP2603"/>
      <c r="AQ2603"/>
      <c r="AR2603"/>
      <c r="AS2603"/>
      <c r="AT2603"/>
      <c r="AU2603"/>
      <c r="AV2603"/>
    </row>
    <row r="2604" spans="41:48" x14ac:dyDescent="0.35">
      <c r="AO2604"/>
      <c r="AP2604"/>
      <c r="AQ2604"/>
      <c r="AR2604"/>
      <c r="AS2604"/>
      <c r="AT2604"/>
      <c r="AU2604"/>
      <c r="AV2604"/>
    </row>
    <row r="2605" spans="41:48" x14ac:dyDescent="0.35">
      <c r="AO2605"/>
      <c r="AP2605"/>
      <c r="AQ2605"/>
      <c r="AR2605"/>
      <c r="AS2605"/>
      <c r="AT2605"/>
      <c r="AU2605"/>
      <c r="AV2605"/>
    </row>
    <row r="2606" spans="41:48" x14ac:dyDescent="0.35">
      <c r="AO2606"/>
      <c r="AP2606"/>
      <c r="AQ2606"/>
      <c r="AR2606"/>
      <c r="AS2606"/>
      <c r="AT2606"/>
      <c r="AU2606"/>
      <c r="AV2606"/>
    </row>
    <row r="2607" spans="41:48" x14ac:dyDescent="0.35">
      <c r="AO2607"/>
      <c r="AP2607"/>
      <c r="AQ2607"/>
      <c r="AR2607"/>
      <c r="AS2607"/>
      <c r="AT2607"/>
      <c r="AU2607"/>
      <c r="AV2607"/>
    </row>
    <row r="2608" spans="41:48" x14ac:dyDescent="0.35">
      <c r="AO2608"/>
      <c r="AP2608"/>
      <c r="AQ2608"/>
      <c r="AR2608"/>
      <c r="AS2608"/>
      <c r="AT2608"/>
      <c r="AU2608"/>
      <c r="AV2608"/>
    </row>
    <row r="2609" spans="41:48" x14ac:dyDescent="0.35">
      <c r="AO2609"/>
      <c r="AP2609"/>
      <c r="AQ2609"/>
      <c r="AR2609"/>
      <c r="AS2609"/>
      <c r="AT2609"/>
      <c r="AU2609"/>
      <c r="AV2609"/>
    </row>
    <row r="2610" spans="41:48" x14ac:dyDescent="0.35">
      <c r="AO2610"/>
      <c r="AP2610"/>
      <c r="AQ2610"/>
      <c r="AR2610"/>
      <c r="AS2610"/>
      <c r="AT2610"/>
      <c r="AU2610"/>
      <c r="AV2610"/>
    </row>
    <row r="2611" spans="41:48" x14ac:dyDescent="0.35">
      <c r="AO2611"/>
      <c r="AP2611"/>
      <c r="AQ2611"/>
      <c r="AR2611"/>
      <c r="AS2611"/>
      <c r="AT2611"/>
      <c r="AU2611"/>
      <c r="AV2611"/>
    </row>
    <row r="2612" spans="41:48" x14ac:dyDescent="0.35">
      <c r="AO2612"/>
      <c r="AP2612"/>
      <c r="AQ2612"/>
      <c r="AR2612"/>
      <c r="AS2612"/>
      <c r="AT2612"/>
      <c r="AU2612"/>
      <c r="AV2612"/>
    </row>
    <row r="2613" spans="41:48" x14ac:dyDescent="0.35">
      <c r="AO2613"/>
      <c r="AP2613"/>
      <c r="AQ2613"/>
      <c r="AR2613"/>
      <c r="AS2613"/>
      <c r="AT2613"/>
      <c r="AU2613"/>
      <c r="AV2613"/>
    </row>
    <row r="2614" spans="41:48" x14ac:dyDescent="0.35">
      <c r="AO2614"/>
      <c r="AP2614"/>
      <c r="AQ2614"/>
      <c r="AR2614"/>
      <c r="AS2614"/>
      <c r="AT2614"/>
      <c r="AU2614"/>
      <c r="AV2614"/>
    </row>
    <row r="2615" spans="41:48" x14ac:dyDescent="0.35">
      <c r="AO2615"/>
      <c r="AP2615"/>
      <c r="AQ2615"/>
      <c r="AR2615"/>
      <c r="AS2615"/>
      <c r="AT2615"/>
      <c r="AU2615"/>
      <c r="AV2615"/>
    </row>
    <row r="2616" spans="41:48" x14ac:dyDescent="0.35">
      <c r="AO2616"/>
      <c r="AP2616"/>
      <c r="AQ2616"/>
      <c r="AR2616"/>
      <c r="AS2616"/>
      <c r="AT2616"/>
      <c r="AU2616"/>
      <c r="AV2616"/>
    </row>
    <row r="2617" spans="41:48" x14ac:dyDescent="0.35">
      <c r="AO2617"/>
      <c r="AP2617"/>
      <c r="AQ2617"/>
      <c r="AR2617"/>
      <c r="AS2617"/>
      <c r="AT2617"/>
      <c r="AU2617"/>
      <c r="AV2617"/>
    </row>
    <row r="2618" spans="41:48" x14ac:dyDescent="0.35">
      <c r="AO2618"/>
      <c r="AP2618"/>
      <c r="AQ2618"/>
      <c r="AR2618"/>
      <c r="AS2618"/>
      <c r="AT2618"/>
      <c r="AU2618"/>
      <c r="AV2618"/>
    </row>
    <row r="2619" spans="41:48" x14ac:dyDescent="0.35">
      <c r="AO2619"/>
      <c r="AP2619"/>
      <c r="AQ2619"/>
      <c r="AR2619"/>
      <c r="AS2619"/>
      <c r="AT2619"/>
      <c r="AU2619"/>
      <c r="AV2619"/>
    </row>
    <row r="2620" spans="41:48" x14ac:dyDescent="0.35">
      <c r="AO2620"/>
      <c r="AP2620"/>
      <c r="AQ2620"/>
      <c r="AR2620"/>
      <c r="AS2620"/>
      <c r="AT2620"/>
      <c r="AU2620"/>
      <c r="AV2620"/>
    </row>
    <row r="2621" spans="41:48" x14ac:dyDescent="0.35">
      <c r="AO2621"/>
      <c r="AP2621"/>
      <c r="AQ2621"/>
      <c r="AR2621"/>
      <c r="AS2621"/>
      <c r="AT2621"/>
      <c r="AU2621"/>
      <c r="AV2621"/>
    </row>
    <row r="2622" spans="41:48" x14ac:dyDescent="0.35">
      <c r="AO2622"/>
      <c r="AP2622"/>
      <c r="AQ2622"/>
      <c r="AR2622"/>
      <c r="AS2622"/>
      <c r="AT2622"/>
      <c r="AU2622"/>
      <c r="AV2622"/>
    </row>
    <row r="2623" spans="41:48" x14ac:dyDescent="0.35">
      <c r="AO2623"/>
      <c r="AP2623"/>
      <c r="AQ2623"/>
      <c r="AR2623"/>
      <c r="AS2623"/>
      <c r="AT2623"/>
      <c r="AU2623"/>
      <c r="AV2623"/>
    </row>
    <row r="2624" spans="41:48" x14ac:dyDescent="0.35">
      <c r="AO2624"/>
      <c r="AP2624"/>
      <c r="AQ2624"/>
      <c r="AR2624"/>
      <c r="AS2624"/>
      <c r="AT2624"/>
      <c r="AU2624"/>
      <c r="AV2624"/>
    </row>
    <row r="2625" spans="41:48" x14ac:dyDescent="0.35">
      <c r="AO2625"/>
      <c r="AP2625"/>
      <c r="AQ2625"/>
      <c r="AR2625"/>
      <c r="AS2625"/>
      <c r="AT2625"/>
      <c r="AU2625"/>
      <c r="AV2625"/>
    </row>
    <row r="2626" spans="41:48" x14ac:dyDescent="0.35">
      <c r="AO2626"/>
      <c r="AP2626"/>
      <c r="AQ2626"/>
      <c r="AR2626"/>
      <c r="AS2626"/>
      <c r="AT2626"/>
      <c r="AU2626"/>
      <c r="AV2626"/>
    </row>
    <row r="2627" spans="41:48" x14ac:dyDescent="0.35">
      <c r="AO2627"/>
      <c r="AP2627"/>
      <c r="AQ2627"/>
      <c r="AR2627"/>
      <c r="AS2627"/>
      <c r="AT2627"/>
      <c r="AU2627"/>
      <c r="AV2627"/>
    </row>
    <row r="2628" spans="41:48" x14ac:dyDescent="0.35">
      <c r="AO2628"/>
      <c r="AP2628"/>
      <c r="AQ2628"/>
      <c r="AR2628"/>
      <c r="AS2628"/>
      <c r="AT2628"/>
      <c r="AU2628"/>
      <c r="AV2628"/>
    </row>
    <row r="2629" spans="41:48" x14ac:dyDescent="0.35">
      <c r="AO2629"/>
      <c r="AP2629"/>
      <c r="AQ2629"/>
      <c r="AR2629"/>
      <c r="AS2629"/>
      <c r="AT2629"/>
      <c r="AU2629"/>
      <c r="AV2629"/>
    </row>
    <row r="2630" spans="41:48" x14ac:dyDescent="0.35">
      <c r="AO2630"/>
      <c r="AP2630"/>
      <c r="AQ2630"/>
      <c r="AR2630"/>
      <c r="AS2630"/>
      <c r="AT2630"/>
      <c r="AU2630"/>
      <c r="AV2630"/>
    </row>
    <row r="2631" spans="41:48" x14ac:dyDescent="0.35">
      <c r="AO2631"/>
      <c r="AP2631"/>
      <c r="AQ2631"/>
      <c r="AR2631"/>
      <c r="AS2631"/>
      <c r="AT2631"/>
      <c r="AU2631"/>
      <c r="AV2631"/>
    </row>
    <row r="2632" spans="41:48" x14ac:dyDescent="0.35">
      <c r="AO2632"/>
      <c r="AP2632"/>
      <c r="AQ2632"/>
      <c r="AR2632"/>
      <c r="AS2632"/>
      <c r="AT2632"/>
      <c r="AU2632"/>
      <c r="AV2632"/>
    </row>
    <row r="2633" spans="41:48" x14ac:dyDescent="0.35">
      <c r="AO2633"/>
      <c r="AP2633"/>
      <c r="AQ2633"/>
      <c r="AR2633"/>
      <c r="AS2633"/>
      <c r="AT2633"/>
      <c r="AU2633"/>
      <c r="AV2633"/>
    </row>
    <row r="2634" spans="41:48" x14ac:dyDescent="0.35">
      <c r="AO2634"/>
      <c r="AP2634"/>
      <c r="AQ2634"/>
      <c r="AR2634"/>
      <c r="AS2634"/>
      <c r="AT2634"/>
      <c r="AU2634"/>
      <c r="AV2634"/>
    </row>
    <row r="2635" spans="41:48" x14ac:dyDescent="0.35">
      <c r="AO2635"/>
      <c r="AP2635"/>
      <c r="AQ2635"/>
      <c r="AR2635"/>
      <c r="AS2635"/>
      <c r="AT2635"/>
      <c r="AU2635"/>
      <c r="AV2635"/>
    </row>
    <row r="2636" spans="41:48" x14ac:dyDescent="0.35">
      <c r="AO2636"/>
      <c r="AP2636"/>
      <c r="AQ2636"/>
      <c r="AR2636"/>
      <c r="AS2636"/>
      <c r="AT2636"/>
      <c r="AU2636"/>
      <c r="AV2636"/>
    </row>
    <row r="2637" spans="41:48" x14ac:dyDescent="0.35">
      <c r="AO2637"/>
      <c r="AP2637"/>
      <c r="AQ2637"/>
      <c r="AR2637"/>
      <c r="AS2637"/>
      <c r="AT2637"/>
      <c r="AU2637"/>
      <c r="AV2637"/>
    </row>
    <row r="2638" spans="41:48" x14ac:dyDescent="0.35">
      <c r="AO2638"/>
      <c r="AP2638"/>
      <c r="AQ2638"/>
      <c r="AR2638"/>
      <c r="AS2638"/>
      <c r="AT2638"/>
      <c r="AU2638"/>
      <c r="AV2638"/>
    </row>
    <row r="2639" spans="41:48" x14ac:dyDescent="0.35">
      <c r="AO2639"/>
      <c r="AP2639"/>
      <c r="AQ2639"/>
      <c r="AR2639"/>
      <c r="AS2639"/>
      <c r="AT2639"/>
      <c r="AU2639"/>
      <c r="AV2639"/>
    </row>
    <row r="2640" spans="41:48" x14ac:dyDescent="0.35">
      <c r="AO2640"/>
      <c r="AP2640"/>
      <c r="AQ2640"/>
      <c r="AR2640"/>
      <c r="AS2640"/>
      <c r="AT2640"/>
      <c r="AU2640"/>
      <c r="AV2640"/>
    </row>
    <row r="2641" spans="41:48" x14ac:dyDescent="0.35">
      <c r="AO2641"/>
      <c r="AP2641"/>
      <c r="AQ2641"/>
      <c r="AR2641"/>
      <c r="AS2641"/>
      <c r="AT2641"/>
      <c r="AU2641"/>
      <c r="AV2641"/>
    </row>
    <row r="2642" spans="41:48" x14ac:dyDescent="0.35">
      <c r="AO2642"/>
      <c r="AP2642"/>
      <c r="AQ2642"/>
      <c r="AR2642"/>
      <c r="AS2642"/>
      <c r="AT2642"/>
      <c r="AU2642"/>
      <c r="AV2642"/>
    </row>
    <row r="2643" spans="41:48" x14ac:dyDescent="0.35">
      <c r="AO2643"/>
      <c r="AP2643"/>
      <c r="AQ2643"/>
      <c r="AR2643"/>
      <c r="AS2643"/>
      <c r="AT2643"/>
      <c r="AU2643"/>
      <c r="AV2643"/>
    </row>
    <row r="2644" spans="41:48" x14ac:dyDescent="0.35">
      <c r="AO2644"/>
      <c r="AP2644"/>
      <c r="AQ2644"/>
      <c r="AR2644"/>
      <c r="AS2644"/>
      <c r="AT2644"/>
      <c r="AU2644"/>
      <c r="AV2644"/>
    </row>
    <row r="2645" spans="41:48" x14ac:dyDescent="0.35">
      <c r="AO2645"/>
      <c r="AP2645"/>
      <c r="AQ2645"/>
      <c r="AR2645"/>
      <c r="AS2645"/>
      <c r="AT2645"/>
      <c r="AU2645"/>
      <c r="AV2645"/>
    </row>
    <row r="2646" spans="41:48" x14ac:dyDescent="0.35">
      <c r="AO2646"/>
      <c r="AP2646"/>
      <c r="AQ2646"/>
      <c r="AR2646"/>
      <c r="AS2646"/>
      <c r="AT2646"/>
      <c r="AU2646"/>
      <c r="AV2646"/>
    </row>
    <row r="2647" spans="41:48" x14ac:dyDescent="0.35">
      <c r="AO2647"/>
      <c r="AP2647"/>
      <c r="AQ2647"/>
      <c r="AR2647"/>
      <c r="AS2647"/>
      <c r="AT2647"/>
      <c r="AU2647"/>
      <c r="AV2647"/>
    </row>
    <row r="2648" spans="41:48" x14ac:dyDescent="0.35">
      <c r="AO2648"/>
      <c r="AP2648"/>
      <c r="AQ2648"/>
      <c r="AR2648"/>
      <c r="AS2648"/>
      <c r="AT2648"/>
      <c r="AU2648"/>
      <c r="AV2648"/>
    </row>
    <row r="2649" spans="41:48" x14ac:dyDescent="0.35">
      <c r="AO2649"/>
      <c r="AP2649"/>
      <c r="AQ2649"/>
      <c r="AR2649"/>
      <c r="AS2649"/>
      <c r="AT2649"/>
      <c r="AU2649"/>
      <c r="AV2649"/>
    </row>
    <row r="2650" spans="41:48" x14ac:dyDescent="0.35">
      <c r="AO2650"/>
      <c r="AP2650"/>
      <c r="AQ2650"/>
      <c r="AR2650"/>
      <c r="AS2650"/>
      <c r="AT2650"/>
      <c r="AU2650"/>
      <c r="AV2650"/>
    </row>
    <row r="2651" spans="41:48" x14ac:dyDescent="0.35">
      <c r="AO2651"/>
      <c r="AP2651"/>
      <c r="AQ2651"/>
      <c r="AR2651"/>
      <c r="AS2651"/>
      <c r="AT2651"/>
      <c r="AU2651"/>
      <c r="AV2651"/>
    </row>
    <row r="2652" spans="41:48" x14ac:dyDescent="0.35">
      <c r="AO2652"/>
      <c r="AP2652"/>
      <c r="AQ2652"/>
      <c r="AR2652"/>
      <c r="AS2652"/>
      <c r="AT2652"/>
      <c r="AU2652"/>
      <c r="AV2652"/>
    </row>
    <row r="2653" spans="41:48" x14ac:dyDescent="0.35">
      <c r="AO2653"/>
      <c r="AP2653"/>
      <c r="AQ2653"/>
      <c r="AR2653"/>
      <c r="AS2653"/>
      <c r="AT2653"/>
      <c r="AU2653"/>
      <c r="AV2653"/>
    </row>
    <row r="2654" spans="41:48" x14ac:dyDescent="0.35">
      <c r="AO2654"/>
      <c r="AP2654"/>
      <c r="AQ2654"/>
      <c r="AR2654"/>
      <c r="AS2654"/>
      <c r="AT2654"/>
      <c r="AU2654"/>
      <c r="AV2654"/>
    </row>
    <row r="2655" spans="41:48" x14ac:dyDescent="0.35">
      <c r="AO2655"/>
      <c r="AP2655"/>
      <c r="AQ2655"/>
      <c r="AR2655"/>
      <c r="AS2655"/>
      <c r="AT2655"/>
      <c r="AU2655"/>
      <c r="AV2655"/>
    </row>
    <row r="2656" spans="41:48" x14ac:dyDescent="0.35">
      <c r="AO2656"/>
      <c r="AP2656"/>
      <c r="AQ2656"/>
      <c r="AR2656"/>
      <c r="AS2656"/>
      <c r="AT2656"/>
      <c r="AU2656"/>
      <c r="AV2656"/>
    </row>
    <row r="2657" spans="41:48" x14ac:dyDescent="0.35">
      <c r="AO2657"/>
      <c r="AP2657"/>
      <c r="AQ2657"/>
      <c r="AR2657"/>
      <c r="AS2657"/>
      <c r="AT2657"/>
      <c r="AU2657"/>
      <c r="AV2657"/>
    </row>
    <row r="2658" spans="41:48" x14ac:dyDescent="0.35">
      <c r="AO2658"/>
      <c r="AP2658"/>
      <c r="AQ2658"/>
      <c r="AR2658"/>
      <c r="AS2658"/>
      <c r="AT2658"/>
      <c r="AU2658"/>
      <c r="AV2658"/>
    </row>
    <row r="2659" spans="41:48" x14ac:dyDescent="0.35">
      <c r="AO2659"/>
      <c r="AP2659"/>
      <c r="AQ2659"/>
      <c r="AR2659"/>
      <c r="AS2659"/>
      <c r="AT2659"/>
      <c r="AU2659"/>
      <c r="AV2659"/>
    </row>
    <row r="2660" spans="41:48" x14ac:dyDescent="0.35">
      <c r="AO2660"/>
      <c r="AP2660"/>
      <c r="AQ2660"/>
      <c r="AR2660"/>
      <c r="AS2660"/>
      <c r="AT2660"/>
      <c r="AU2660"/>
      <c r="AV2660"/>
    </row>
    <row r="2661" spans="41:48" x14ac:dyDescent="0.35">
      <c r="AO2661"/>
      <c r="AP2661"/>
      <c r="AQ2661"/>
      <c r="AR2661"/>
      <c r="AS2661"/>
      <c r="AT2661"/>
      <c r="AU2661"/>
      <c r="AV2661"/>
    </row>
    <row r="2662" spans="41:48" x14ac:dyDescent="0.35">
      <c r="AO2662"/>
      <c r="AP2662"/>
      <c r="AQ2662"/>
      <c r="AR2662"/>
      <c r="AS2662"/>
      <c r="AT2662"/>
      <c r="AU2662"/>
      <c r="AV2662"/>
    </row>
    <row r="2663" spans="41:48" x14ac:dyDescent="0.35">
      <c r="AO2663"/>
      <c r="AP2663"/>
      <c r="AQ2663"/>
      <c r="AR2663"/>
      <c r="AS2663"/>
      <c r="AT2663"/>
      <c r="AU2663"/>
      <c r="AV2663"/>
    </row>
    <row r="2664" spans="41:48" x14ac:dyDescent="0.35">
      <c r="AO2664"/>
      <c r="AP2664"/>
      <c r="AQ2664"/>
      <c r="AR2664"/>
      <c r="AS2664"/>
      <c r="AT2664"/>
      <c r="AU2664"/>
      <c r="AV2664"/>
    </row>
    <row r="2665" spans="41:48" x14ac:dyDescent="0.35">
      <c r="AO2665"/>
      <c r="AP2665"/>
      <c r="AQ2665"/>
      <c r="AR2665"/>
      <c r="AS2665"/>
      <c r="AT2665"/>
      <c r="AU2665"/>
      <c r="AV2665"/>
    </row>
    <row r="2666" spans="41:48" x14ac:dyDescent="0.35">
      <c r="AO2666"/>
      <c r="AP2666"/>
      <c r="AQ2666"/>
      <c r="AR2666"/>
      <c r="AS2666"/>
      <c r="AT2666"/>
      <c r="AU2666"/>
      <c r="AV2666"/>
    </row>
    <row r="2667" spans="41:48" x14ac:dyDescent="0.35">
      <c r="AO2667"/>
      <c r="AP2667"/>
      <c r="AQ2667"/>
      <c r="AR2667"/>
      <c r="AS2667"/>
      <c r="AT2667"/>
      <c r="AU2667"/>
      <c r="AV2667"/>
    </row>
    <row r="2668" spans="41:48" x14ac:dyDescent="0.35">
      <c r="AO2668"/>
      <c r="AP2668"/>
      <c r="AQ2668"/>
      <c r="AR2668"/>
      <c r="AS2668"/>
      <c r="AT2668"/>
      <c r="AU2668"/>
      <c r="AV2668"/>
    </row>
    <row r="2669" spans="41:48" x14ac:dyDescent="0.35">
      <c r="AO2669"/>
      <c r="AP2669"/>
      <c r="AQ2669"/>
      <c r="AR2669"/>
      <c r="AS2669"/>
      <c r="AT2669"/>
      <c r="AU2669"/>
      <c r="AV2669"/>
    </row>
    <row r="2670" spans="41:48" x14ac:dyDescent="0.35">
      <c r="AO2670"/>
      <c r="AP2670"/>
      <c r="AQ2670"/>
      <c r="AR2670"/>
      <c r="AS2670"/>
      <c r="AT2670"/>
      <c r="AU2670"/>
      <c r="AV2670"/>
    </row>
    <row r="2671" spans="41:48" x14ac:dyDescent="0.35">
      <c r="AO2671"/>
      <c r="AP2671"/>
      <c r="AQ2671"/>
      <c r="AR2671"/>
      <c r="AS2671"/>
      <c r="AT2671"/>
      <c r="AU2671"/>
      <c r="AV2671"/>
    </row>
    <row r="2672" spans="41:48" x14ac:dyDescent="0.35">
      <c r="AO2672"/>
      <c r="AP2672"/>
      <c r="AQ2672"/>
      <c r="AR2672"/>
      <c r="AS2672"/>
      <c r="AT2672"/>
      <c r="AU2672"/>
      <c r="AV2672"/>
    </row>
    <row r="2673" spans="41:48" x14ac:dyDescent="0.35">
      <c r="AO2673"/>
      <c r="AP2673"/>
      <c r="AQ2673"/>
      <c r="AR2673"/>
      <c r="AS2673"/>
      <c r="AT2673"/>
      <c r="AU2673"/>
      <c r="AV2673"/>
    </row>
    <row r="2674" spans="41:48" x14ac:dyDescent="0.35">
      <c r="AO2674"/>
      <c r="AP2674"/>
      <c r="AQ2674"/>
      <c r="AR2674"/>
      <c r="AS2674"/>
      <c r="AT2674"/>
      <c r="AU2674"/>
      <c r="AV2674"/>
    </row>
    <row r="2675" spans="41:48" x14ac:dyDescent="0.35">
      <c r="AO2675"/>
      <c r="AP2675"/>
      <c r="AQ2675"/>
      <c r="AR2675"/>
      <c r="AS2675"/>
      <c r="AT2675"/>
      <c r="AU2675"/>
      <c r="AV2675"/>
    </row>
    <row r="2676" spans="41:48" x14ac:dyDescent="0.35">
      <c r="AO2676"/>
      <c r="AP2676"/>
      <c r="AQ2676"/>
      <c r="AR2676"/>
      <c r="AS2676"/>
      <c r="AT2676"/>
      <c r="AU2676"/>
      <c r="AV2676"/>
    </row>
    <row r="2677" spans="41:48" x14ac:dyDescent="0.35">
      <c r="AO2677"/>
      <c r="AP2677"/>
      <c r="AQ2677"/>
      <c r="AR2677"/>
      <c r="AS2677"/>
      <c r="AT2677"/>
      <c r="AU2677"/>
      <c r="AV2677"/>
    </row>
    <row r="2678" spans="41:48" x14ac:dyDescent="0.35">
      <c r="AO2678"/>
      <c r="AP2678"/>
      <c r="AQ2678"/>
      <c r="AR2678"/>
      <c r="AS2678"/>
      <c r="AT2678"/>
      <c r="AU2678"/>
      <c r="AV2678"/>
    </row>
    <row r="2679" spans="41:48" x14ac:dyDescent="0.35">
      <c r="AO2679"/>
      <c r="AP2679"/>
      <c r="AQ2679"/>
      <c r="AR2679"/>
      <c r="AS2679"/>
      <c r="AT2679"/>
      <c r="AU2679"/>
      <c r="AV2679"/>
    </row>
    <row r="2680" spans="41:48" x14ac:dyDescent="0.35">
      <c r="AO2680"/>
      <c r="AP2680"/>
      <c r="AQ2680"/>
      <c r="AR2680"/>
      <c r="AS2680"/>
      <c r="AT2680"/>
      <c r="AU2680"/>
      <c r="AV2680"/>
    </row>
    <row r="2681" spans="41:48" x14ac:dyDescent="0.35">
      <c r="AO2681"/>
      <c r="AP2681"/>
      <c r="AQ2681"/>
      <c r="AR2681"/>
      <c r="AS2681"/>
      <c r="AT2681"/>
      <c r="AU2681"/>
      <c r="AV2681"/>
    </row>
    <row r="2682" spans="41:48" x14ac:dyDescent="0.35">
      <c r="AO2682"/>
      <c r="AP2682"/>
      <c r="AQ2682"/>
      <c r="AR2682"/>
      <c r="AS2682"/>
      <c r="AT2682"/>
      <c r="AU2682"/>
      <c r="AV2682"/>
    </row>
    <row r="2683" spans="41:48" x14ac:dyDescent="0.35">
      <c r="AO2683"/>
      <c r="AP2683"/>
      <c r="AQ2683"/>
      <c r="AR2683"/>
      <c r="AS2683"/>
      <c r="AT2683"/>
      <c r="AU2683"/>
      <c r="AV2683"/>
    </row>
    <row r="2684" spans="41:48" x14ac:dyDescent="0.35">
      <c r="AO2684"/>
      <c r="AP2684"/>
      <c r="AQ2684"/>
      <c r="AR2684"/>
      <c r="AS2684"/>
      <c r="AT2684"/>
      <c r="AU2684"/>
      <c r="AV2684"/>
    </row>
    <row r="2685" spans="41:48" x14ac:dyDescent="0.35">
      <c r="AO2685"/>
      <c r="AP2685"/>
      <c r="AQ2685"/>
      <c r="AR2685"/>
      <c r="AS2685"/>
      <c r="AT2685"/>
      <c r="AU2685"/>
      <c r="AV2685"/>
    </row>
    <row r="2686" spans="41:48" x14ac:dyDescent="0.35">
      <c r="AO2686"/>
      <c r="AP2686"/>
      <c r="AQ2686"/>
      <c r="AR2686"/>
      <c r="AS2686"/>
      <c r="AT2686"/>
      <c r="AU2686"/>
      <c r="AV2686"/>
    </row>
    <row r="2687" spans="41:48" x14ac:dyDescent="0.35">
      <c r="AO2687"/>
      <c r="AP2687"/>
      <c r="AQ2687"/>
      <c r="AR2687"/>
      <c r="AS2687"/>
      <c r="AT2687"/>
      <c r="AU2687"/>
      <c r="AV2687"/>
    </row>
    <row r="2688" spans="41:48" x14ac:dyDescent="0.35">
      <c r="AO2688"/>
      <c r="AP2688"/>
      <c r="AQ2688"/>
      <c r="AR2688"/>
      <c r="AS2688"/>
      <c r="AT2688"/>
      <c r="AU2688"/>
      <c r="AV2688"/>
    </row>
    <row r="2689" spans="41:48" x14ac:dyDescent="0.35">
      <c r="AO2689"/>
      <c r="AP2689"/>
      <c r="AQ2689"/>
      <c r="AR2689"/>
      <c r="AS2689"/>
      <c r="AT2689"/>
      <c r="AU2689"/>
      <c r="AV2689"/>
    </row>
    <row r="2690" spans="41:48" x14ac:dyDescent="0.35">
      <c r="AO2690"/>
      <c r="AP2690"/>
      <c r="AQ2690"/>
      <c r="AR2690"/>
      <c r="AS2690"/>
      <c r="AT2690"/>
      <c r="AU2690"/>
      <c r="AV2690"/>
    </row>
    <row r="2691" spans="41:48" x14ac:dyDescent="0.35">
      <c r="AO2691"/>
      <c r="AP2691"/>
      <c r="AQ2691"/>
      <c r="AR2691"/>
      <c r="AS2691"/>
      <c r="AT2691"/>
      <c r="AU2691"/>
      <c r="AV2691"/>
    </row>
    <row r="2692" spans="41:48" x14ac:dyDescent="0.35">
      <c r="AO2692"/>
      <c r="AP2692"/>
      <c r="AQ2692"/>
      <c r="AR2692"/>
      <c r="AS2692"/>
      <c r="AT2692"/>
      <c r="AU2692"/>
      <c r="AV2692"/>
    </row>
    <row r="2693" spans="41:48" x14ac:dyDescent="0.35">
      <c r="AO2693"/>
      <c r="AP2693"/>
      <c r="AQ2693"/>
      <c r="AR2693"/>
      <c r="AS2693"/>
      <c r="AT2693"/>
      <c r="AU2693"/>
      <c r="AV2693"/>
    </row>
    <row r="2694" spans="41:48" x14ac:dyDescent="0.35">
      <c r="AO2694"/>
      <c r="AP2694"/>
      <c r="AQ2694"/>
      <c r="AR2694"/>
      <c r="AS2694"/>
      <c r="AT2694"/>
      <c r="AU2694"/>
      <c r="AV2694"/>
    </row>
    <row r="2695" spans="41:48" x14ac:dyDescent="0.35">
      <c r="AO2695"/>
      <c r="AP2695"/>
      <c r="AQ2695"/>
      <c r="AR2695"/>
      <c r="AS2695"/>
      <c r="AT2695"/>
      <c r="AU2695"/>
      <c r="AV2695"/>
    </row>
    <row r="2696" spans="41:48" x14ac:dyDescent="0.35">
      <c r="AO2696"/>
      <c r="AP2696"/>
      <c r="AQ2696"/>
      <c r="AR2696"/>
      <c r="AS2696"/>
      <c r="AT2696"/>
      <c r="AU2696"/>
      <c r="AV2696"/>
    </row>
    <row r="2697" spans="41:48" x14ac:dyDescent="0.35">
      <c r="AO2697"/>
      <c r="AP2697"/>
      <c r="AQ2697"/>
      <c r="AR2697"/>
      <c r="AS2697"/>
      <c r="AT2697"/>
      <c r="AU2697"/>
      <c r="AV2697"/>
    </row>
    <row r="2698" spans="41:48" x14ac:dyDescent="0.35">
      <c r="AO2698"/>
      <c r="AP2698"/>
      <c r="AQ2698"/>
      <c r="AR2698"/>
      <c r="AS2698"/>
      <c r="AT2698"/>
      <c r="AU2698"/>
      <c r="AV2698"/>
    </row>
    <row r="2699" spans="41:48" x14ac:dyDescent="0.35">
      <c r="AO2699"/>
      <c r="AP2699"/>
      <c r="AQ2699"/>
      <c r="AR2699"/>
      <c r="AS2699"/>
      <c r="AT2699"/>
      <c r="AU2699"/>
      <c r="AV2699"/>
    </row>
    <row r="2700" spans="41:48" x14ac:dyDescent="0.35">
      <c r="AO2700"/>
      <c r="AP2700"/>
      <c r="AQ2700"/>
      <c r="AR2700"/>
      <c r="AS2700"/>
      <c r="AT2700"/>
      <c r="AU2700"/>
      <c r="AV2700"/>
    </row>
    <row r="2701" spans="41:48" x14ac:dyDescent="0.35">
      <c r="AO2701"/>
      <c r="AP2701"/>
      <c r="AQ2701"/>
      <c r="AR2701"/>
      <c r="AS2701"/>
      <c r="AT2701"/>
      <c r="AU2701"/>
      <c r="AV2701"/>
    </row>
    <row r="2702" spans="41:48" x14ac:dyDescent="0.35">
      <c r="AO2702"/>
      <c r="AP2702"/>
      <c r="AQ2702"/>
      <c r="AR2702"/>
      <c r="AS2702"/>
      <c r="AT2702"/>
      <c r="AU2702"/>
      <c r="AV2702"/>
    </row>
    <row r="2703" spans="41:48" x14ac:dyDescent="0.35">
      <c r="AO2703"/>
      <c r="AP2703"/>
      <c r="AQ2703"/>
      <c r="AR2703"/>
      <c r="AS2703"/>
      <c r="AT2703"/>
      <c r="AU2703"/>
      <c r="AV2703"/>
    </row>
    <row r="2704" spans="41:48" x14ac:dyDescent="0.35">
      <c r="AO2704"/>
      <c r="AP2704"/>
      <c r="AQ2704"/>
      <c r="AR2704"/>
      <c r="AS2704"/>
      <c r="AT2704"/>
      <c r="AU2704"/>
      <c r="AV2704"/>
    </row>
    <row r="2705" spans="41:48" x14ac:dyDescent="0.35">
      <c r="AO2705"/>
      <c r="AP2705"/>
      <c r="AQ2705"/>
      <c r="AR2705"/>
      <c r="AS2705"/>
      <c r="AT2705"/>
      <c r="AU2705"/>
      <c r="AV2705"/>
    </row>
    <row r="2706" spans="41:48" x14ac:dyDescent="0.35">
      <c r="AO2706"/>
      <c r="AP2706"/>
      <c r="AQ2706"/>
      <c r="AR2706"/>
      <c r="AS2706"/>
      <c r="AT2706"/>
      <c r="AU2706"/>
      <c r="AV2706"/>
    </row>
    <row r="2707" spans="41:48" x14ac:dyDescent="0.35">
      <c r="AO2707"/>
      <c r="AP2707"/>
      <c r="AQ2707"/>
      <c r="AR2707"/>
      <c r="AS2707"/>
      <c r="AT2707"/>
      <c r="AU2707"/>
      <c r="AV2707"/>
    </row>
    <row r="2708" spans="41:48" x14ac:dyDescent="0.35">
      <c r="AO2708"/>
      <c r="AP2708"/>
      <c r="AQ2708"/>
      <c r="AR2708"/>
      <c r="AS2708"/>
      <c r="AT2708"/>
      <c r="AU2708"/>
      <c r="AV2708"/>
    </row>
    <row r="2709" spans="41:48" x14ac:dyDescent="0.35">
      <c r="AO2709"/>
      <c r="AP2709"/>
      <c r="AQ2709"/>
      <c r="AR2709"/>
      <c r="AS2709"/>
      <c r="AT2709"/>
      <c r="AU2709"/>
      <c r="AV2709"/>
    </row>
    <row r="2710" spans="41:48" x14ac:dyDescent="0.35">
      <c r="AO2710"/>
      <c r="AP2710"/>
      <c r="AQ2710"/>
      <c r="AR2710"/>
      <c r="AS2710"/>
      <c r="AT2710"/>
      <c r="AU2710"/>
      <c r="AV2710"/>
    </row>
    <row r="2711" spans="41:48" x14ac:dyDescent="0.35">
      <c r="AO2711"/>
      <c r="AP2711"/>
      <c r="AQ2711"/>
      <c r="AR2711"/>
      <c r="AS2711"/>
      <c r="AT2711"/>
      <c r="AU2711"/>
      <c r="AV2711"/>
    </row>
    <row r="2712" spans="41:48" x14ac:dyDescent="0.35">
      <c r="AO2712"/>
      <c r="AP2712"/>
      <c r="AQ2712"/>
      <c r="AR2712"/>
      <c r="AS2712"/>
      <c r="AT2712"/>
      <c r="AU2712"/>
      <c r="AV2712"/>
    </row>
    <row r="2713" spans="41:48" x14ac:dyDescent="0.35">
      <c r="AO2713"/>
      <c r="AP2713"/>
      <c r="AQ2713"/>
      <c r="AR2713"/>
      <c r="AS2713"/>
      <c r="AT2713"/>
      <c r="AU2713"/>
      <c r="AV2713"/>
    </row>
    <row r="2714" spans="41:48" x14ac:dyDescent="0.35">
      <c r="AO2714"/>
      <c r="AP2714"/>
      <c r="AQ2714"/>
      <c r="AR2714"/>
      <c r="AS2714"/>
      <c r="AT2714"/>
      <c r="AU2714"/>
      <c r="AV2714"/>
    </row>
    <row r="2715" spans="41:48" x14ac:dyDescent="0.35">
      <c r="AO2715"/>
      <c r="AP2715"/>
      <c r="AQ2715"/>
      <c r="AR2715"/>
      <c r="AS2715"/>
      <c r="AT2715"/>
      <c r="AU2715"/>
      <c r="AV2715"/>
    </row>
    <row r="2716" spans="41:48" x14ac:dyDescent="0.35">
      <c r="AO2716"/>
      <c r="AP2716"/>
      <c r="AQ2716"/>
      <c r="AR2716"/>
      <c r="AS2716"/>
      <c r="AT2716"/>
      <c r="AU2716"/>
      <c r="AV2716"/>
    </row>
    <row r="2717" spans="41:48" x14ac:dyDescent="0.35">
      <c r="AO2717"/>
      <c r="AP2717"/>
      <c r="AQ2717"/>
      <c r="AR2717"/>
      <c r="AS2717"/>
      <c r="AT2717"/>
      <c r="AU2717"/>
      <c r="AV2717"/>
    </row>
    <row r="2718" spans="41:48" x14ac:dyDescent="0.35">
      <c r="AO2718"/>
      <c r="AP2718"/>
      <c r="AQ2718"/>
      <c r="AR2718"/>
      <c r="AS2718"/>
      <c r="AT2718"/>
      <c r="AU2718"/>
      <c r="AV2718"/>
    </row>
    <row r="2719" spans="41:48" x14ac:dyDescent="0.35">
      <c r="AO2719"/>
      <c r="AP2719"/>
      <c r="AQ2719"/>
      <c r="AR2719"/>
      <c r="AS2719"/>
      <c r="AT2719"/>
      <c r="AU2719"/>
      <c r="AV2719"/>
    </row>
    <row r="2720" spans="41:48" x14ac:dyDescent="0.35">
      <c r="AO2720"/>
      <c r="AP2720"/>
      <c r="AQ2720"/>
      <c r="AR2720"/>
      <c r="AS2720"/>
      <c r="AT2720"/>
      <c r="AU2720"/>
      <c r="AV2720"/>
    </row>
    <row r="2721" spans="41:48" x14ac:dyDescent="0.35">
      <c r="AO2721"/>
      <c r="AP2721"/>
      <c r="AQ2721"/>
      <c r="AR2721"/>
      <c r="AS2721"/>
      <c r="AT2721"/>
      <c r="AU2721"/>
      <c r="AV2721"/>
    </row>
    <row r="2722" spans="41:48" x14ac:dyDescent="0.35">
      <c r="AO2722"/>
      <c r="AP2722"/>
      <c r="AQ2722"/>
      <c r="AR2722"/>
      <c r="AS2722"/>
      <c r="AT2722"/>
      <c r="AU2722"/>
      <c r="AV2722"/>
    </row>
    <row r="2723" spans="41:48" x14ac:dyDescent="0.35">
      <c r="AO2723"/>
      <c r="AP2723"/>
      <c r="AQ2723"/>
      <c r="AR2723"/>
      <c r="AS2723"/>
      <c r="AT2723"/>
      <c r="AU2723"/>
      <c r="AV2723"/>
    </row>
    <row r="2724" spans="41:48" x14ac:dyDescent="0.35">
      <c r="AO2724"/>
      <c r="AP2724"/>
      <c r="AQ2724"/>
      <c r="AR2724"/>
      <c r="AS2724"/>
      <c r="AT2724"/>
      <c r="AU2724"/>
      <c r="AV2724"/>
    </row>
    <row r="2725" spans="41:48" x14ac:dyDescent="0.35">
      <c r="AO2725"/>
      <c r="AP2725"/>
      <c r="AQ2725"/>
      <c r="AR2725"/>
      <c r="AS2725"/>
      <c r="AT2725"/>
      <c r="AU2725"/>
      <c r="AV2725"/>
    </row>
    <row r="2726" spans="41:48" x14ac:dyDescent="0.35">
      <c r="AO2726"/>
      <c r="AP2726"/>
      <c r="AQ2726"/>
      <c r="AR2726"/>
      <c r="AS2726"/>
      <c r="AT2726"/>
      <c r="AU2726"/>
      <c r="AV2726"/>
    </row>
    <row r="2727" spans="41:48" x14ac:dyDescent="0.35">
      <c r="AO2727"/>
      <c r="AP2727"/>
      <c r="AQ2727"/>
      <c r="AR2727"/>
      <c r="AS2727"/>
      <c r="AT2727"/>
      <c r="AU2727"/>
      <c r="AV2727"/>
    </row>
    <row r="2728" spans="41:48" x14ac:dyDescent="0.35">
      <c r="AO2728"/>
      <c r="AP2728"/>
      <c r="AQ2728"/>
      <c r="AR2728"/>
      <c r="AS2728"/>
      <c r="AT2728"/>
      <c r="AU2728"/>
      <c r="AV2728"/>
    </row>
    <row r="2729" spans="41:48" x14ac:dyDescent="0.35">
      <c r="AO2729"/>
      <c r="AP2729"/>
      <c r="AQ2729"/>
      <c r="AR2729"/>
      <c r="AS2729"/>
      <c r="AT2729"/>
      <c r="AU2729"/>
      <c r="AV2729"/>
    </row>
    <row r="2730" spans="41:48" x14ac:dyDescent="0.35">
      <c r="AO2730"/>
      <c r="AP2730"/>
      <c r="AQ2730"/>
      <c r="AR2730"/>
      <c r="AS2730"/>
      <c r="AT2730"/>
      <c r="AU2730"/>
      <c r="AV2730"/>
    </row>
    <row r="2731" spans="41:48" x14ac:dyDescent="0.35">
      <c r="AO2731"/>
      <c r="AP2731"/>
      <c r="AQ2731"/>
      <c r="AR2731"/>
      <c r="AS2731"/>
      <c r="AT2731"/>
      <c r="AU2731"/>
      <c r="AV2731"/>
    </row>
    <row r="2732" spans="41:48" x14ac:dyDescent="0.35">
      <c r="AO2732"/>
      <c r="AP2732"/>
      <c r="AQ2732"/>
      <c r="AR2732"/>
      <c r="AS2732"/>
      <c r="AT2732"/>
      <c r="AU2732"/>
      <c r="AV2732"/>
    </row>
    <row r="2733" spans="41:48" x14ac:dyDescent="0.35">
      <c r="AO2733"/>
      <c r="AP2733"/>
      <c r="AQ2733"/>
      <c r="AR2733"/>
      <c r="AS2733"/>
      <c r="AT2733"/>
      <c r="AU2733"/>
      <c r="AV2733"/>
    </row>
    <row r="2734" spans="41:48" x14ac:dyDescent="0.35">
      <c r="AO2734"/>
      <c r="AP2734"/>
      <c r="AQ2734"/>
      <c r="AR2734"/>
      <c r="AS2734"/>
      <c r="AT2734"/>
      <c r="AU2734"/>
      <c r="AV2734"/>
    </row>
    <row r="2735" spans="41:48" x14ac:dyDescent="0.35">
      <c r="AO2735"/>
      <c r="AP2735"/>
      <c r="AQ2735"/>
      <c r="AR2735"/>
      <c r="AS2735"/>
      <c r="AT2735"/>
      <c r="AU2735"/>
      <c r="AV2735"/>
    </row>
    <row r="2736" spans="41:48" x14ac:dyDescent="0.35">
      <c r="AO2736"/>
      <c r="AP2736"/>
      <c r="AQ2736"/>
      <c r="AR2736"/>
      <c r="AS2736"/>
      <c r="AT2736"/>
      <c r="AU2736"/>
      <c r="AV2736"/>
    </row>
    <row r="2737" spans="41:48" x14ac:dyDescent="0.35">
      <c r="AO2737"/>
      <c r="AP2737"/>
      <c r="AQ2737"/>
      <c r="AR2737"/>
      <c r="AS2737"/>
      <c r="AT2737"/>
      <c r="AU2737"/>
      <c r="AV2737"/>
    </row>
    <row r="2738" spans="41:48" x14ac:dyDescent="0.35">
      <c r="AO2738"/>
      <c r="AP2738"/>
      <c r="AQ2738"/>
      <c r="AR2738"/>
      <c r="AS2738"/>
      <c r="AT2738"/>
      <c r="AU2738"/>
      <c r="AV2738"/>
    </row>
    <row r="2739" spans="41:48" x14ac:dyDescent="0.35">
      <c r="AO2739"/>
      <c r="AP2739"/>
      <c r="AQ2739"/>
      <c r="AR2739"/>
      <c r="AS2739"/>
      <c r="AT2739"/>
      <c r="AU2739"/>
      <c r="AV2739"/>
    </row>
    <row r="2740" spans="41:48" x14ac:dyDescent="0.35">
      <c r="AO2740"/>
      <c r="AP2740"/>
      <c r="AQ2740"/>
      <c r="AR2740"/>
      <c r="AS2740"/>
      <c r="AT2740"/>
      <c r="AU2740"/>
      <c r="AV2740"/>
    </row>
    <row r="2741" spans="41:48" x14ac:dyDescent="0.35">
      <c r="AO2741"/>
      <c r="AP2741"/>
      <c r="AQ2741"/>
      <c r="AR2741"/>
      <c r="AS2741"/>
      <c r="AT2741"/>
      <c r="AU2741"/>
      <c r="AV2741"/>
    </row>
    <row r="2742" spans="41:48" x14ac:dyDescent="0.35">
      <c r="AO2742"/>
      <c r="AP2742"/>
      <c r="AQ2742"/>
      <c r="AR2742"/>
      <c r="AS2742"/>
      <c r="AT2742"/>
      <c r="AU2742"/>
      <c r="AV2742"/>
    </row>
    <row r="2743" spans="41:48" x14ac:dyDescent="0.35">
      <c r="AO2743"/>
      <c r="AP2743"/>
      <c r="AQ2743"/>
      <c r="AR2743"/>
      <c r="AS2743"/>
      <c r="AT2743"/>
      <c r="AU2743"/>
      <c r="AV2743"/>
    </row>
    <row r="2744" spans="41:48" x14ac:dyDescent="0.35">
      <c r="AO2744"/>
      <c r="AP2744"/>
      <c r="AQ2744"/>
      <c r="AR2744"/>
      <c r="AS2744"/>
      <c r="AT2744"/>
      <c r="AU2744"/>
      <c r="AV2744"/>
    </row>
    <row r="2745" spans="41:48" x14ac:dyDescent="0.35">
      <c r="AO2745"/>
      <c r="AP2745"/>
      <c r="AQ2745"/>
      <c r="AR2745"/>
      <c r="AS2745"/>
      <c r="AT2745"/>
      <c r="AU2745"/>
      <c r="AV2745"/>
    </row>
    <row r="2746" spans="41:48" x14ac:dyDescent="0.35">
      <c r="AO2746"/>
      <c r="AP2746"/>
      <c r="AQ2746"/>
      <c r="AR2746"/>
      <c r="AS2746"/>
      <c r="AT2746"/>
      <c r="AU2746"/>
      <c r="AV2746"/>
    </row>
    <row r="2747" spans="41:48" x14ac:dyDescent="0.35">
      <c r="AO2747"/>
      <c r="AP2747"/>
      <c r="AQ2747"/>
      <c r="AR2747"/>
      <c r="AS2747"/>
      <c r="AT2747"/>
      <c r="AU2747"/>
      <c r="AV2747"/>
    </row>
    <row r="2748" spans="41:48" x14ac:dyDescent="0.35">
      <c r="AO2748"/>
      <c r="AP2748"/>
      <c r="AQ2748"/>
      <c r="AR2748"/>
      <c r="AS2748"/>
      <c r="AT2748"/>
      <c r="AU2748"/>
      <c r="AV2748"/>
    </row>
    <row r="2749" spans="41:48" x14ac:dyDescent="0.35">
      <c r="AO2749"/>
      <c r="AP2749"/>
      <c r="AQ2749"/>
      <c r="AR2749"/>
      <c r="AS2749"/>
      <c r="AT2749"/>
      <c r="AU2749"/>
      <c r="AV2749"/>
    </row>
    <row r="2750" spans="41:48" x14ac:dyDescent="0.35">
      <c r="AO2750"/>
      <c r="AP2750"/>
      <c r="AQ2750"/>
      <c r="AR2750"/>
      <c r="AS2750"/>
      <c r="AT2750"/>
      <c r="AU2750"/>
      <c r="AV2750"/>
    </row>
    <row r="2751" spans="41:48" x14ac:dyDescent="0.35">
      <c r="AO2751"/>
      <c r="AP2751"/>
      <c r="AQ2751"/>
      <c r="AR2751"/>
      <c r="AS2751"/>
      <c r="AT2751"/>
      <c r="AU2751"/>
      <c r="AV2751"/>
    </row>
    <row r="2752" spans="41:48" x14ac:dyDescent="0.35">
      <c r="AO2752"/>
      <c r="AP2752"/>
      <c r="AQ2752"/>
      <c r="AR2752"/>
      <c r="AS2752"/>
      <c r="AT2752"/>
      <c r="AU2752"/>
      <c r="AV2752"/>
    </row>
    <row r="2753" spans="41:48" x14ac:dyDescent="0.35">
      <c r="AO2753"/>
      <c r="AP2753"/>
      <c r="AQ2753"/>
      <c r="AR2753"/>
      <c r="AS2753"/>
      <c r="AT2753"/>
      <c r="AU2753"/>
      <c r="AV2753"/>
    </row>
    <row r="2754" spans="41:48" x14ac:dyDescent="0.35">
      <c r="AO2754"/>
      <c r="AP2754"/>
      <c r="AQ2754"/>
      <c r="AR2754"/>
      <c r="AS2754"/>
      <c r="AT2754"/>
      <c r="AU2754"/>
      <c r="AV2754"/>
    </row>
    <row r="2755" spans="41:48" x14ac:dyDescent="0.35">
      <c r="AO2755"/>
      <c r="AP2755"/>
      <c r="AQ2755"/>
      <c r="AR2755"/>
      <c r="AS2755"/>
      <c r="AT2755"/>
      <c r="AU2755"/>
      <c r="AV2755"/>
    </row>
    <row r="2756" spans="41:48" x14ac:dyDescent="0.35">
      <c r="AO2756"/>
      <c r="AP2756"/>
      <c r="AQ2756"/>
      <c r="AR2756"/>
      <c r="AS2756"/>
      <c r="AT2756"/>
      <c r="AU2756"/>
      <c r="AV2756"/>
    </row>
    <row r="2757" spans="41:48" x14ac:dyDescent="0.35">
      <c r="AO2757"/>
      <c r="AP2757"/>
      <c r="AQ2757"/>
      <c r="AR2757"/>
      <c r="AS2757"/>
      <c r="AT2757"/>
      <c r="AU2757"/>
      <c r="AV2757"/>
    </row>
    <row r="2758" spans="41:48" x14ac:dyDescent="0.35">
      <c r="AO2758"/>
      <c r="AP2758"/>
      <c r="AQ2758"/>
      <c r="AR2758"/>
      <c r="AS2758"/>
      <c r="AT2758"/>
      <c r="AU2758"/>
      <c r="AV2758"/>
    </row>
    <row r="2759" spans="41:48" x14ac:dyDescent="0.35">
      <c r="AO2759"/>
      <c r="AP2759"/>
      <c r="AQ2759"/>
      <c r="AR2759"/>
      <c r="AS2759"/>
      <c r="AT2759"/>
      <c r="AU2759"/>
      <c r="AV2759"/>
    </row>
    <row r="2760" spans="41:48" x14ac:dyDescent="0.35">
      <c r="AO2760"/>
      <c r="AP2760"/>
      <c r="AQ2760"/>
      <c r="AR2760"/>
      <c r="AS2760"/>
      <c r="AT2760"/>
      <c r="AU2760"/>
      <c r="AV2760"/>
    </row>
    <row r="2761" spans="41:48" x14ac:dyDescent="0.35">
      <c r="AO2761"/>
      <c r="AP2761"/>
      <c r="AQ2761"/>
      <c r="AR2761"/>
      <c r="AS2761"/>
      <c r="AT2761"/>
      <c r="AU2761"/>
      <c r="AV2761"/>
    </row>
    <row r="2762" spans="41:48" x14ac:dyDescent="0.35">
      <c r="AO2762"/>
      <c r="AP2762"/>
      <c r="AQ2762"/>
      <c r="AR2762"/>
      <c r="AS2762"/>
      <c r="AT2762"/>
      <c r="AU2762"/>
      <c r="AV2762"/>
    </row>
    <row r="2763" spans="41:48" x14ac:dyDescent="0.35">
      <c r="AO2763"/>
      <c r="AP2763"/>
      <c r="AQ2763"/>
      <c r="AR2763"/>
      <c r="AS2763"/>
      <c r="AT2763"/>
      <c r="AU2763"/>
      <c r="AV2763"/>
    </row>
    <row r="2764" spans="41:48" x14ac:dyDescent="0.35">
      <c r="AO2764"/>
      <c r="AP2764"/>
      <c r="AQ2764"/>
      <c r="AR2764"/>
      <c r="AS2764"/>
      <c r="AT2764"/>
      <c r="AU2764"/>
      <c r="AV2764"/>
    </row>
    <row r="2765" spans="41:48" x14ac:dyDescent="0.35">
      <c r="AO2765"/>
      <c r="AP2765"/>
      <c r="AQ2765"/>
      <c r="AR2765"/>
      <c r="AS2765"/>
      <c r="AT2765"/>
      <c r="AU2765"/>
      <c r="AV2765"/>
    </row>
    <row r="2766" spans="41:48" x14ac:dyDescent="0.35">
      <c r="AO2766"/>
      <c r="AP2766"/>
      <c r="AQ2766"/>
      <c r="AR2766"/>
      <c r="AS2766"/>
      <c r="AT2766"/>
      <c r="AU2766"/>
      <c r="AV2766"/>
    </row>
    <row r="2767" spans="41:48" x14ac:dyDescent="0.35">
      <c r="AO2767"/>
      <c r="AP2767"/>
      <c r="AQ2767"/>
      <c r="AR2767"/>
      <c r="AS2767"/>
      <c r="AT2767"/>
      <c r="AU2767"/>
      <c r="AV2767"/>
    </row>
    <row r="2768" spans="41:48" x14ac:dyDescent="0.35">
      <c r="AO2768"/>
      <c r="AP2768"/>
      <c r="AQ2768"/>
      <c r="AR2768"/>
      <c r="AS2768"/>
      <c r="AT2768"/>
      <c r="AU2768"/>
      <c r="AV2768"/>
    </row>
    <row r="2769" spans="41:48" x14ac:dyDescent="0.35">
      <c r="AO2769"/>
      <c r="AP2769"/>
      <c r="AQ2769"/>
      <c r="AR2769"/>
      <c r="AS2769"/>
      <c r="AT2769"/>
      <c r="AU2769"/>
      <c r="AV2769"/>
    </row>
    <row r="2770" spans="41:48" x14ac:dyDescent="0.35">
      <c r="AO2770"/>
      <c r="AP2770"/>
      <c r="AQ2770"/>
      <c r="AR2770"/>
      <c r="AS2770"/>
      <c r="AT2770"/>
      <c r="AU2770"/>
      <c r="AV2770"/>
    </row>
    <row r="2771" spans="41:48" x14ac:dyDescent="0.35">
      <c r="AO2771"/>
      <c r="AP2771"/>
      <c r="AQ2771"/>
      <c r="AR2771"/>
      <c r="AS2771"/>
      <c r="AT2771"/>
      <c r="AU2771"/>
      <c r="AV2771"/>
    </row>
    <row r="2772" spans="41:48" x14ac:dyDescent="0.35">
      <c r="AO2772"/>
      <c r="AP2772"/>
      <c r="AQ2772"/>
      <c r="AR2772"/>
      <c r="AS2772"/>
      <c r="AT2772"/>
      <c r="AU2772"/>
      <c r="AV2772"/>
    </row>
    <row r="2773" spans="41:48" x14ac:dyDescent="0.35">
      <c r="AO2773"/>
      <c r="AP2773"/>
      <c r="AQ2773"/>
      <c r="AR2773"/>
      <c r="AS2773"/>
      <c r="AT2773"/>
      <c r="AU2773"/>
      <c r="AV2773"/>
    </row>
    <row r="2774" spans="41:48" x14ac:dyDescent="0.35">
      <c r="AO2774"/>
      <c r="AP2774"/>
      <c r="AQ2774"/>
      <c r="AR2774"/>
      <c r="AS2774"/>
      <c r="AT2774"/>
      <c r="AU2774"/>
      <c r="AV2774"/>
    </row>
    <row r="2775" spans="41:48" x14ac:dyDescent="0.35">
      <c r="AO2775"/>
      <c r="AP2775"/>
      <c r="AQ2775"/>
      <c r="AR2775"/>
      <c r="AS2775"/>
      <c r="AT2775"/>
      <c r="AU2775"/>
      <c r="AV2775"/>
    </row>
    <row r="2776" spans="41:48" x14ac:dyDescent="0.35">
      <c r="AO2776"/>
      <c r="AP2776"/>
      <c r="AQ2776"/>
      <c r="AR2776"/>
      <c r="AS2776"/>
      <c r="AT2776"/>
      <c r="AU2776"/>
      <c r="AV2776"/>
    </row>
    <row r="2777" spans="41:48" x14ac:dyDescent="0.35">
      <c r="AO2777"/>
      <c r="AP2777"/>
      <c r="AQ2777"/>
      <c r="AR2777"/>
      <c r="AS2777"/>
      <c r="AT2777"/>
      <c r="AU2777"/>
      <c r="AV2777"/>
    </row>
    <row r="2778" spans="41:48" x14ac:dyDescent="0.35">
      <c r="AO2778"/>
      <c r="AP2778"/>
      <c r="AQ2778"/>
      <c r="AR2778"/>
      <c r="AS2778"/>
      <c r="AT2778"/>
      <c r="AU2778"/>
      <c r="AV2778"/>
    </row>
    <row r="2779" spans="41:48" x14ac:dyDescent="0.35">
      <c r="AO2779"/>
      <c r="AP2779"/>
      <c r="AQ2779"/>
      <c r="AR2779"/>
      <c r="AS2779"/>
      <c r="AT2779"/>
      <c r="AU2779"/>
      <c r="AV2779"/>
    </row>
    <row r="2780" spans="41:48" x14ac:dyDescent="0.35">
      <c r="AO2780"/>
      <c r="AP2780"/>
      <c r="AQ2780"/>
      <c r="AR2780"/>
      <c r="AS2780"/>
      <c r="AT2780"/>
      <c r="AU2780"/>
      <c r="AV2780"/>
    </row>
    <row r="2781" spans="41:48" x14ac:dyDescent="0.35">
      <c r="AO2781"/>
      <c r="AP2781"/>
      <c r="AQ2781"/>
      <c r="AR2781"/>
      <c r="AS2781"/>
      <c r="AT2781"/>
      <c r="AU2781"/>
      <c r="AV2781"/>
    </row>
    <row r="2782" spans="41:48" x14ac:dyDescent="0.35">
      <c r="AO2782"/>
      <c r="AP2782"/>
      <c r="AQ2782"/>
      <c r="AR2782"/>
      <c r="AS2782"/>
      <c r="AT2782"/>
      <c r="AU2782"/>
      <c r="AV2782"/>
    </row>
    <row r="2783" spans="41:48" x14ac:dyDescent="0.35">
      <c r="AO2783"/>
      <c r="AP2783"/>
      <c r="AQ2783"/>
      <c r="AR2783"/>
      <c r="AS2783"/>
      <c r="AT2783"/>
      <c r="AU2783"/>
      <c r="AV2783"/>
    </row>
    <row r="2784" spans="41:48" x14ac:dyDescent="0.35">
      <c r="AO2784"/>
      <c r="AP2784"/>
      <c r="AQ2784"/>
      <c r="AR2784"/>
      <c r="AS2784"/>
      <c r="AT2784"/>
      <c r="AU2784"/>
      <c r="AV2784"/>
    </row>
    <row r="2785" spans="41:48" x14ac:dyDescent="0.35">
      <c r="AO2785"/>
      <c r="AP2785"/>
      <c r="AQ2785"/>
      <c r="AR2785"/>
      <c r="AS2785"/>
      <c r="AT2785"/>
      <c r="AU2785"/>
      <c r="AV2785"/>
    </row>
    <row r="2786" spans="41:48" x14ac:dyDescent="0.35">
      <c r="AO2786"/>
      <c r="AP2786"/>
      <c r="AQ2786"/>
      <c r="AR2786"/>
      <c r="AS2786"/>
      <c r="AT2786"/>
      <c r="AU2786"/>
      <c r="AV2786"/>
    </row>
    <row r="2787" spans="41:48" x14ac:dyDescent="0.35">
      <c r="AO2787"/>
      <c r="AP2787"/>
      <c r="AQ2787"/>
      <c r="AR2787"/>
      <c r="AS2787"/>
      <c r="AT2787"/>
      <c r="AU2787"/>
      <c r="AV2787"/>
    </row>
    <row r="2788" spans="41:48" x14ac:dyDescent="0.35">
      <c r="AO2788"/>
      <c r="AP2788"/>
      <c r="AQ2788"/>
      <c r="AR2788"/>
      <c r="AS2788"/>
      <c r="AT2788"/>
      <c r="AU2788"/>
      <c r="AV2788"/>
    </row>
    <row r="2789" spans="41:48" x14ac:dyDescent="0.35">
      <c r="AO2789"/>
      <c r="AP2789"/>
      <c r="AQ2789"/>
      <c r="AR2789"/>
      <c r="AS2789"/>
      <c r="AT2789"/>
      <c r="AU2789"/>
      <c r="AV2789"/>
    </row>
    <row r="2790" spans="41:48" x14ac:dyDescent="0.35">
      <c r="AO2790"/>
      <c r="AP2790"/>
      <c r="AQ2790"/>
      <c r="AR2790"/>
      <c r="AS2790"/>
      <c r="AT2790"/>
      <c r="AU2790"/>
      <c r="AV2790"/>
    </row>
    <row r="2791" spans="41:48" x14ac:dyDescent="0.35">
      <c r="AO2791"/>
      <c r="AP2791"/>
      <c r="AQ2791"/>
      <c r="AR2791"/>
      <c r="AS2791"/>
      <c r="AT2791"/>
      <c r="AU2791"/>
      <c r="AV2791"/>
    </row>
    <row r="2792" spans="41:48" x14ac:dyDescent="0.35">
      <c r="AO2792"/>
      <c r="AP2792"/>
      <c r="AQ2792"/>
      <c r="AR2792"/>
      <c r="AS2792"/>
      <c r="AT2792"/>
      <c r="AU2792"/>
      <c r="AV2792"/>
    </row>
    <row r="2793" spans="41:48" x14ac:dyDescent="0.35">
      <c r="AO2793"/>
      <c r="AP2793"/>
      <c r="AQ2793"/>
      <c r="AR2793"/>
      <c r="AS2793"/>
      <c r="AT2793"/>
      <c r="AU2793"/>
      <c r="AV2793"/>
    </row>
    <row r="2794" spans="41:48" x14ac:dyDescent="0.35">
      <c r="AO2794"/>
      <c r="AP2794"/>
      <c r="AQ2794"/>
      <c r="AR2794"/>
      <c r="AS2794"/>
      <c r="AT2794"/>
      <c r="AU2794"/>
      <c r="AV2794"/>
    </row>
    <row r="2795" spans="41:48" x14ac:dyDescent="0.35">
      <c r="AO2795"/>
      <c r="AP2795"/>
      <c r="AQ2795"/>
      <c r="AR2795"/>
      <c r="AS2795"/>
      <c r="AT2795"/>
      <c r="AU2795"/>
      <c r="AV2795"/>
    </row>
    <row r="2796" spans="41:48" x14ac:dyDescent="0.35">
      <c r="AO2796"/>
      <c r="AP2796"/>
      <c r="AQ2796"/>
      <c r="AR2796"/>
      <c r="AS2796"/>
      <c r="AT2796"/>
      <c r="AU2796"/>
      <c r="AV2796"/>
    </row>
    <row r="2797" spans="41:48" x14ac:dyDescent="0.35">
      <c r="AO2797"/>
      <c r="AP2797"/>
      <c r="AQ2797"/>
      <c r="AR2797"/>
      <c r="AS2797"/>
      <c r="AT2797"/>
      <c r="AU2797"/>
      <c r="AV2797"/>
    </row>
    <row r="2798" spans="41:48" x14ac:dyDescent="0.35">
      <c r="AO2798"/>
      <c r="AP2798"/>
      <c r="AQ2798"/>
      <c r="AR2798"/>
      <c r="AS2798"/>
      <c r="AT2798"/>
      <c r="AU2798"/>
      <c r="AV2798"/>
    </row>
    <row r="2799" spans="41:48" x14ac:dyDescent="0.35">
      <c r="AO2799"/>
      <c r="AP2799"/>
      <c r="AQ2799"/>
      <c r="AR2799"/>
      <c r="AS2799"/>
      <c r="AT2799"/>
      <c r="AU2799"/>
      <c r="AV2799"/>
    </row>
    <row r="2800" spans="41:48" x14ac:dyDescent="0.35">
      <c r="AO2800"/>
      <c r="AP2800"/>
      <c r="AQ2800"/>
      <c r="AR2800"/>
      <c r="AS2800"/>
      <c r="AT2800"/>
      <c r="AU2800"/>
      <c r="AV2800"/>
    </row>
    <row r="2801" spans="41:48" x14ac:dyDescent="0.35">
      <c r="AO2801"/>
      <c r="AP2801"/>
      <c r="AQ2801"/>
      <c r="AR2801"/>
      <c r="AS2801"/>
      <c r="AT2801"/>
      <c r="AU2801"/>
      <c r="AV2801"/>
    </row>
    <row r="2802" spans="41:48" x14ac:dyDescent="0.35">
      <c r="AO2802"/>
      <c r="AP2802"/>
      <c r="AQ2802"/>
      <c r="AR2802"/>
      <c r="AS2802"/>
      <c r="AT2802"/>
      <c r="AU2802"/>
      <c r="AV2802"/>
    </row>
    <row r="2803" spans="41:48" x14ac:dyDescent="0.35">
      <c r="AO2803"/>
      <c r="AP2803"/>
      <c r="AQ2803"/>
      <c r="AR2803"/>
      <c r="AS2803"/>
      <c r="AT2803"/>
      <c r="AU2803"/>
      <c r="AV2803"/>
    </row>
    <row r="2804" spans="41:48" x14ac:dyDescent="0.35">
      <c r="AO2804"/>
      <c r="AP2804"/>
      <c r="AQ2804"/>
      <c r="AR2804"/>
      <c r="AS2804"/>
      <c r="AT2804"/>
      <c r="AU2804"/>
      <c r="AV2804"/>
    </row>
    <row r="2805" spans="41:48" x14ac:dyDescent="0.35">
      <c r="AO2805"/>
      <c r="AP2805"/>
      <c r="AQ2805"/>
      <c r="AR2805"/>
      <c r="AS2805"/>
      <c r="AT2805"/>
      <c r="AU2805"/>
      <c r="AV2805"/>
    </row>
    <row r="2806" spans="41:48" x14ac:dyDescent="0.35">
      <c r="AO2806"/>
      <c r="AP2806"/>
      <c r="AQ2806"/>
      <c r="AR2806"/>
      <c r="AS2806"/>
      <c r="AT2806"/>
      <c r="AU2806"/>
      <c r="AV2806"/>
    </row>
    <row r="2807" spans="41:48" x14ac:dyDescent="0.35">
      <c r="AO2807"/>
      <c r="AP2807"/>
      <c r="AQ2807"/>
      <c r="AR2807"/>
      <c r="AS2807"/>
      <c r="AT2807"/>
      <c r="AU2807"/>
      <c r="AV2807"/>
    </row>
    <row r="2808" spans="41:48" x14ac:dyDescent="0.35">
      <c r="AO2808"/>
      <c r="AP2808"/>
      <c r="AQ2808"/>
      <c r="AR2808"/>
      <c r="AS2808"/>
      <c r="AT2808"/>
      <c r="AU2808"/>
      <c r="AV2808"/>
    </row>
    <row r="2809" spans="41:48" x14ac:dyDescent="0.35">
      <c r="AO2809"/>
      <c r="AP2809"/>
      <c r="AQ2809"/>
      <c r="AR2809"/>
      <c r="AS2809"/>
      <c r="AT2809"/>
      <c r="AU2809"/>
      <c r="AV2809"/>
    </row>
    <row r="2810" spans="41:48" x14ac:dyDescent="0.35">
      <c r="AO2810"/>
      <c r="AP2810"/>
      <c r="AQ2810"/>
      <c r="AR2810"/>
      <c r="AS2810"/>
      <c r="AT2810"/>
      <c r="AU2810"/>
      <c r="AV2810"/>
    </row>
    <row r="2811" spans="41:48" x14ac:dyDescent="0.35">
      <c r="AO2811"/>
      <c r="AP2811"/>
      <c r="AQ2811"/>
      <c r="AR2811"/>
      <c r="AS2811"/>
      <c r="AT2811"/>
      <c r="AU2811"/>
      <c r="AV2811"/>
    </row>
    <row r="2812" spans="41:48" x14ac:dyDescent="0.35">
      <c r="AO2812"/>
      <c r="AP2812"/>
      <c r="AQ2812"/>
      <c r="AR2812"/>
      <c r="AS2812"/>
      <c r="AT2812"/>
      <c r="AU2812"/>
      <c r="AV2812"/>
    </row>
    <row r="2813" spans="41:48" x14ac:dyDescent="0.35">
      <c r="AO2813"/>
      <c r="AP2813"/>
      <c r="AQ2813"/>
      <c r="AR2813"/>
      <c r="AS2813"/>
      <c r="AT2813"/>
      <c r="AU2813"/>
      <c r="AV2813"/>
    </row>
    <row r="2814" spans="41:48" x14ac:dyDescent="0.35">
      <c r="AO2814"/>
      <c r="AP2814"/>
      <c r="AQ2814"/>
      <c r="AR2814"/>
      <c r="AS2814"/>
      <c r="AT2814"/>
      <c r="AU2814"/>
      <c r="AV2814"/>
    </row>
    <row r="2815" spans="41:48" x14ac:dyDescent="0.35">
      <c r="AO2815"/>
      <c r="AP2815"/>
      <c r="AQ2815"/>
      <c r="AR2815"/>
      <c r="AS2815"/>
      <c r="AT2815"/>
      <c r="AU2815"/>
      <c r="AV2815"/>
    </row>
    <row r="2816" spans="41:48" x14ac:dyDescent="0.35">
      <c r="AO2816"/>
      <c r="AP2816"/>
      <c r="AQ2816"/>
      <c r="AR2816"/>
      <c r="AS2816"/>
      <c r="AT2816"/>
      <c r="AU2816"/>
      <c r="AV2816"/>
    </row>
    <row r="2817" spans="41:48" x14ac:dyDescent="0.35">
      <c r="AO2817"/>
      <c r="AP2817"/>
      <c r="AQ2817"/>
      <c r="AR2817"/>
      <c r="AS2817"/>
      <c r="AT2817"/>
      <c r="AU2817"/>
      <c r="AV2817"/>
    </row>
    <row r="2818" spans="41:48" x14ac:dyDescent="0.35">
      <c r="AO2818"/>
      <c r="AP2818"/>
      <c r="AQ2818"/>
      <c r="AR2818"/>
      <c r="AS2818"/>
      <c r="AT2818"/>
      <c r="AU2818"/>
      <c r="AV2818"/>
    </row>
    <row r="2819" spans="41:48" x14ac:dyDescent="0.35">
      <c r="AO2819"/>
      <c r="AP2819"/>
      <c r="AQ2819"/>
      <c r="AR2819"/>
      <c r="AS2819"/>
      <c r="AT2819"/>
      <c r="AU2819"/>
      <c r="AV2819"/>
    </row>
    <row r="2820" spans="41:48" x14ac:dyDescent="0.35">
      <c r="AO2820"/>
      <c r="AP2820"/>
      <c r="AQ2820"/>
      <c r="AR2820"/>
      <c r="AS2820"/>
      <c r="AT2820"/>
      <c r="AU2820"/>
      <c r="AV2820"/>
    </row>
    <row r="2821" spans="41:48" x14ac:dyDescent="0.35">
      <c r="AO2821"/>
      <c r="AP2821"/>
      <c r="AQ2821"/>
      <c r="AR2821"/>
      <c r="AS2821"/>
      <c r="AT2821"/>
      <c r="AU2821"/>
      <c r="AV2821"/>
    </row>
    <row r="2822" spans="41:48" x14ac:dyDescent="0.35">
      <c r="AO2822"/>
      <c r="AP2822"/>
      <c r="AQ2822"/>
      <c r="AR2822"/>
      <c r="AS2822"/>
      <c r="AT2822"/>
      <c r="AU2822"/>
      <c r="AV2822"/>
    </row>
    <row r="2823" spans="41:48" x14ac:dyDescent="0.35">
      <c r="AO2823"/>
      <c r="AP2823"/>
      <c r="AQ2823"/>
      <c r="AR2823"/>
      <c r="AS2823"/>
      <c r="AT2823"/>
      <c r="AU2823"/>
      <c r="AV2823"/>
    </row>
    <row r="2824" spans="41:48" x14ac:dyDescent="0.35">
      <c r="AO2824"/>
      <c r="AP2824"/>
      <c r="AQ2824"/>
      <c r="AR2824"/>
      <c r="AS2824"/>
      <c r="AT2824"/>
      <c r="AU2824"/>
      <c r="AV2824"/>
    </row>
    <row r="2825" spans="41:48" x14ac:dyDescent="0.35">
      <c r="AO2825"/>
      <c r="AP2825"/>
      <c r="AQ2825"/>
      <c r="AR2825"/>
      <c r="AS2825"/>
      <c r="AT2825"/>
      <c r="AU2825"/>
      <c r="AV2825"/>
    </row>
    <row r="2826" spans="41:48" x14ac:dyDescent="0.35">
      <c r="AO2826"/>
      <c r="AP2826"/>
      <c r="AQ2826"/>
      <c r="AR2826"/>
      <c r="AS2826"/>
      <c r="AT2826"/>
      <c r="AU2826"/>
      <c r="AV2826"/>
    </row>
    <row r="2827" spans="41:48" x14ac:dyDescent="0.35">
      <c r="AO2827"/>
      <c r="AP2827"/>
      <c r="AQ2827"/>
      <c r="AR2827"/>
      <c r="AS2827"/>
      <c r="AT2827"/>
      <c r="AU2827"/>
      <c r="AV2827"/>
    </row>
    <row r="2828" spans="41:48" x14ac:dyDescent="0.35">
      <c r="AO2828"/>
      <c r="AP2828"/>
      <c r="AQ2828"/>
      <c r="AR2828"/>
      <c r="AS2828"/>
      <c r="AT2828"/>
      <c r="AU2828"/>
      <c r="AV2828"/>
    </row>
    <row r="2829" spans="41:48" x14ac:dyDescent="0.35">
      <c r="AO2829"/>
      <c r="AP2829"/>
      <c r="AQ2829"/>
      <c r="AR2829"/>
      <c r="AS2829"/>
      <c r="AT2829"/>
      <c r="AU2829"/>
      <c r="AV2829"/>
    </row>
    <row r="2830" spans="41:48" x14ac:dyDescent="0.35">
      <c r="AO2830"/>
      <c r="AP2830"/>
      <c r="AQ2830"/>
      <c r="AR2830"/>
      <c r="AS2830"/>
      <c r="AT2830"/>
      <c r="AU2830"/>
      <c r="AV2830"/>
    </row>
    <row r="2831" spans="41:48" x14ac:dyDescent="0.35">
      <c r="AO2831"/>
      <c r="AP2831"/>
      <c r="AQ2831"/>
      <c r="AR2831"/>
      <c r="AS2831"/>
      <c r="AT2831"/>
      <c r="AU2831"/>
      <c r="AV2831"/>
    </row>
    <row r="2832" spans="41:48" x14ac:dyDescent="0.35">
      <c r="AO2832"/>
      <c r="AP2832"/>
      <c r="AQ2832"/>
      <c r="AR2832"/>
      <c r="AS2832"/>
      <c r="AT2832"/>
      <c r="AU2832"/>
      <c r="AV2832"/>
    </row>
    <row r="2833" spans="41:48" x14ac:dyDescent="0.35">
      <c r="AO2833"/>
      <c r="AP2833"/>
      <c r="AQ2833"/>
      <c r="AR2833"/>
      <c r="AS2833"/>
      <c r="AT2833"/>
      <c r="AU2833"/>
      <c r="AV2833"/>
    </row>
    <row r="2834" spans="41:48" x14ac:dyDescent="0.35">
      <c r="AO2834"/>
      <c r="AP2834"/>
      <c r="AQ2834"/>
      <c r="AR2834"/>
      <c r="AS2834"/>
      <c r="AT2834"/>
      <c r="AU2834"/>
      <c r="AV2834"/>
    </row>
    <row r="2835" spans="41:48" x14ac:dyDescent="0.35">
      <c r="AO2835"/>
      <c r="AP2835"/>
      <c r="AQ2835"/>
      <c r="AR2835"/>
      <c r="AS2835"/>
      <c r="AT2835"/>
      <c r="AU2835"/>
      <c r="AV2835"/>
    </row>
    <row r="2836" spans="41:48" x14ac:dyDescent="0.35">
      <c r="AO2836"/>
      <c r="AP2836"/>
      <c r="AQ2836"/>
      <c r="AR2836"/>
      <c r="AS2836"/>
      <c r="AT2836"/>
      <c r="AU2836"/>
      <c r="AV2836"/>
    </row>
    <row r="2837" spans="41:48" x14ac:dyDescent="0.35">
      <c r="AO2837"/>
      <c r="AP2837"/>
      <c r="AQ2837"/>
      <c r="AR2837"/>
      <c r="AS2837"/>
      <c r="AT2837"/>
      <c r="AU2837"/>
      <c r="AV2837"/>
    </row>
    <row r="2838" spans="41:48" x14ac:dyDescent="0.35">
      <c r="AO2838"/>
      <c r="AP2838"/>
      <c r="AQ2838"/>
      <c r="AR2838"/>
      <c r="AS2838"/>
      <c r="AT2838"/>
      <c r="AU2838"/>
      <c r="AV2838"/>
    </row>
    <row r="2839" spans="41:48" x14ac:dyDescent="0.35">
      <c r="AO2839"/>
      <c r="AP2839"/>
      <c r="AQ2839"/>
      <c r="AR2839"/>
      <c r="AS2839"/>
      <c r="AT2839"/>
      <c r="AU2839"/>
      <c r="AV2839"/>
    </row>
    <row r="2840" spans="41:48" x14ac:dyDescent="0.35">
      <c r="AO2840"/>
      <c r="AP2840"/>
      <c r="AQ2840"/>
      <c r="AR2840"/>
      <c r="AS2840"/>
      <c r="AT2840"/>
      <c r="AU2840"/>
      <c r="AV2840"/>
    </row>
    <row r="2841" spans="41:48" x14ac:dyDescent="0.35">
      <c r="AO2841"/>
      <c r="AP2841"/>
      <c r="AQ2841"/>
      <c r="AR2841"/>
      <c r="AS2841"/>
      <c r="AT2841"/>
      <c r="AU2841"/>
      <c r="AV2841"/>
    </row>
    <row r="2842" spans="41:48" x14ac:dyDescent="0.35">
      <c r="AO2842"/>
      <c r="AP2842"/>
      <c r="AQ2842"/>
      <c r="AR2842"/>
      <c r="AS2842"/>
      <c r="AT2842"/>
      <c r="AU2842"/>
      <c r="AV2842"/>
    </row>
    <row r="2843" spans="41:48" x14ac:dyDescent="0.35">
      <c r="AO2843"/>
      <c r="AP2843"/>
      <c r="AQ2843"/>
      <c r="AR2843"/>
      <c r="AS2843"/>
      <c r="AT2843"/>
      <c r="AU2843"/>
      <c r="AV2843"/>
    </row>
    <row r="2844" spans="41:48" x14ac:dyDescent="0.35">
      <c r="AO2844"/>
      <c r="AP2844"/>
      <c r="AQ2844"/>
      <c r="AR2844"/>
      <c r="AS2844"/>
      <c r="AT2844"/>
      <c r="AU2844"/>
      <c r="AV2844"/>
    </row>
    <row r="2845" spans="41:48" x14ac:dyDescent="0.35">
      <c r="AO2845"/>
      <c r="AP2845"/>
      <c r="AQ2845"/>
      <c r="AR2845"/>
      <c r="AS2845"/>
      <c r="AT2845"/>
      <c r="AU2845"/>
      <c r="AV2845"/>
    </row>
    <row r="2846" spans="41:48" x14ac:dyDescent="0.35">
      <c r="AO2846"/>
      <c r="AP2846"/>
      <c r="AQ2846"/>
      <c r="AR2846"/>
      <c r="AS2846"/>
      <c r="AT2846"/>
      <c r="AU2846"/>
      <c r="AV2846"/>
    </row>
    <row r="2847" spans="41:48" x14ac:dyDescent="0.35">
      <c r="AO2847"/>
      <c r="AP2847"/>
      <c r="AQ2847"/>
      <c r="AR2847"/>
      <c r="AS2847"/>
      <c r="AT2847"/>
      <c r="AU2847"/>
      <c r="AV2847"/>
    </row>
    <row r="2848" spans="41:48" x14ac:dyDescent="0.35">
      <c r="AO2848"/>
      <c r="AP2848"/>
      <c r="AQ2848"/>
      <c r="AR2848"/>
      <c r="AS2848"/>
      <c r="AT2848"/>
      <c r="AU2848"/>
      <c r="AV2848"/>
    </row>
    <row r="2849" spans="41:48" x14ac:dyDescent="0.35">
      <c r="AO2849"/>
      <c r="AP2849"/>
      <c r="AQ2849"/>
      <c r="AR2849"/>
      <c r="AS2849"/>
      <c r="AT2849"/>
      <c r="AU2849"/>
      <c r="AV2849"/>
    </row>
    <row r="2850" spans="41:48" x14ac:dyDescent="0.35">
      <c r="AO2850"/>
      <c r="AP2850"/>
      <c r="AQ2850"/>
      <c r="AR2850"/>
      <c r="AS2850"/>
      <c r="AT2850"/>
      <c r="AU2850"/>
      <c r="AV2850"/>
    </row>
    <row r="2851" spans="41:48" x14ac:dyDescent="0.35">
      <c r="AO2851"/>
      <c r="AP2851"/>
      <c r="AQ2851"/>
      <c r="AR2851"/>
      <c r="AS2851"/>
      <c r="AT2851"/>
      <c r="AU2851"/>
      <c r="AV2851"/>
    </row>
    <row r="2852" spans="41:48" x14ac:dyDescent="0.35">
      <c r="AO2852"/>
      <c r="AP2852"/>
      <c r="AQ2852"/>
      <c r="AR2852"/>
      <c r="AS2852"/>
      <c r="AT2852"/>
      <c r="AU2852"/>
      <c r="AV2852"/>
    </row>
    <row r="2853" spans="41:48" x14ac:dyDescent="0.35">
      <c r="AO2853"/>
      <c r="AP2853"/>
      <c r="AQ2853"/>
      <c r="AR2853"/>
      <c r="AS2853"/>
      <c r="AT2853"/>
      <c r="AU2853"/>
      <c r="AV2853"/>
    </row>
    <row r="2854" spans="41:48" x14ac:dyDescent="0.35">
      <c r="AO2854"/>
      <c r="AP2854"/>
      <c r="AQ2854"/>
      <c r="AR2854"/>
      <c r="AS2854"/>
      <c r="AT2854"/>
      <c r="AU2854"/>
      <c r="AV2854"/>
    </row>
    <row r="2855" spans="41:48" x14ac:dyDescent="0.35">
      <c r="AO2855"/>
      <c r="AP2855"/>
      <c r="AQ2855"/>
      <c r="AR2855"/>
      <c r="AS2855"/>
      <c r="AT2855"/>
      <c r="AU2855"/>
      <c r="AV2855"/>
    </row>
    <row r="2856" spans="41:48" x14ac:dyDescent="0.35">
      <c r="AO2856"/>
      <c r="AP2856"/>
      <c r="AQ2856"/>
      <c r="AR2856"/>
      <c r="AS2856"/>
      <c r="AT2856"/>
      <c r="AU2856"/>
      <c r="AV2856"/>
    </row>
    <row r="2857" spans="41:48" x14ac:dyDescent="0.35">
      <c r="AO2857"/>
      <c r="AP2857"/>
      <c r="AQ2857"/>
      <c r="AR2857"/>
      <c r="AS2857"/>
      <c r="AT2857"/>
      <c r="AU2857"/>
      <c r="AV2857"/>
    </row>
    <row r="2858" spans="41:48" x14ac:dyDescent="0.35">
      <c r="AO2858"/>
      <c r="AP2858"/>
      <c r="AQ2858"/>
      <c r="AR2858"/>
      <c r="AS2858"/>
      <c r="AT2858"/>
      <c r="AU2858"/>
      <c r="AV2858"/>
    </row>
    <row r="2859" spans="41:48" x14ac:dyDescent="0.35">
      <c r="AO2859"/>
      <c r="AP2859"/>
      <c r="AQ2859"/>
      <c r="AR2859"/>
      <c r="AS2859"/>
      <c r="AT2859"/>
      <c r="AU2859"/>
      <c r="AV2859"/>
    </row>
    <row r="2860" spans="41:48" x14ac:dyDescent="0.35">
      <c r="AO2860"/>
      <c r="AP2860"/>
      <c r="AQ2860"/>
      <c r="AR2860"/>
      <c r="AS2860"/>
      <c r="AT2860"/>
      <c r="AU2860"/>
      <c r="AV2860"/>
    </row>
    <row r="2861" spans="41:48" x14ac:dyDescent="0.35">
      <c r="AO2861"/>
      <c r="AP2861"/>
      <c r="AQ2861"/>
      <c r="AR2861"/>
      <c r="AS2861"/>
      <c r="AT2861"/>
      <c r="AU2861"/>
      <c r="AV2861"/>
    </row>
    <row r="2862" spans="41:48" x14ac:dyDescent="0.35">
      <c r="AO2862"/>
      <c r="AP2862"/>
      <c r="AQ2862"/>
      <c r="AR2862"/>
      <c r="AS2862"/>
      <c r="AT2862"/>
      <c r="AU2862"/>
      <c r="AV2862"/>
    </row>
    <row r="2863" spans="41:48" x14ac:dyDescent="0.35">
      <c r="AO2863"/>
      <c r="AP2863"/>
      <c r="AQ2863"/>
      <c r="AR2863"/>
      <c r="AS2863"/>
      <c r="AT2863"/>
      <c r="AU2863"/>
      <c r="AV2863"/>
    </row>
    <row r="2864" spans="41:48" x14ac:dyDescent="0.35">
      <c r="AO2864"/>
      <c r="AP2864"/>
      <c r="AQ2864"/>
      <c r="AR2864"/>
      <c r="AS2864"/>
      <c r="AT2864"/>
      <c r="AU2864"/>
      <c r="AV2864"/>
    </row>
    <row r="2865" spans="41:48" x14ac:dyDescent="0.35">
      <c r="AO2865"/>
      <c r="AP2865"/>
      <c r="AQ2865"/>
      <c r="AR2865"/>
      <c r="AS2865"/>
      <c r="AT2865"/>
      <c r="AU2865"/>
      <c r="AV2865"/>
    </row>
    <row r="2866" spans="41:48" x14ac:dyDescent="0.35">
      <c r="AO2866"/>
      <c r="AP2866"/>
      <c r="AQ2866"/>
      <c r="AR2866"/>
      <c r="AS2866"/>
      <c r="AT2866"/>
      <c r="AU2866"/>
      <c r="AV2866"/>
    </row>
    <row r="2867" spans="41:48" x14ac:dyDescent="0.35">
      <c r="AO2867"/>
      <c r="AP2867"/>
      <c r="AQ2867"/>
      <c r="AR2867"/>
      <c r="AS2867"/>
      <c r="AT2867"/>
      <c r="AU2867"/>
      <c r="AV2867"/>
    </row>
    <row r="2868" spans="41:48" x14ac:dyDescent="0.35">
      <c r="AO2868"/>
      <c r="AP2868"/>
      <c r="AQ2868"/>
      <c r="AR2868"/>
      <c r="AS2868"/>
      <c r="AT2868"/>
      <c r="AU2868"/>
      <c r="AV2868"/>
    </row>
    <row r="2869" spans="41:48" x14ac:dyDescent="0.35">
      <c r="AO2869"/>
      <c r="AP2869"/>
      <c r="AQ2869"/>
      <c r="AR2869"/>
      <c r="AS2869"/>
      <c r="AT2869"/>
      <c r="AU2869"/>
      <c r="AV2869"/>
    </row>
    <row r="2870" spans="41:48" x14ac:dyDescent="0.35">
      <c r="AO2870"/>
      <c r="AP2870"/>
      <c r="AQ2870"/>
      <c r="AR2870"/>
      <c r="AS2870"/>
      <c r="AT2870"/>
      <c r="AU2870"/>
      <c r="AV2870"/>
    </row>
    <row r="2871" spans="41:48" x14ac:dyDescent="0.35">
      <c r="AO2871"/>
      <c r="AP2871"/>
      <c r="AQ2871"/>
      <c r="AR2871"/>
      <c r="AS2871"/>
      <c r="AT2871"/>
      <c r="AU2871"/>
      <c r="AV2871"/>
    </row>
    <row r="2872" spans="41:48" x14ac:dyDescent="0.35">
      <c r="AO2872"/>
      <c r="AP2872"/>
      <c r="AQ2872"/>
      <c r="AR2872"/>
      <c r="AS2872"/>
      <c r="AT2872"/>
      <c r="AU2872"/>
      <c r="AV2872"/>
    </row>
    <row r="2873" spans="41:48" x14ac:dyDescent="0.35">
      <c r="AO2873"/>
      <c r="AP2873"/>
      <c r="AQ2873"/>
      <c r="AR2873"/>
      <c r="AS2873"/>
      <c r="AT2873"/>
      <c r="AU2873"/>
      <c r="AV2873"/>
    </row>
    <row r="2874" spans="41:48" x14ac:dyDescent="0.35">
      <c r="AO2874"/>
      <c r="AP2874"/>
      <c r="AQ2874"/>
      <c r="AR2874"/>
      <c r="AS2874"/>
      <c r="AT2874"/>
      <c r="AU2874"/>
      <c r="AV2874"/>
    </row>
    <row r="2875" spans="41:48" x14ac:dyDescent="0.35">
      <c r="AO2875"/>
      <c r="AP2875"/>
      <c r="AQ2875"/>
      <c r="AR2875"/>
      <c r="AS2875"/>
      <c r="AT2875"/>
      <c r="AU2875"/>
      <c r="AV2875"/>
    </row>
    <row r="2876" spans="41:48" x14ac:dyDescent="0.35">
      <c r="AO2876"/>
      <c r="AP2876"/>
      <c r="AQ2876"/>
      <c r="AR2876"/>
      <c r="AS2876"/>
      <c r="AT2876"/>
      <c r="AU2876"/>
      <c r="AV2876"/>
    </row>
    <row r="2877" spans="41:48" x14ac:dyDescent="0.35">
      <c r="AO2877"/>
      <c r="AP2877"/>
      <c r="AQ2877"/>
      <c r="AR2877"/>
      <c r="AS2877"/>
      <c r="AT2877"/>
      <c r="AU2877"/>
      <c r="AV2877"/>
    </row>
    <row r="2878" spans="41:48" x14ac:dyDescent="0.35">
      <c r="AO2878"/>
      <c r="AP2878"/>
      <c r="AQ2878"/>
      <c r="AR2878"/>
      <c r="AS2878"/>
      <c r="AT2878"/>
      <c r="AU2878"/>
      <c r="AV2878"/>
    </row>
    <row r="2879" spans="41:48" x14ac:dyDescent="0.35">
      <c r="AO2879"/>
      <c r="AP2879"/>
      <c r="AQ2879"/>
      <c r="AR2879"/>
      <c r="AS2879"/>
      <c r="AT2879"/>
      <c r="AU2879"/>
      <c r="AV2879"/>
    </row>
    <row r="2880" spans="41:48" x14ac:dyDescent="0.35">
      <c r="AO2880"/>
      <c r="AP2880"/>
      <c r="AQ2880"/>
      <c r="AR2880"/>
      <c r="AS2880"/>
      <c r="AT2880"/>
      <c r="AU2880"/>
      <c r="AV2880"/>
    </row>
    <row r="2881" spans="41:48" x14ac:dyDescent="0.35">
      <c r="AO2881"/>
      <c r="AP2881"/>
      <c r="AQ2881"/>
      <c r="AR2881"/>
      <c r="AS2881"/>
      <c r="AT2881"/>
      <c r="AU2881"/>
      <c r="AV2881"/>
    </row>
    <row r="2882" spans="41:48" x14ac:dyDescent="0.35">
      <c r="AO2882"/>
      <c r="AP2882"/>
      <c r="AQ2882"/>
      <c r="AR2882"/>
      <c r="AS2882"/>
      <c r="AT2882"/>
      <c r="AU2882"/>
      <c r="AV2882"/>
    </row>
    <row r="2883" spans="41:48" x14ac:dyDescent="0.35">
      <c r="AO2883"/>
      <c r="AP2883"/>
      <c r="AQ2883"/>
      <c r="AR2883"/>
      <c r="AS2883"/>
      <c r="AT2883"/>
      <c r="AU2883"/>
      <c r="AV2883"/>
    </row>
    <row r="2884" spans="41:48" x14ac:dyDescent="0.35">
      <c r="AO2884"/>
      <c r="AP2884"/>
      <c r="AQ2884"/>
      <c r="AR2884"/>
      <c r="AS2884"/>
      <c r="AT2884"/>
      <c r="AU2884"/>
      <c r="AV2884"/>
    </row>
    <row r="2885" spans="41:48" x14ac:dyDescent="0.35">
      <c r="AO2885"/>
      <c r="AP2885"/>
      <c r="AQ2885"/>
      <c r="AR2885"/>
      <c r="AS2885"/>
      <c r="AT2885"/>
      <c r="AU2885"/>
      <c r="AV2885"/>
    </row>
    <row r="2886" spans="41:48" x14ac:dyDescent="0.35">
      <c r="AO2886"/>
      <c r="AP2886"/>
      <c r="AQ2886"/>
      <c r="AR2886"/>
      <c r="AS2886"/>
      <c r="AT2886"/>
      <c r="AU2886"/>
      <c r="AV2886"/>
    </row>
    <row r="2887" spans="41:48" x14ac:dyDescent="0.35">
      <c r="AO2887"/>
      <c r="AP2887"/>
      <c r="AQ2887"/>
      <c r="AR2887"/>
      <c r="AS2887"/>
      <c r="AT2887"/>
      <c r="AU2887"/>
      <c r="AV2887"/>
    </row>
    <row r="2888" spans="41:48" x14ac:dyDescent="0.35">
      <c r="AO2888"/>
      <c r="AP2888"/>
      <c r="AQ2888"/>
      <c r="AR2888"/>
      <c r="AS2888"/>
      <c r="AT2888"/>
      <c r="AU2888"/>
      <c r="AV2888"/>
    </row>
    <row r="2889" spans="41:48" x14ac:dyDescent="0.35">
      <c r="AO2889"/>
      <c r="AP2889"/>
      <c r="AQ2889"/>
      <c r="AR2889"/>
      <c r="AS2889"/>
      <c r="AT2889"/>
      <c r="AU2889"/>
      <c r="AV2889"/>
    </row>
    <row r="2890" spans="41:48" x14ac:dyDescent="0.35">
      <c r="AO2890"/>
      <c r="AP2890"/>
      <c r="AQ2890"/>
      <c r="AR2890"/>
      <c r="AS2890"/>
      <c r="AT2890"/>
      <c r="AU2890"/>
      <c r="AV2890"/>
    </row>
    <row r="2891" spans="41:48" x14ac:dyDescent="0.35">
      <c r="AO2891"/>
      <c r="AP2891"/>
      <c r="AQ2891"/>
      <c r="AR2891"/>
      <c r="AS2891"/>
      <c r="AT2891"/>
      <c r="AU2891"/>
      <c r="AV2891"/>
    </row>
    <row r="2892" spans="41:48" x14ac:dyDescent="0.35">
      <c r="AO2892"/>
      <c r="AP2892"/>
      <c r="AQ2892"/>
      <c r="AR2892"/>
      <c r="AS2892"/>
      <c r="AT2892"/>
      <c r="AU2892"/>
      <c r="AV2892"/>
    </row>
    <row r="2893" spans="41:48" x14ac:dyDescent="0.35">
      <c r="AO2893"/>
      <c r="AP2893"/>
      <c r="AQ2893"/>
      <c r="AR2893"/>
      <c r="AS2893"/>
      <c r="AT2893"/>
      <c r="AU2893"/>
      <c r="AV2893"/>
    </row>
    <row r="2894" spans="41:48" x14ac:dyDescent="0.35">
      <c r="AO2894"/>
      <c r="AP2894"/>
      <c r="AQ2894"/>
      <c r="AR2894"/>
      <c r="AS2894"/>
      <c r="AT2894"/>
      <c r="AU2894"/>
      <c r="AV2894"/>
    </row>
    <row r="2895" spans="41:48" x14ac:dyDescent="0.35">
      <c r="AO2895"/>
      <c r="AP2895"/>
      <c r="AQ2895"/>
      <c r="AR2895"/>
      <c r="AS2895"/>
      <c r="AT2895"/>
      <c r="AU2895"/>
      <c r="AV2895"/>
    </row>
    <row r="2896" spans="41:48" x14ac:dyDescent="0.35">
      <c r="AO2896"/>
      <c r="AP2896"/>
      <c r="AQ2896"/>
      <c r="AR2896"/>
      <c r="AS2896"/>
      <c r="AT2896"/>
      <c r="AU2896"/>
      <c r="AV2896"/>
    </row>
    <row r="2897" spans="41:48" x14ac:dyDescent="0.35">
      <c r="AO2897"/>
      <c r="AP2897"/>
      <c r="AQ2897"/>
      <c r="AR2897"/>
      <c r="AS2897"/>
      <c r="AT2897"/>
      <c r="AU2897"/>
      <c r="AV2897"/>
    </row>
    <row r="2898" spans="41:48" x14ac:dyDescent="0.35">
      <c r="AO2898"/>
      <c r="AP2898"/>
      <c r="AQ2898"/>
      <c r="AR2898"/>
      <c r="AS2898"/>
      <c r="AT2898"/>
      <c r="AU2898"/>
      <c r="AV2898"/>
    </row>
    <row r="2899" spans="41:48" x14ac:dyDescent="0.35">
      <c r="AO2899"/>
      <c r="AP2899"/>
      <c r="AQ2899"/>
      <c r="AR2899"/>
      <c r="AS2899"/>
      <c r="AT2899"/>
      <c r="AU2899"/>
      <c r="AV2899"/>
    </row>
    <row r="2900" spans="41:48" x14ac:dyDescent="0.35">
      <c r="AO2900"/>
      <c r="AP2900"/>
      <c r="AQ2900"/>
      <c r="AR2900"/>
      <c r="AS2900"/>
      <c r="AT2900"/>
      <c r="AU2900"/>
      <c r="AV2900"/>
    </row>
    <row r="2901" spans="41:48" x14ac:dyDescent="0.35">
      <c r="AO2901"/>
      <c r="AP2901"/>
      <c r="AQ2901"/>
      <c r="AR2901"/>
      <c r="AS2901"/>
      <c r="AT2901"/>
      <c r="AU2901"/>
      <c r="AV2901"/>
    </row>
    <row r="2902" spans="41:48" x14ac:dyDescent="0.35">
      <c r="AO2902"/>
      <c r="AP2902"/>
      <c r="AQ2902"/>
      <c r="AR2902"/>
      <c r="AS2902"/>
      <c r="AT2902"/>
      <c r="AU2902"/>
      <c r="AV2902"/>
    </row>
    <row r="2903" spans="41:48" x14ac:dyDescent="0.35">
      <c r="AO2903"/>
      <c r="AP2903"/>
      <c r="AQ2903"/>
      <c r="AR2903"/>
      <c r="AS2903"/>
      <c r="AT2903"/>
      <c r="AU2903"/>
      <c r="AV2903"/>
    </row>
    <row r="2904" spans="41:48" x14ac:dyDescent="0.35">
      <c r="AO2904"/>
      <c r="AP2904"/>
      <c r="AQ2904"/>
      <c r="AR2904"/>
      <c r="AS2904"/>
      <c r="AT2904"/>
      <c r="AU2904"/>
      <c r="AV2904"/>
    </row>
    <row r="2905" spans="41:48" x14ac:dyDescent="0.35">
      <c r="AO2905"/>
      <c r="AP2905"/>
      <c r="AQ2905"/>
      <c r="AR2905"/>
      <c r="AS2905"/>
      <c r="AT2905"/>
      <c r="AU2905"/>
      <c r="AV2905"/>
    </row>
    <row r="2906" spans="41:48" x14ac:dyDescent="0.35">
      <c r="AO2906"/>
      <c r="AP2906"/>
      <c r="AQ2906"/>
      <c r="AR2906"/>
      <c r="AS2906"/>
      <c r="AT2906"/>
      <c r="AU2906"/>
      <c r="AV2906"/>
    </row>
    <row r="2907" spans="41:48" x14ac:dyDescent="0.35">
      <c r="AO2907"/>
      <c r="AP2907"/>
      <c r="AQ2907"/>
      <c r="AR2907"/>
      <c r="AS2907"/>
      <c r="AT2907"/>
      <c r="AU2907"/>
      <c r="AV2907"/>
    </row>
    <row r="2908" spans="41:48" x14ac:dyDescent="0.35">
      <c r="AO2908"/>
      <c r="AP2908"/>
      <c r="AQ2908"/>
      <c r="AR2908"/>
      <c r="AS2908"/>
      <c r="AT2908"/>
      <c r="AU2908"/>
      <c r="AV2908"/>
    </row>
    <row r="2909" spans="41:48" x14ac:dyDescent="0.35">
      <c r="AO2909"/>
      <c r="AP2909"/>
      <c r="AQ2909"/>
      <c r="AR2909"/>
      <c r="AS2909"/>
      <c r="AT2909"/>
      <c r="AU2909"/>
      <c r="AV2909"/>
    </row>
    <row r="2910" spans="41:48" x14ac:dyDescent="0.35">
      <c r="AO2910"/>
      <c r="AP2910"/>
      <c r="AQ2910"/>
      <c r="AR2910"/>
      <c r="AS2910"/>
      <c r="AT2910"/>
      <c r="AU2910"/>
      <c r="AV2910"/>
    </row>
    <row r="2911" spans="41:48" x14ac:dyDescent="0.35">
      <c r="AO2911"/>
      <c r="AP2911"/>
      <c r="AQ2911"/>
      <c r="AR2911"/>
      <c r="AS2911"/>
      <c r="AT2911"/>
      <c r="AU2911"/>
      <c r="AV2911"/>
    </row>
    <row r="2912" spans="41:48" x14ac:dyDescent="0.35">
      <c r="AO2912"/>
      <c r="AP2912"/>
      <c r="AQ2912"/>
      <c r="AR2912"/>
      <c r="AS2912"/>
      <c r="AT2912"/>
      <c r="AU2912"/>
      <c r="AV2912"/>
    </row>
    <row r="2913" spans="41:48" x14ac:dyDescent="0.35">
      <c r="AO2913"/>
      <c r="AP2913"/>
      <c r="AQ2913"/>
      <c r="AR2913"/>
      <c r="AS2913"/>
      <c r="AT2913"/>
      <c r="AU2913"/>
      <c r="AV2913"/>
    </row>
    <row r="2914" spans="41:48" x14ac:dyDescent="0.35">
      <c r="AO2914"/>
      <c r="AP2914"/>
      <c r="AQ2914"/>
      <c r="AR2914"/>
      <c r="AS2914"/>
      <c r="AT2914"/>
      <c r="AU2914"/>
      <c r="AV2914"/>
    </row>
    <row r="2915" spans="41:48" x14ac:dyDescent="0.35">
      <c r="AO2915"/>
      <c r="AP2915"/>
      <c r="AQ2915"/>
      <c r="AR2915"/>
      <c r="AS2915"/>
      <c r="AT2915"/>
      <c r="AU2915"/>
      <c r="AV2915"/>
    </row>
    <row r="2916" spans="41:48" x14ac:dyDescent="0.35">
      <c r="AO2916"/>
      <c r="AP2916"/>
      <c r="AQ2916"/>
      <c r="AR2916"/>
      <c r="AS2916"/>
      <c r="AT2916"/>
      <c r="AU2916"/>
      <c r="AV2916"/>
    </row>
    <row r="2917" spans="41:48" x14ac:dyDescent="0.35">
      <c r="AO2917"/>
      <c r="AP2917"/>
      <c r="AQ2917"/>
      <c r="AR2917"/>
      <c r="AS2917"/>
      <c r="AT2917"/>
      <c r="AU2917"/>
      <c r="AV2917"/>
    </row>
    <row r="2918" spans="41:48" x14ac:dyDescent="0.35">
      <c r="AO2918"/>
      <c r="AP2918"/>
      <c r="AQ2918"/>
      <c r="AR2918"/>
      <c r="AS2918"/>
      <c r="AT2918"/>
      <c r="AU2918"/>
      <c r="AV2918"/>
    </row>
    <row r="2919" spans="41:48" x14ac:dyDescent="0.35">
      <c r="AO2919"/>
      <c r="AP2919"/>
      <c r="AQ2919"/>
      <c r="AR2919"/>
      <c r="AS2919"/>
      <c r="AT2919"/>
      <c r="AU2919"/>
      <c r="AV2919"/>
    </row>
    <row r="2920" spans="41:48" x14ac:dyDescent="0.35">
      <c r="AO2920"/>
      <c r="AP2920"/>
      <c r="AQ2920"/>
      <c r="AR2920"/>
      <c r="AS2920"/>
      <c r="AT2920"/>
      <c r="AU2920"/>
      <c r="AV2920"/>
    </row>
    <row r="2921" spans="41:48" x14ac:dyDescent="0.35">
      <c r="AO2921"/>
      <c r="AP2921"/>
      <c r="AQ2921"/>
      <c r="AR2921"/>
      <c r="AS2921"/>
      <c r="AT2921"/>
      <c r="AU2921"/>
      <c r="AV2921"/>
    </row>
    <row r="2922" spans="41:48" x14ac:dyDescent="0.35">
      <c r="AO2922"/>
      <c r="AP2922"/>
      <c r="AQ2922"/>
      <c r="AR2922"/>
      <c r="AS2922"/>
      <c r="AT2922"/>
      <c r="AU2922"/>
      <c r="AV2922"/>
    </row>
    <row r="2923" spans="41:48" x14ac:dyDescent="0.35">
      <c r="AO2923"/>
      <c r="AP2923"/>
      <c r="AQ2923"/>
      <c r="AR2923"/>
      <c r="AS2923"/>
      <c r="AT2923"/>
      <c r="AU2923"/>
      <c r="AV2923"/>
    </row>
    <row r="2924" spans="41:48" x14ac:dyDescent="0.35">
      <c r="AO2924"/>
      <c r="AP2924"/>
      <c r="AQ2924"/>
      <c r="AR2924"/>
      <c r="AS2924"/>
      <c r="AT2924"/>
      <c r="AU2924"/>
      <c r="AV2924"/>
    </row>
    <row r="2925" spans="41:48" x14ac:dyDescent="0.35">
      <c r="AO2925"/>
      <c r="AP2925"/>
      <c r="AQ2925"/>
      <c r="AR2925"/>
      <c r="AS2925"/>
      <c r="AT2925"/>
      <c r="AU2925"/>
      <c r="AV2925"/>
    </row>
    <row r="2926" spans="41:48" x14ac:dyDescent="0.35">
      <c r="AO2926"/>
      <c r="AP2926"/>
      <c r="AQ2926"/>
      <c r="AR2926"/>
      <c r="AS2926"/>
      <c r="AT2926"/>
      <c r="AU2926"/>
      <c r="AV2926"/>
    </row>
    <row r="2927" spans="41:48" x14ac:dyDescent="0.35">
      <c r="AO2927"/>
      <c r="AP2927"/>
      <c r="AQ2927"/>
      <c r="AR2927"/>
      <c r="AS2927"/>
      <c r="AT2927"/>
      <c r="AU2927"/>
      <c r="AV2927"/>
    </row>
    <row r="2928" spans="41:48" x14ac:dyDescent="0.35">
      <c r="AO2928"/>
      <c r="AP2928"/>
      <c r="AQ2928"/>
      <c r="AR2928"/>
      <c r="AS2928"/>
      <c r="AT2928"/>
      <c r="AU2928"/>
      <c r="AV2928"/>
    </row>
    <row r="2929" spans="41:48" x14ac:dyDescent="0.35">
      <c r="AO2929"/>
      <c r="AP2929"/>
      <c r="AQ2929"/>
      <c r="AR2929"/>
      <c r="AS2929"/>
      <c r="AT2929"/>
      <c r="AU2929"/>
      <c r="AV2929"/>
    </row>
    <row r="2930" spans="41:48" x14ac:dyDescent="0.35">
      <c r="AO2930"/>
      <c r="AP2930"/>
      <c r="AQ2930"/>
      <c r="AR2930"/>
      <c r="AS2930"/>
      <c r="AT2930"/>
      <c r="AU2930"/>
      <c r="AV2930"/>
    </row>
    <row r="2931" spans="41:48" x14ac:dyDescent="0.35">
      <c r="AO2931"/>
      <c r="AP2931"/>
      <c r="AQ2931"/>
      <c r="AR2931"/>
      <c r="AS2931"/>
      <c r="AT2931"/>
      <c r="AU2931"/>
      <c r="AV2931"/>
    </row>
    <row r="2932" spans="41:48" x14ac:dyDescent="0.35">
      <c r="AO2932"/>
      <c r="AP2932"/>
      <c r="AQ2932"/>
      <c r="AR2932"/>
      <c r="AS2932"/>
      <c r="AT2932"/>
      <c r="AU2932"/>
      <c r="AV2932"/>
    </row>
    <row r="2933" spans="41:48" x14ac:dyDescent="0.35">
      <c r="AO2933"/>
      <c r="AP2933"/>
      <c r="AQ2933"/>
      <c r="AR2933"/>
      <c r="AS2933"/>
      <c r="AT2933"/>
      <c r="AU2933"/>
      <c r="AV2933"/>
    </row>
    <row r="2934" spans="41:48" x14ac:dyDescent="0.35">
      <c r="AO2934"/>
      <c r="AP2934"/>
      <c r="AQ2934"/>
      <c r="AR2934"/>
      <c r="AS2934"/>
      <c r="AT2934"/>
      <c r="AU2934"/>
      <c r="AV2934"/>
    </row>
    <row r="2935" spans="41:48" x14ac:dyDescent="0.35">
      <c r="AO2935"/>
      <c r="AP2935"/>
      <c r="AQ2935"/>
      <c r="AR2935"/>
      <c r="AS2935"/>
      <c r="AT2935"/>
      <c r="AU2935"/>
      <c r="AV2935"/>
    </row>
    <row r="2936" spans="41:48" x14ac:dyDescent="0.35">
      <c r="AO2936"/>
      <c r="AP2936"/>
      <c r="AQ2936"/>
      <c r="AR2936"/>
      <c r="AS2936"/>
      <c r="AT2936"/>
      <c r="AU2936"/>
      <c r="AV2936"/>
    </row>
    <row r="2937" spans="41:48" x14ac:dyDescent="0.35">
      <c r="AO2937"/>
      <c r="AP2937"/>
      <c r="AQ2937"/>
      <c r="AR2937"/>
      <c r="AS2937"/>
      <c r="AT2937"/>
      <c r="AU2937"/>
      <c r="AV2937"/>
    </row>
    <row r="2938" spans="41:48" x14ac:dyDescent="0.35">
      <c r="AO2938"/>
      <c r="AP2938"/>
      <c r="AQ2938"/>
      <c r="AR2938"/>
      <c r="AS2938"/>
      <c r="AT2938"/>
      <c r="AU2938"/>
      <c r="AV2938"/>
    </row>
    <row r="2939" spans="41:48" x14ac:dyDescent="0.35">
      <c r="AO2939"/>
      <c r="AP2939"/>
      <c r="AQ2939"/>
      <c r="AR2939"/>
      <c r="AS2939"/>
      <c r="AT2939"/>
      <c r="AU2939"/>
      <c r="AV2939"/>
    </row>
    <row r="2940" spans="41:48" x14ac:dyDescent="0.35">
      <c r="AO2940"/>
      <c r="AP2940"/>
      <c r="AQ2940"/>
      <c r="AR2940"/>
      <c r="AS2940"/>
      <c r="AT2940"/>
      <c r="AU2940"/>
      <c r="AV2940"/>
    </row>
    <row r="2941" spans="41:48" x14ac:dyDescent="0.35">
      <c r="AO2941"/>
      <c r="AP2941"/>
      <c r="AQ2941"/>
      <c r="AR2941"/>
      <c r="AS2941"/>
      <c r="AT2941"/>
      <c r="AU2941"/>
      <c r="AV2941"/>
    </row>
    <row r="2942" spans="41:48" x14ac:dyDescent="0.35">
      <c r="AO2942"/>
      <c r="AP2942"/>
      <c r="AQ2942"/>
      <c r="AR2942"/>
      <c r="AS2942"/>
      <c r="AT2942"/>
      <c r="AU2942"/>
      <c r="AV2942"/>
    </row>
    <row r="2943" spans="41:48" x14ac:dyDescent="0.35">
      <c r="AO2943"/>
      <c r="AP2943"/>
      <c r="AQ2943"/>
      <c r="AR2943"/>
      <c r="AS2943"/>
      <c r="AT2943"/>
      <c r="AU2943"/>
      <c r="AV2943"/>
    </row>
    <row r="2944" spans="41:48" x14ac:dyDescent="0.35">
      <c r="AO2944"/>
      <c r="AP2944"/>
      <c r="AQ2944"/>
      <c r="AR2944"/>
      <c r="AS2944"/>
      <c r="AT2944"/>
      <c r="AU2944"/>
      <c r="AV2944"/>
    </row>
    <row r="2945" spans="41:48" x14ac:dyDescent="0.35">
      <c r="AO2945"/>
      <c r="AP2945"/>
      <c r="AQ2945"/>
      <c r="AR2945"/>
      <c r="AS2945"/>
      <c r="AT2945"/>
      <c r="AU2945"/>
      <c r="AV2945"/>
    </row>
    <row r="2946" spans="41:48" x14ac:dyDescent="0.35">
      <c r="AO2946"/>
      <c r="AP2946"/>
      <c r="AQ2946"/>
      <c r="AR2946"/>
      <c r="AS2946"/>
      <c r="AT2946"/>
      <c r="AU2946"/>
      <c r="AV2946"/>
    </row>
    <row r="2947" spans="41:48" x14ac:dyDescent="0.35">
      <c r="AO2947"/>
      <c r="AP2947"/>
      <c r="AQ2947"/>
      <c r="AR2947"/>
      <c r="AS2947"/>
      <c r="AT2947"/>
      <c r="AU2947"/>
      <c r="AV2947"/>
    </row>
    <row r="2948" spans="41:48" x14ac:dyDescent="0.35">
      <c r="AO2948"/>
      <c r="AP2948"/>
      <c r="AQ2948"/>
      <c r="AR2948"/>
      <c r="AS2948"/>
      <c r="AT2948"/>
      <c r="AU2948"/>
      <c r="AV2948"/>
    </row>
    <row r="2949" spans="41:48" x14ac:dyDescent="0.35">
      <c r="AO2949"/>
      <c r="AP2949"/>
      <c r="AQ2949"/>
      <c r="AR2949"/>
      <c r="AS2949"/>
      <c r="AT2949"/>
      <c r="AU2949"/>
      <c r="AV2949"/>
    </row>
    <row r="2950" spans="41:48" x14ac:dyDescent="0.35">
      <c r="AO2950"/>
      <c r="AP2950"/>
      <c r="AQ2950"/>
      <c r="AR2950"/>
      <c r="AS2950"/>
      <c r="AT2950"/>
      <c r="AU2950"/>
      <c r="AV2950"/>
    </row>
    <row r="2951" spans="41:48" x14ac:dyDescent="0.35">
      <c r="AO2951"/>
      <c r="AP2951"/>
      <c r="AQ2951"/>
      <c r="AR2951"/>
      <c r="AS2951"/>
      <c r="AT2951"/>
      <c r="AU2951"/>
      <c r="AV2951"/>
    </row>
    <row r="2952" spans="41:48" x14ac:dyDescent="0.35">
      <c r="AO2952"/>
      <c r="AP2952"/>
      <c r="AQ2952"/>
      <c r="AR2952"/>
      <c r="AS2952"/>
      <c r="AT2952"/>
      <c r="AU2952"/>
      <c r="AV2952"/>
    </row>
    <row r="2953" spans="41:48" x14ac:dyDescent="0.35">
      <c r="AO2953"/>
      <c r="AP2953"/>
      <c r="AQ2953"/>
      <c r="AR2953"/>
      <c r="AS2953"/>
      <c r="AT2953"/>
      <c r="AU2953"/>
      <c r="AV2953"/>
    </row>
    <row r="2954" spans="41:48" x14ac:dyDescent="0.35">
      <c r="AO2954"/>
      <c r="AP2954"/>
      <c r="AQ2954"/>
      <c r="AR2954"/>
      <c r="AS2954"/>
      <c r="AT2954"/>
      <c r="AU2954"/>
      <c r="AV2954"/>
    </row>
    <row r="2955" spans="41:48" x14ac:dyDescent="0.35">
      <c r="AO2955"/>
      <c r="AP2955"/>
      <c r="AQ2955"/>
      <c r="AR2955"/>
      <c r="AS2955"/>
      <c r="AT2955"/>
      <c r="AU2955"/>
      <c r="AV2955"/>
    </row>
    <row r="2956" spans="41:48" x14ac:dyDescent="0.35">
      <c r="AO2956"/>
      <c r="AP2956"/>
      <c r="AQ2956"/>
      <c r="AR2956"/>
      <c r="AS2956"/>
      <c r="AT2956"/>
      <c r="AU2956"/>
      <c r="AV2956"/>
    </row>
    <row r="2957" spans="41:48" x14ac:dyDescent="0.35">
      <c r="AO2957"/>
      <c r="AP2957"/>
      <c r="AQ2957"/>
      <c r="AR2957"/>
      <c r="AS2957"/>
      <c r="AT2957"/>
      <c r="AU2957"/>
      <c r="AV2957"/>
    </row>
    <row r="2958" spans="41:48" x14ac:dyDescent="0.35">
      <c r="AO2958"/>
      <c r="AP2958"/>
      <c r="AQ2958"/>
      <c r="AR2958"/>
      <c r="AS2958"/>
      <c r="AT2958"/>
      <c r="AU2958"/>
      <c r="AV2958"/>
    </row>
    <row r="2959" spans="41:48" x14ac:dyDescent="0.35">
      <c r="AO2959"/>
      <c r="AP2959"/>
      <c r="AQ2959"/>
      <c r="AR2959"/>
      <c r="AS2959"/>
      <c r="AT2959"/>
      <c r="AU2959"/>
      <c r="AV2959"/>
    </row>
    <row r="2960" spans="41:48" x14ac:dyDescent="0.35">
      <c r="AO2960"/>
      <c r="AP2960"/>
      <c r="AQ2960"/>
      <c r="AR2960"/>
      <c r="AS2960"/>
      <c r="AT2960"/>
      <c r="AU2960"/>
      <c r="AV2960"/>
    </row>
    <row r="2961" spans="41:48" x14ac:dyDescent="0.35">
      <c r="AO2961"/>
      <c r="AP2961"/>
      <c r="AQ2961"/>
      <c r="AR2961"/>
      <c r="AS2961"/>
      <c r="AT2961"/>
      <c r="AU2961"/>
      <c r="AV2961"/>
    </row>
    <row r="2962" spans="41:48" x14ac:dyDescent="0.35">
      <c r="AO2962"/>
      <c r="AP2962"/>
      <c r="AQ2962"/>
      <c r="AR2962"/>
      <c r="AS2962"/>
      <c r="AT2962"/>
      <c r="AU2962"/>
      <c r="AV2962"/>
    </row>
    <row r="2963" spans="41:48" x14ac:dyDescent="0.35">
      <c r="AO2963"/>
      <c r="AP2963"/>
      <c r="AQ2963"/>
      <c r="AR2963"/>
      <c r="AS2963"/>
      <c r="AT2963"/>
      <c r="AU2963"/>
      <c r="AV2963"/>
    </row>
    <row r="2964" spans="41:48" x14ac:dyDescent="0.35">
      <c r="AO2964"/>
      <c r="AP2964"/>
      <c r="AQ2964"/>
      <c r="AR2964"/>
      <c r="AS2964"/>
      <c r="AT2964"/>
      <c r="AU2964"/>
      <c r="AV2964"/>
    </row>
    <row r="2965" spans="41:48" x14ac:dyDescent="0.35">
      <c r="AO2965"/>
      <c r="AP2965"/>
      <c r="AQ2965"/>
      <c r="AR2965"/>
      <c r="AS2965"/>
      <c r="AT2965"/>
      <c r="AU2965"/>
      <c r="AV2965"/>
    </row>
    <row r="2966" spans="41:48" x14ac:dyDescent="0.35">
      <c r="AO2966"/>
      <c r="AP2966"/>
      <c r="AQ2966"/>
      <c r="AR2966"/>
      <c r="AS2966"/>
      <c r="AT2966"/>
      <c r="AU2966"/>
      <c r="AV2966"/>
    </row>
    <row r="2967" spans="41:48" x14ac:dyDescent="0.35">
      <c r="AO2967"/>
      <c r="AP2967"/>
      <c r="AQ2967"/>
      <c r="AR2967"/>
      <c r="AS2967"/>
      <c r="AT2967"/>
      <c r="AU2967"/>
      <c r="AV2967"/>
    </row>
    <row r="2968" spans="41:48" x14ac:dyDescent="0.35">
      <c r="AO2968"/>
      <c r="AP2968"/>
      <c r="AQ2968"/>
      <c r="AR2968"/>
      <c r="AS2968"/>
      <c r="AT2968"/>
      <c r="AU2968"/>
      <c r="AV2968"/>
    </row>
    <row r="2969" spans="41:48" x14ac:dyDescent="0.35">
      <c r="AO2969"/>
      <c r="AP2969"/>
      <c r="AQ2969"/>
      <c r="AR2969"/>
      <c r="AS2969"/>
      <c r="AT2969"/>
      <c r="AU2969"/>
      <c r="AV2969"/>
    </row>
    <row r="2970" spans="41:48" x14ac:dyDescent="0.35">
      <c r="AO2970"/>
      <c r="AP2970"/>
      <c r="AQ2970"/>
      <c r="AR2970"/>
      <c r="AS2970"/>
      <c r="AT2970"/>
      <c r="AU2970"/>
      <c r="AV2970"/>
    </row>
    <row r="2971" spans="41:48" x14ac:dyDescent="0.35">
      <c r="AO2971"/>
      <c r="AP2971"/>
      <c r="AQ2971"/>
      <c r="AR2971"/>
      <c r="AS2971"/>
      <c r="AT2971"/>
      <c r="AU2971"/>
      <c r="AV2971"/>
    </row>
    <row r="2972" spans="41:48" x14ac:dyDescent="0.35">
      <c r="AO2972"/>
      <c r="AP2972"/>
      <c r="AQ2972"/>
      <c r="AR2972"/>
      <c r="AS2972"/>
      <c r="AT2972"/>
      <c r="AU2972"/>
      <c r="AV2972"/>
    </row>
    <row r="2973" spans="41:48" x14ac:dyDescent="0.35">
      <c r="AO2973"/>
      <c r="AP2973"/>
      <c r="AQ2973"/>
      <c r="AR2973"/>
      <c r="AS2973"/>
      <c r="AT2973"/>
      <c r="AU2973"/>
      <c r="AV2973"/>
    </row>
    <row r="2974" spans="41:48" x14ac:dyDescent="0.35">
      <c r="AO2974"/>
      <c r="AP2974"/>
      <c r="AQ2974"/>
      <c r="AR2974"/>
      <c r="AS2974"/>
      <c r="AT2974"/>
      <c r="AU2974"/>
      <c r="AV2974"/>
    </row>
    <row r="2975" spans="41:48" x14ac:dyDescent="0.35">
      <c r="AO2975"/>
      <c r="AP2975"/>
      <c r="AQ2975"/>
      <c r="AR2975"/>
      <c r="AS2975"/>
      <c r="AT2975"/>
      <c r="AU2975"/>
      <c r="AV2975"/>
    </row>
    <row r="2976" spans="41:48" x14ac:dyDescent="0.35">
      <c r="AO2976"/>
      <c r="AP2976"/>
      <c r="AQ2976"/>
      <c r="AR2976"/>
      <c r="AS2976"/>
      <c r="AT2976"/>
      <c r="AU2976"/>
      <c r="AV2976"/>
    </row>
    <row r="2977" spans="41:48" x14ac:dyDescent="0.35">
      <c r="AO2977"/>
      <c r="AP2977"/>
      <c r="AQ2977"/>
      <c r="AR2977"/>
      <c r="AS2977"/>
      <c r="AT2977"/>
      <c r="AU2977"/>
      <c r="AV2977"/>
    </row>
    <row r="2978" spans="41:48" x14ac:dyDescent="0.35">
      <c r="AO2978"/>
      <c r="AP2978"/>
      <c r="AQ2978"/>
      <c r="AR2978"/>
      <c r="AS2978"/>
      <c r="AT2978"/>
      <c r="AU2978"/>
      <c r="AV2978"/>
    </row>
    <row r="2979" spans="41:48" x14ac:dyDescent="0.35">
      <c r="AO2979"/>
      <c r="AP2979"/>
      <c r="AQ2979"/>
      <c r="AR2979"/>
      <c r="AS2979"/>
      <c r="AT2979"/>
      <c r="AU2979"/>
      <c r="AV2979"/>
    </row>
    <row r="2980" spans="41:48" x14ac:dyDescent="0.35">
      <c r="AO2980"/>
      <c r="AP2980"/>
      <c r="AQ2980"/>
      <c r="AR2980"/>
      <c r="AS2980"/>
      <c r="AT2980"/>
      <c r="AU2980"/>
      <c r="AV2980"/>
    </row>
    <row r="2981" spans="41:48" x14ac:dyDescent="0.35">
      <c r="AO2981"/>
      <c r="AP2981"/>
      <c r="AQ2981"/>
      <c r="AR2981"/>
      <c r="AS2981"/>
      <c r="AT2981"/>
      <c r="AU2981"/>
      <c r="AV2981"/>
    </row>
    <row r="2982" spans="41:48" x14ac:dyDescent="0.35">
      <c r="AO2982"/>
      <c r="AP2982"/>
      <c r="AQ2982"/>
      <c r="AR2982"/>
      <c r="AS2982"/>
      <c r="AT2982"/>
      <c r="AU2982"/>
      <c r="AV2982"/>
    </row>
    <row r="2983" spans="41:48" x14ac:dyDescent="0.35">
      <c r="AO2983"/>
      <c r="AP2983"/>
      <c r="AQ2983"/>
      <c r="AR2983"/>
      <c r="AS2983"/>
      <c r="AT2983"/>
      <c r="AU2983"/>
      <c r="AV2983"/>
    </row>
    <row r="2984" spans="41:48" x14ac:dyDescent="0.35">
      <c r="AO2984"/>
      <c r="AP2984"/>
      <c r="AQ2984"/>
      <c r="AR2984"/>
      <c r="AS2984"/>
      <c r="AT2984"/>
      <c r="AU2984"/>
      <c r="AV2984"/>
    </row>
    <row r="2985" spans="41:48" x14ac:dyDescent="0.35">
      <c r="AO2985"/>
      <c r="AP2985"/>
      <c r="AQ2985"/>
      <c r="AR2985"/>
      <c r="AS2985"/>
      <c r="AT2985"/>
      <c r="AU2985"/>
      <c r="AV2985"/>
    </row>
    <row r="2986" spans="41:48" x14ac:dyDescent="0.35">
      <c r="AO2986"/>
      <c r="AP2986"/>
      <c r="AQ2986"/>
      <c r="AR2986"/>
      <c r="AS2986"/>
      <c r="AT2986"/>
      <c r="AU2986"/>
      <c r="AV2986"/>
    </row>
    <row r="2987" spans="41:48" x14ac:dyDescent="0.35">
      <c r="AO2987"/>
      <c r="AP2987"/>
      <c r="AQ2987"/>
      <c r="AR2987"/>
      <c r="AS2987"/>
      <c r="AT2987"/>
      <c r="AU2987"/>
      <c r="AV2987"/>
    </row>
    <row r="2988" spans="41:48" x14ac:dyDescent="0.35">
      <c r="AO2988"/>
      <c r="AP2988"/>
      <c r="AQ2988"/>
      <c r="AR2988"/>
      <c r="AS2988"/>
      <c r="AT2988"/>
      <c r="AU2988"/>
      <c r="AV2988"/>
    </row>
    <row r="2989" spans="41:48" x14ac:dyDescent="0.35">
      <c r="AO2989"/>
      <c r="AP2989"/>
      <c r="AQ2989"/>
      <c r="AR2989"/>
      <c r="AS2989"/>
      <c r="AT2989"/>
      <c r="AU2989"/>
      <c r="AV2989"/>
    </row>
    <row r="2990" spans="41:48" x14ac:dyDescent="0.35">
      <c r="AO2990"/>
      <c r="AP2990"/>
      <c r="AQ2990"/>
      <c r="AR2990"/>
      <c r="AS2990"/>
      <c r="AT2990"/>
      <c r="AU2990"/>
      <c r="AV2990"/>
    </row>
    <row r="2991" spans="41:48" x14ac:dyDescent="0.35">
      <c r="AO2991"/>
      <c r="AP2991"/>
      <c r="AQ2991"/>
      <c r="AR2991"/>
      <c r="AS2991"/>
      <c r="AT2991"/>
      <c r="AU2991"/>
      <c r="AV2991"/>
    </row>
    <row r="2992" spans="41:48" x14ac:dyDescent="0.35">
      <c r="AO2992"/>
      <c r="AP2992"/>
      <c r="AQ2992"/>
      <c r="AR2992"/>
      <c r="AS2992"/>
      <c r="AT2992"/>
      <c r="AU2992"/>
      <c r="AV2992"/>
    </row>
    <row r="2993" spans="41:48" x14ac:dyDescent="0.35">
      <c r="AO2993"/>
      <c r="AP2993"/>
      <c r="AQ2993"/>
      <c r="AR2993"/>
      <c r="AS2993"/>
      <c r="AT2993"/>
      <c r="AU2993"/>
      <c r="AV2993"/>
    </row>
    <row r="2994" spans="41:48" x14ac:dyDescent="0.35">
      <c r="AO2994"/>
      <c r="AP2994"/>
      <c r="AQ2994"/>
      <c r="AR2994"/>
      <c r="AS2994"/>
      <c r="AT2994"/>
      <c r="AU2994"/>
      <c r="AV2994"/>
    </row>
    <row r="2995" spans="41:48" x14ac:dyDescent="0.35">
      <c r="AO2995"/>
      <c r="AP2995"/>
      <c r="AQ2995"/>
      <c r="AR2995"/>
      <c r="AS2995"/>
      <c r="AT2995"/>
      <c r="AU2995"/>
      <c r="AV2995"/>
    </row>
    <row r="2996" spans="41:48" x14ac:dyDescent="0.35">
      <c r="AO2996"/>
      <c r="AP2996"/>
      <c r="AQ2996"/>
      <c r="AR2996"/>
      <c r="AS2996"/>
      <c r="AT2996"/>
      <c r="AU2996"/>
      <c r="AV2996"/>
    </row>
    <row r="2997" spans="41:48" x14ac:dyDescent="0.35">
      <c r="AO2997"/>
      <c r="AP2997"/>
      <c r="AQ2997"/>
      <c r="AR2997"/>
      <c r="AS2997"/>
      <c r="AT2997"/>
      <c r="AU2997"/>
      <c r="AV2997"/>
    </row>
    <row r="2998" spans="41:48" x14ac:dyDescent="0.35">
      <c r="AO2998"/>
      <c r="AP2998"/>
      <c r="AQ2998"/>
      <c r="AR2998"/>
      <c r="AS2998"/>
      <c r="AT2998"/>
      <c r="AU2998"/>
      <c r="AV2998"/>
    </row>
    <row r="2999" spans="41:48" x14ac:dyDescent="0.35">
      <c r="AO2999"/>
      <c r="AP2999"/>
      <c r="AQ2999"/>
      <c r="AR2999"/>
      <c r="AS2999"/>
      <c r="AT2999"/>
      <c r="AU2999"/>
      <c r="AV2999"/>
    </row>
    <row r="3000" spans="41:48" x14ac:dyDescent="0.35">
      <c r="AO3000"/>
      <c r="AP3000"/>
      <c r="AQ3000"/>
      <c r="AR3000"/>
      <c r="AS3000"/>
      <c r="AT3000"/>
      <c r="AU3000"/>
      <c r="AV3000"/>
    </row>
    <row r="3001" spans="41:48" x14ac:dyDescent="0.35">
      <c r="AO3001"/>
      <c r="AP3001"/>
      <c r="AQ3001"/>
      <c r="AR3001"/>
      <c r="AS3001"/>
      <c r="AT3001"/>
      <c r="AU3001"/>
      <c r="AV3001"/>
    </row>
    <row r="3002" spans="41:48" x14ac:dyDescent="0.35">
      <c r="AO3002"/>
      <c r="AP3002"/>
      <c r="AQ3002"/>
      <c r="AR3002"/>
      <c r="AS3002"/>
      <c r="AT3002"/>
      <c r="AU3002"/>
      <c r="AV3002"/>
    </row>
    <row r="3003" spans="41:48" x14ac:dyDescent="0.35">
      <c r="AO3003"/>
      <c r="AP3003"/>
      <c r="AQ3003"/>
      <c r="AR3003"/>
      <c r="AS3003"/>
      <c r="AT3003"/>
      <c r="AU3003"/>
      <c r="AV3003"/>
    </row>
    <row r="3004" spans="41:48" x14ac:dyDescent="0.35">
      <c r="AO3004"/>
      <c r="AP3004"/>
      <c r="AQ3004"/>
      <c r="AR3004"/>
      <c r="AS3004"/>
      <c r="AT3004"/>
      <c r="AU3004"/>
      <c r="AV3004"/>
    </row>
    <row r="3005" spans="41:48" x14ac:dyDescent="0.35">
      <c r="AO3005"/>
      <c r="AP3005"/>
      <c r="AQ3005"/>
      <c r="AR3005"/>
      <c r="AS3005"/>
      <c r="AT3005"/>
      <c r="AU3005"/>
      <c r="AV3005"/>
    </row>
    <row r="3006" spans="41:48" x14ac:dyDescent="0.35">
      <c r="AO3006"/>
      <c r="AP3006"/>
      <c r="AQ3006"/>
      <c r="AR3006"/>
      <c r="AS3006"/>
      <c r="AT3006"/>
      <c r="AU3006"/>
      <c r="AV3006"/>
    </row>
    <row r="3007" spans="41:48" x14ac:dyDescent="0.35">
      <c r="AO3007"/>
      <c r="AP3007"/>
      <c r="AQ3007"/>
      <c r="AR3007"/>
      <c r="AS3007"/>
      <c r="AT3007"/>
      <c r="AU3007"/>
      <c r="AV3007"/>
    </row>
    <row r="3008" spans="41:48" x14ac:dyDescent="0.35">
      <c r="AO3008"/>
      <c r="AP3008"/>
      <c r="AQ3008"/>
      <c r="AR3008"/>
      <c r="AS3008"/>
      <c r="AT3008"/>
      <c r="AU3008"/>
      <c r="AV3008"/>
    </row>
    <row r="3009" spans="41:48" x14ac:dyDescent="0.35">
      <c r="AO3009"/>
      <c r="AP3009"/>
      <c r="AQ3009"/>
      <c r="AR3009"/>
      <c r="AS3009"/>
      <c r="AT3009"/>
      <c r="AU3009"/>
      <c r="AV3009"/>
    </row>
    <row r="3010" spans="41:48" x14ac:dyDescent="0.35">
      <c r="AO3010"/>
      <c r="AP3010"/>
      <c r="AQ3010"/>
      <c r="AR3010"/>
      <c r="AS3010"/>
      <c r="AT3010"/>
      <c r="AU3010"/>
      <c r="AV3010"/>
    </row>
    <row r="3011" spans="41:48" x14ac:dyDescent="0.35">
      <c r="AO3011"/>
      <c r="AP3011"/>
      <c r="AQ3011"/>
      <c r="AR3011"/>
      <c r="AS3011"/>
      <c r="AT3011"/>
      <c r="AU3011"/>
      <c r="AV3011"/>
    </row>
    <row r="3012" spans="41:48" x14ac:dyDescent="0.35">
      <c r="AO3012"/>
      <c r="AP3012"/>
      <c r="AQ3012"/>
      <c r="AR3012"/>
      <c r="AS3012"/>
      <c r="AT3012"/>
      <c r="AU3012"/>
      <c r="AV3012"/>
    </row>
    <row r="3013" spans="41:48" x14ac:dyDescent="0.35">
      <c r="AO3013"/>
      <c r="AP3013"/>
      <c r="AQ3013"/>
      <c r="AR3013"/>
      <c r="AS3013"/>
      <c r="AT3013"/>
      <c r="AU3013"/>
      <c r="AV3013"/>
    </row>
    <row r="3014" spans="41:48" x14ac:dyDescent="0.35">
      <c r="AO3014"/>
      <c r="AP3014"/>
      <c r="AQ3014"/>
      <c r="AR3014"/>
      <c r="AS3014"/>
      <c r="AT3014"/>
      <c r="AU3014"/>
      <c r="AV3014"/>
    </row>
    <row r="3015" spans="41:48" x14ac:dyDescent="0.35">
      <c r="AO3015"/>
      <c r="AP3015"/>
      <c r="AQ3015"/>
      <c r="AR3015"/>
      <c r="AS3015"/>
      <c r="AT3015"/>
      <c r="AU3015"/>
      <c r="AV3015"/>
    </row>
    <row r="3016" spans="41:48" x14ac:dyDescent="0.35">
      <c r="AO3016"/>
      <c r="AP3016"/>
      <c r="AQ3016"/>
      <c r="AR3016"/>
      <c r="AS3016"/>
      <c r="AT3016"/>
      <c r="AU3016"/>
      <c r="AV3016"/>
    </row>
    <row r="3017" spans="41:48" x14ac:dyDescent="0.35">
      <c r="AO3017"/>
      <c r="AP3017"/>
      <c r="AQ3017"/>
      <c r="AR3017"/>
      <c r="AS3017"/>
      <c r="AT3017"/>
      <c r="AU3017"/>
      <c r="AV3017"/>
    </row>
    <row r="3018" spans="41:48" x14ac:dyDescent="0.35">
      <c r="AO3018"/>
      <c r="AP3018"/>
      <c r="AQ3018"/>
      <c r="AR3018"/>
      <c r="AS3018"/>
      <c r="AT3018"/>
      <c r="AU3018"/>
      <c r="AV3018"/>
    </row>
    <row r="3019" spans="41:48" x14ac:dyDescent="0.35">
      <c r="AO3019"/>
      <c r="AP3019"/>
      <c r="AQ3019"/>
      <c r="AR3019"/>
      <c r="AS3019"/>
      <c r="AT3019"/>
      <c r="AU3019"/>
      <c r="AV3019"/>
    </row>
    <row r="3020" spans="41:48" x14ac:dyDescent="0.35">
      <c r="AO3020"/>
      <c r="AP3020"/>
      <c r="AQ3020"/>
      <c r="AR3020"/>
      <c r="AS3020"/>
      <c r="AT3020"/>
      <c r="AU3020"/>
      <c r="AV3020"/>
    </row>
    <row r="3021" spans="41:48" x14ac:dyDescent="0.35">
      <c r="AO3021"/>
      <c r="AP3021"/>
      <c r="AQ3021"/>
      <c r="AR3021"/>
      <c r="AS3021"/>
      <c r="AT3021"/>
      <c r="AU3021"/>
      <c r="AV3021"/>
    </row>
    <row r="3022" spans="41:48" x14ac:dyDescent="0.35">
      <c r="AO3022"/>
      <c r="AP3022"/>
      <c r="AQ3022"/>
      <c r="AR3022"/>
      <c r="AS3022"/>
      <c r="AT3022"/>
      <c r="AU3022"/>
      <c r="AV3022"/>
    </row>
    <row r="3023" spans="41:48" x14ac:dyDescent="0.35">
      <c r="AO3023"/>
      <c r="AP3023"/>
      <c r="AQ3023"/>
      <c r="AR3023"/>
      <c r="AS3023"/>
      <c r="AT3023"/>
      <c r="AU3023"/>
      <c r="AV3023"/>
    </row>
    <row r="3024" spans="41:48" x14ac:dyDescent="0.35">
      <c r="AO3024"/>
      <c r="AP3024"/>
      <c r="AQ3024"/>
      <c r="AR3024"/>
      <c r="AS3024"/>
      <c r="AT3024"/>
      <c r="AU3024"/>
      <c r="AV3024"/>
    </row>
    <row r="3025" spans="41:48" x14ac:dyDescent="0.35">
      <c r="AO3025"/>
      <c r="AP3025"/>
      <c r="AQ3025"/>
      <c r="AR3025"/>
      <c r="AS3025"/>
      <c r="AT3025"/>
      <c r="AU3025"/>
      <c r="AV3025"/>
    </row>
    <row r="3026" spans="41:48" x14ac:dyDescent="0.35">
      <c r="AO3026"/>
      <c r="AP3026"/>
      <c r="AQ3026"/>
      <c r="AR3026"/>
      <c r="AS3026"/>
      <c r="AT3026"/>
      <c r="AU3026"/>
      <c r="AV3026"/>
    </row>
    <row r="3027" spans="41:48" x14ac:dyDescent="0.35">
      <c r="AO3027"/>
      <c r="AP3027"/>
      <c r="AQ3027"/>
      <c r="AR3027"/>
      <c r="AS3027"/>
      <c r="AT3027"/>
      <c r="AU3027"/>
      <c r="AV3027"/>
    </row>
    <row r="3028" spans="41:48" x14ac:dyDescent="0.35">
      <c r="AO3028"/>
      <c r="AP3028"/>
      <c r="AQ3028"/>
      <c r="AR3028"/>
      <c r="AS3028"/>
      <c r="AT3028"/>
      <c r="AU3028"/>
      <c r="AV3028"/>
    </row>
    <row r="3029" spans="41:48" x14ac:dyDescent="0.35">
      <c r="AO3029"/>
      <c r="AP3029"/>
      <c r="AQ3029"/>
      <c r="AR3029"/>
      <c r="AS3029"/>
      <c r="AT3029"/>
      <c r="AU3029"/>
      <c r="AV3029"/>
    </row>
    <row r="3030" spans="41:48" x14ac:dyDescent="0.35">
      <c r="AO3030"/>
      <c r="AP3030"/>
      <c r="AQ3030"/>
      <c r="AR3030"/>
      <c r="AS3030"/>
      <c r="AT3030"/>
      <c r="AU3030"/>
      <c r="AV3030"/>
    </row>
    <row r="3031" spans="41:48" x14ac:dyDescent="0.35">
      <c r="AO3031"/>
      <c r="AP3031"/>
      <c r="AQ3031"/>
      <c r="AR3031"/>
      <c r="AS3031"/>
      <c r="AT3031"/>
      <c r="AU3031"/>
      <c r="AV3031"/>
    </row>
    <row r="3032" spans="41:48" x14ac:dyDescent="0.35">
      <c r="AO3032"/>
      <c r="AP3032"/>
      <c r="AQ3032"/>
      <c r="AR3032"/>
      <c r="AS3032"/>
      <c r="AT3032"/>
      <c r="AU3032"/>
      <c r="AV3032"/>
    </row>
    <row r="3033" spans="41:48" x14ac:dyDescent="0.35">
      <c r="AO3033"/>
      <c r="AP3033"/>
      <c r="AQ3033"/>
      <c r="AR3033"/>
      <c r="AS3033"/>
      <c r="AT3033"/>
      <c r="AU3033"/>
      <c r="AV3033"/>
    </row>
    <row r="3034" spans="41:48" x14ac:dyDescent="0.35">
      <c r="AO3034"/>
      <c r="AP3034"/>
      <c r="AQ3034"/>
      <c r="AR3034"/>
      <c r="AS3034"/>
      <c r="AT3034"/>
      <c r="AU3034"/>
      <c r="AV3034"/>
    </row>
    <row r="3035" spans="41:48" x14ac:dyDescent="0.35">
      <c r="AO3035"/>
      <c r="AP3035"/>
      <c r="AQ3035"/>
      <c r="AR3035"/>
      <c r="AS3035"/>
      <c r="AT3035"/>
      <c r="AU3035"/>
      <c r="AV3035"/>
    </row>
    <row r="3036" spans="41:48" x14ac:dyDescent="0.35">
      <c r="AO3036"/>
      <c r="AP3036"/>
      <c r="AQ3036"/>
      <c r="AR3036"/>
      <c r="AS3036"/>
      <c r="AT3036"/>
      <c r="AU3036"/>
      <c r="AV3036"/>
    </row>
    <row r="3037" spans="41:48" x14ac:dyDescent="0.35">
      <c r="AO3037"/>
      <c r="AP3037"/>
      <c r="AQ3037"/>
      <c r="AR3037"/>
      <c r="AS3037"/>
      <c r="AT3037"/>
      <c r="AU3037"/>
      <c r="AV3037"/>
    </row>
    <row r="3038" spans="41:48" x14ac:dyDescent="0.35">
      <c r="AO3038"/>
      <c r="AP3038"/>
      <c r="AQ3038"/>
      <c r="AR3038"/>
      <c r="AS3038"/>
      <c r="AT3038"/>
      <c r="AU3038"/>
      <c r="AV3038"/>
    </row>
    <row r="3039" spans="41:48" x14ac:dyDescent="0.35">
      <c r="AO3039"/>
      <c r="AP3039"/>
      <c r="AQ3039"/>
      <c r="AR3039"/>
      <c r="AS3039"/>
      <c r="AT3039"/>
      <c r="AU3039"/>
      <c r="AV3039"/>
    </row>
    <row r="3040" spans="41:48" x14ac:dyDescent="0.35">
      <c r="AO3040"/>
      <c r="AP3040"/>
      <c r="AQ3040"/>
      <c r="AR3040"/>
      <c r="AS3040"/>
      <c r="AT3040"/>
      <c r="AU3040"/>
      <c r="AV3040"/>
    </row>
    <row r="3041" spans="41:48" x14ac:dyDescent="0.35">
      <c r="AO3041"/>
      <c r="AP3041"/>
      <c r="AQ3041"/>
      <c r="AR3041"/>
      <c r="AS3041"/>
      <c r="AT3041"/>
      <c r="AU3041"/>
      <c r="AV3041"/>
    </row>
    <row r="3042" spans="41:48" x14ac:dyDescent="0.35">
      <c r="AO3042"/>
      <c r="AP3042"/>
      <c r="AQ3042"/>
      <c r="AR3042"/>
      <c r="AS3042"/>
      <c r="AT3042"/>
      <c r="AU3042"/>
      <c r="AV3042"/>
    </row>
    <row r="3043" spans="41:48" x14ac:dyDescent="0.35">
      <c r="AO3043"/>
      <c r="AP3043"/>
      <c r="AQ3043"/>
      <c r="AR3043"/>
      <c r="AS3043"/>
      <c r="AT3043"/>
      <c r="AU3043"/>
      <c r="AV3043"/>
    </row>
    <row r="3044" spans="41:48" x14ac:dyDescent="0.35">
      <c r="AO3044"/>
      <c r="AP3044"/>
      <c r="AQ3044"/>
      <c r="AR3044"/>
      <c r="AS3044"/>
      <c r="AT3044"/>
      <c r="AU3044"/>
      <c r="AV3044"/>
    </row>
    <row r="3045" spans="41:48" x14ac:dyDescent="0.35">
      <c r="AO3045"/>
      <c r="AP3045"/>
      <c r="AQ3045"/>
      <c r="AR3045"/>
      <c r="AS3045"/>
      <c r="AT3045"/>
      <c r="AU3045"/>
      <c r="AV3045"/>
    </row>
    <row r="3046" spans="41:48" x14ac:dyDescent="0.35">
      <c r="AO3046"/>
      <c r="AP3046"/>
      <c r="AQ3046"/>
      <c r="AR3046"/>
      <c r="AS3046"/>
      <c r="AT3046"/>
      <c r="AU3046"/>
      <c r="AV3046"/>
    </row>
    <row r="3047" spans="41:48" x14ac:dyDescent="0.35">
      <c r="AO3047"/>
      <c r="AP3047"/>
      <c r="AQ3047"/>
      <c r="AR3047"/>
      <c r="AS3047"/>
      <c r="AT3047"/>
      <c r="AU3047"/>
      <c r="AV3047"/>
    </row>
    <row r="3048" spans="41:48" x14ac:dyDescent="0.35">
      <c r="AO3048"/>
      <c r="AP3048"/>
      <c r="AQ3048"/>
      <c r="AR3048"/>
      <c r="AS3048"/>
      <c r="AT3048"/>
      <c r="AU3048"/>
      <c r="AV3048"/>
    </row>
    <row r="3049" spans="41:48" x14ac:dyDescent="0.35">
      <c r="AO3049"/>
      <c r="AP3049"/>
      <c r="AQ3049"/>
      <c r="AR3049"/>
      <c r="AS3049"/>
      <c r="AT3049"/>
      <c r="AU3049"/>
      <c r="AV3049"/>
    </row>
    <row r="3050" spans="41:48" x14ac:dyDescent="0.35">
      <c r="AO3050"/>
      <c r="AP3050"/>
      <c r="AQ3050"/>
      <c r="AR3050"/>
      <c r="AS3050"/>
      <c r="AT3050"/>
      <c r="AU3050"/>
      <c r="AV3050"/>
    </row>
    <row r="3051" spans="41:48" x14ac:dyDescent="0.35">
      <c r="AO3051"/>
      <c r="AP3051"/>
      <c r="AQ3051"/>
      <c r="AR3051"/>
      <c r="AS3051"/>
      <c r="AT3051"/>
      <c r="AU3051"/>
      <c r="AV3051"/>
    </row>
    <row r="3052" spans="41:48" x14ac:dyDescent="0.35">
      <c r="AO3052"/>
      <c r="AP3052"/>
      <c r="AQ3052"/>
      <c r="AR3052"/>
      <c r="AS3052"/>
      <c r="AT3052"/>
      <c r="AU3052"/>
      <c r="AV3052"/>
    </row>
    <row r="3053" spans="41:48" x14ac:dyDescent="0.35">
      <c r="AO3053"/>
      <c r="AP3053"/>
      <c r="AQ3053"/>
      <c r="AR3053"/>
      <c r="AS3053"/>
      <c r="AT3053"/>
      <c r="AU3053"/>
      <c r="AV3053"/>
    </row>
    <row r="3054" spans="41:48" x14ac:dyDescent="0.35">
      <c r="AO3054"/>
      <c r="AP3054"/>
      <c r="AQ3054"/>
      <c r="AR3054"/>
      <c r="AS3054"/>
      <c r="AT3054"/>
      <c r="AU3054"/>
      <c r="AV3054"/>
    </row>
    <row r="3055" spans="41:48" x14ac:dyDescent="0.35">
      <c r="AO3055"/>
      <c r="AP3055"/>
      <c r="AQ3055"/>
      <c r="AR3055"/>
      <c r="AS3055"/>
      <c r="AT3055"/>
      <c r="AU3055"/>
      <c r="AV3055"/>
    </row>
    <row r="3056" spans="41:48" x14ac:dyDescent="0.35">
      <c r="AO3056"/>
      <c r="AP3056"/>
      <c r="AQ3056"/>
      <c r="AR3056"/>
      <c r="AS3056"/>
      <c r="AT3056"/>
      <c r="AU3056"/>
      <c r="AV3056"/>
    </row>
    <row r="3057" spans="41:48" x14ac:dyDescent="0.35">
      <c r="AO3057"/>
      <c r="AP3057"/>
      <c r="AQ3057"/>
      <c r="AR3057"/>
      <c r="AS3057"/>
      <c r="AT3057"/>
      <c r="AU3057"/>
      <c r="AV3057"/>
    </row>
    <row r="3058" spans="41:48" x14ac:dyDescent="0.35">
      <c r="AO3058"/>
      <c r="AP3058"/>
      <c r="AQ3058"/>
      <c r="AR3058"/>
      <c r="AS3058"/>
      <c r="AT3058"/>
      <c r="AU3058"/>
      <c r="AV3058"/>
    </row>
    <row r="3059" spans="41:48" x14ac:dyDescent="0.35">
      <c r="AO3059"/>
      <c r="AP3059"/>
      <c r="AQ3059"/>
      <c r="AR3059"/>
      <c r="AS3059"/>
      <c r="AT3059"/>
      <c r="AU3059"/>
      <c r="AV3059"/>
    </row>
    <row r="3060" spans="41:48" x14ac:dyDescent="0.35">
      <c r="AO3060"/>
      <c r="AP3060"/>
      <c r="AQ3060"/>
      <c r="AR3060"/>
      <c r="AS3060"/>
      <c r="AT3060"/>
      <c r="AU3060"/>
      <c r="AV3060"/>
    </row>
    <row r="3061" spans="41:48" x14ac:dyDescent="0.35">
      <c r="AO3061"/>
      <c r="AP3061"/>
      <c r="AQ3061"/>
      <c r="AR3061"/>
      <c r="AS3061"/>
      <c r="AT3061"/>
      <c r="AU3061"/>
      <c r="AV3061"/>
    </row>
    <row r="3062" spans="41:48" x14ac:dyDescent="0.35">
      <c r="AO3062"/>
      <c r="AP3062"/>
      <c r="AQ3062"/>
      <c r="AR3062"/>
      <c r="AS3062"/>
      <c r="AT3062"/>
      <c r="AU3062"/>
      <c r="AV3062"/>
    </row>
    <row r="3063" spans="41:48" x14ac:dyDescent="0.35">
      <c r="AO3063"/>
      <c r="AP3063"/>
      <c r="AQ3063"/>
      <c r="AR3063"/>
      <c r="AS3063"/>
      <c r="AT3063"/>
      <c r="AU3063"/>
      <c r="AV3063"/>
    </row>
    <row r="3064" spans="41:48" x14ac:dyDescent="0.35">
      <c r="AO3064"/>
      <c r="AP3064"/>
      <c r="AQ3064"/>
      <c r="AR3064"/>
      <c r="AS3064"/>
      <c r="AT3064"/>
      <c r="AU3064"/>
      <c r="AV3064"/>
    </row>
    <row r="3065" spans="41:48" x14ac:dyDescent="0.35">
      <c r="AO3065"/>
      <c r="AP3065"/>
      <c r="AQ3065"/>
      <c r="AR3065"/>
      <c r="AS3065"/>
      <c r="AT3065"/>
      <c r="AU3065"/>
      <c r="AV3065"/>
    </row>
    <row r="3066" spans="41:48" x14ac:dyDescent="0.35">
      <c r="AO3066"/>
      <c r="AP3066"/>
      <c r="AQ3066"/>
      <c r="AR3066"/>
      <c r="AS3066"/>
      <c r="AT3066"/>
      <c r="AU3066"/>
      <c r="AV3066"/>
    </row>
    <row r="3067" spans="41:48" x14ac:dyDescent="0.35">
      <c r="AO3067"/>
      <c r="AP3067"/>
      <c r="AQ3067"/>
      <c r="AR3067"/>
      <c r="AS3067"/>
      <c r="AT3067"/>
      <c r="AU3067"/>
      <c r="AV3067"/>
    </row>
    <row r="3068" spans="41:48" x14ac:dyDescent="0.35">
      <c r="AO3068"/>
      <c r="AP3068"/>
      <c r="AQ3068"/>
      <c r="AR3068"/>
      <c r="AS3068"/>
      <c r="AT3068"/>
      <c r="AU3068"/>
      <c r="AV3068"/>
    </row>
    <row r="3069" spans="41:48" x14ac:dyDescent="0.35">
      <c r="AO3069"/>
      <c r="AP3069"/>
      <c r="AQ3069"/>
      <c r="AR3069"/>
      <c r="AS3069"/>
      <c r="AT3069"/>
      <c r="AU3069"/>
      <c r="AV3069"/>
    </row>
    <row r="3070" spans="41:48" x14ac:dyDescent="0.35">
      <c r="AO3070"/>
      <c r="AP3070"/>
      <c r="AQ3070"/>
      <c r="AR3070"/>
      <c r="AS3070"/>
      <c r="AT3070"/>
      <c r="AU3070"/>
      <c r="AV3070"/>
    </row>
    <row r="3071" spans="41:48" x14ac:dyDescent="0.35">
      <c r="AO3071"/>
      <c r="AP3071"/>
      <c r="AQ3071"/>
      <c r="AR3071"/>
      <c r="AS3071"/>
      <c r="AT3071"/>
      <c r="AU3071"/>
      <c r="AV3071"/>
    </row>
    <row r="3072" spans="41:48" x14ac:dyDescent="0.35">
      <c r="AO3072"/>
      <c r="AP3072"/>
      <c r="AQ3072"/>
      <c r="AR3072"/>
      <c r="AS3072"/>
      <c r="AT3072"/>
      <c r="AU3072"/>
      <c r="AV3072"/>
    </row>
    <row r="3073" spans="41:48" x14ac:dyDescent="0.35">
      <c r="AO3073"/>
      <c r="AP3073"/>
      <c r="AQ3073"/>
      <c r="AR3073"/>
      <c r="AS3073"/>
      <c r="AT3073"/>
      <c r="AU3073"/>
      <c r="AV3073"/>
    </row>
    <row r="3074" spans="41:48" x14ac:dyDescent="0.35">
      <c r="AO3074"/>
      <c r="AP3074"/>
      <c r="AQ3074"/>
      <c r="AR3074"/>
      <c r="AS3074"/>
      <c r="AT3074"/>
      <c r="AU3074"/>
      <c r="AV3074"/>
    </row>
    <row r="3075" spans="41:48" x14ac:dyDescent="0.35">
      <c r="AO3075"/>
      <c r="AP3075"/>
      <c r="AQ3075"/>
      <c r="AR3075"/>
      <c r="AS3075"/>
      <c r="AT3075"/>
      <c r="AU3075"/>
      <c r="AV3075"/>
    </row>
    <row r="3076" spans="41:48" x14ac:dyDescent="0.35">
      <c r="AO3076"/>
      <c r="AP3076"/>
      <c r="AQ3076"/>
      <c r="AR3076"/>
      <c r="AS3076"/>
      <c r="AT3076"/>
      <c r="AU3076"/>
      <c r="AV3076"/>
    </row>
    <row r="3077" spans="41:48" x14ac:dyDescent="0.35">
      <c r="AO3077"/>
      <c r="AP3077"/>
      <c r="AQ3077"/>
      <c r="AR3077"/>
      <c r="AS3077"/>
      <c r="AT3077"/>
      <c r="AU3077"/>
      <c r="AV3077"/>
    </row>
    <row r="3078" spans="41:48" x14ac:dyDescent="0.35">
      <c r="AO3078"/>
      <c r="AP3078"/>
      <c r="AQ3078"/>
      <c r="AR3078"/>
      <c r="AS3078"/>
      <c r="AT3078"/>
      <c r="AU3078"/>
      <c r="AV3078"/>
    </row>
    <row r="3079" spans="41:48" x14ac:dyDescent="0.35">
      <c r="AO3079"/>
      <c r="AP3079"/>
      <c r="AQ3079"/>
      <c r="AR3079"/>
      <c r="AS3079"/>
      <c r="AT3079"/>
      <c r="AU3079"/>
      <c r="AV3079"/>
    </row>
    <row r="3080" spans="41:48" x14ac:dyDescent="0.35">
      <c r="AO3080"/>
      <c r="AP3080"/>
      <c r="AQ3080"/>
      <c r="AR3080"/>
      <c r="AS3080"/>
      <c r="AT3080"/>
      <c r="AU3080"/>
      <c r="AV3080"/>
    </row>
    <row r="3081" spans="41:48" x14ac:dyDescent="0.35">
      <c r="AO3081"/>
      <c r="AP3081"/>
      <c r="AQ3081"/>
      <c r="AR3081"/>
      <c r="AS3081"/>
      <c r="AT3081"/>
      <c r="AU3081"/>
      <c r="AV3081"/>
    </row>
    <row r="3082" spans="41:48" x14ac:dyDescent="0.35">
      <c r="AO3082"/>
      <c r="AP3082"/>
      <c r="AQ3082"/>
      <c r="AR3082"/>
      <c r="AS3082"/>
      <c r="AT3082"/>
      <c r="AU3082"/>
      <c r="AV3082"/>
    </row>
    <row r="3083" spans="41:48" x14ac:dyDescent="0.35">
      <c r="AO3083"/>
      <c r="AP3083"/>
      <c r="AQ3083"/>
      <c r="AR3083"/>
      <c r="AS3083"/>
      <c r="AT3083"/>
      <c r="AU3083"/>
      <c r="AV3083"/>
    </row>
    <row r="3084" spans="41:48" x14ac:dyDescent="0.35">
      <c r="AO3084"/>
      <c r="AP3084"/>
      <c r="AQ3084"/>
      <c r="AR3084"/>
      <c r="AS3084"/>
      <c r="AT3084"/>
      <c r="AU3084"/>
      <c r="AV3084"/>
    </row>
    <row r="3085" spans="41:48" x14ac:dyDescent="0.35">
      <c r="AO3085"/>
      <c r="AP3085"/>
      <c r="AQ3085"/>
      <c r="AR3085"/>
      <c r="AS3085"/>
      <c r="AT3085"/>
      <c r="AU3085"/>
      <c r="AV3085"/>
    </row>
    <row r="3086" spans="41:48" x14ac:dyDescent="0.35">
      <c r="AO3086"/>
      <c r="AP3086"/>
      <c r="AQ3086"/>
      <c r="AR3086"/>
      <c r="AS3086"/>
      <c r="AT3086"/>
      <c r="AU3086"/>
      <c r="AV3086"/>
    </row>
    <row r="3087" spans="41:48" x14ac:dyDescent="0.35">
      <c r="AO3087"/>
      <c r="AP3087"/>
      <c r="AQ3087"/>
      <c r="AR3087"/>
      <c r="AS3087"/>
      <c r="AT3087"/>
      <c r="AU3087"/>
      <c r="AV3087"/>
    </row>
    <row r="3088" spans="41:48" x14ac:dyDescent="0.35">
      <c r="AO3088"/>
      <c r="AP3088"/>
      <c r="AQ3088"/>
      <c r="AR3088"/>
      <c r="AS3088"/>
      <c r="AT3088"/>
      <c r="AU3088"/>
      <c r="AV3088"/>
    </row>
    <row r="3089" spans="41:48" x14ac:dyDescent="0.35">
      <c r="AO3089"/>
      <c r="AP3089"/>
      <c r="AQ3089"/>
      <c r="AR3089"/>
      <c r="AS3089"/>
      <c r="AT3089"/>
      <c r="AU3089"/>
      <c r="AV3089"/>
    </row>
    <row r="3090" spans="41:48" x14ac:dyDescent="0.35">
      <c r="AO3090"/>
      <c r="AP3090"/>
      <c r="AQ3090"/>
      <c r="AR3090"/>
      <c r="AS3090"/>
      <c r="AT3090"/>
      <c r="AU3090"/>
      <c r="AV3090"/>
    </row>
    <row r="3091" spans="41:48" x14ac:dyDescent="0.35">
      <c r="AO3091"/>
      <c r="AP3091"/>
      <c r="AQ3091"/>
      <c r="AR3091"/>
      <c r="AS3091"/>
      <c r="AT3091"/>
      <c r="AU3091"/>
      <c r="AV3091"/>
    </row>
    <row r="3092" spans="41:48" x14ac:dyDescent="0.35">
      <c r="AO3092"/>
      <c r="AP3092"/>
      <c r="AQ3092"/>
      <c r="AR3092"/>
      <c r="AS3092"/>
      <c r="AT3092"/>
      <c r="AU3092"/>
      <c r="AV3092"/>
    </row>
    <row r="3093" spans="41:48" x14ac:dyDescent="0.35">
      <c r="AO3093"/>
      <c r="AP3093"/>
      <c r="AQ3093"/>
      <c r="AR3093"/>
      <c r="AS3093"/>
      <c r="AT3093"/>
      <c r="AU3093"/>
      <c r="AV3093"/>
    </row>
    <row r="3094" spans="41:48" x14ac:dyDescent="0.35">
      <c r="AO3094"/>
      <c r="AP3094"/>
      <c r="AQ3094"/>
      <c r="AR3094"/>
      <c r="AS3094"/>
      <c r="AT3094"/>
      <c r="AU3094"/>
      <c r="AV3094"/>
    </row>
    <row r="3095" spans="41:48" x14ac:dyDescent="0.35">
      <c r="AO3095"/>
      <c r="AP3095"/>
      <c r="AQ3095"/>
      <c r="AR3095"/>
      <c r="AS3095"/>
      <c r="AT3095"/>
      <c r="AU3095"/>
      <c r="AV3095"/>
    </row>
    <row r="3096" spans="41:48" x14ac:dyDescent="0.35">
      <c r="AO3096"/>
      <c r="AP3096"/>
      <c r="AQ3096"/>
      <c r="AR3096"/>
      <c r="AS3096"/>
      <c r="AT3096"/>
      <c r="AU3096"/>
      <c r="AV3096"/>
    </row>
    <row r="3097" spans="41:48" x14ac:dyDescent="0.35">
      <c r="AO3097"/>
      <c r="AP3097"/>
      <c r="AQ3097"/>
      <c r="AR3097"/>
      <c r="AS3097"/>
      <c r="AT3097"/>
      <c r="AU3097"/>
      <c r="AV3097"/>
    </row>
    <row r="3098" spans="41:48" x14ac:dyDescent="0.35">
      <c r="AO3098"/>
      <c r="AP3098"/>
      <c r="AQ3098"/>
      <c r="AR3098"/>
      <c r="AS3098"/>
      <c r="AT3098"/>
      <c r="AU3098"/>
      <c r="AV3098"/>
    </row>
    <row r="3099" spans="41:48" x14ac:dyDescent="0.35">
      <c r="AO3099"/>
      <c r="AP3099"/>
      <c r="AQ3099"/>
      <c r="AR3099"/>
      <c r="AS3099"/>
      <c r="AT3099"/>
      <c r="AU3099"/>
      <c r="AV3099"/>
    </row>
    <row r="3100" spans="41:48" x14ac:dyDescent="0.35">
      <c r="AO3100"/>
      <c r="AP3100"/>
      <c r="AQ3100"/>
      <c r="AR3100"/>
      <c r="AS3100"/>
      <c r="AT3100"/>
      <c r="AU3100"/>
      <c r="AV3100"/>
    </row>
    <row r="3101" spans="41:48" x14ac:dyDescent="0.35">
      <c r="AO3101"/>
      <c r="AP3101"/>
      <c r="AQ3101"/>
      <c r="AR3101"/>
      <c r="AS3101"/>
      <c r="AT3101"/>
      <c r="AU3101"/>
      <c r="AV3101"/>
    </row>
    <row r="3102" spans="41:48" x14ac:dyDescent="0.35">
      <c r="AO3102"/>
      <c r="AP3102"/>
      <c r="AQ3102"/>
      <c r="AR3102"/>
      <c r="AS3102"/>
      <c r="AT3102"/>
      <c r="AU3102"/>
      <c r="AV3102"/>
    </row>
    <row r="3103" spans="41:48" x14ac:dyDescent="0.35">
      <c r="AO3103"/>
      <c r="AP3103"/>
      <c r="AQ3103"/>
      <c r="AR3103"/>
      <c r="AS3103"/>
      <c r="AT3103"/>
      <c r="AU3103"/>
      <c r="AV3103"/>
    </row>
    <row r="3104" spans="41:48" x14ac:dyDescent="0.35">
      <c r="AO3104"/>
      <c r="AP3104"/>
      <c r="AQ3104"/>
      <c r="AR3104"/>
      <c r="AS3104"/>
      <c r="AT3104"/>
      <c r="AU3104"/>
      <c r="AV3104"/>
    </row>
    <row r="3105" spans="41:48" x14ac:dyDescent="0.35">
      <c r="AO3105"/>
      <c r="AP3105"/>
      <c r="AQ3105"/>
      <c r="AR3105"/>
      <c r="AS3105"/>
      <c r="AT3105"/>
      <c r="AU3105"/>
      <c r="AV3105"/>
    </row>
    <row r="3106" spans="41:48" x14ac:dyDescent="0.35">
      <c r="AO3106"/>
      <c r="AP3106"/>
      <c r="AQ3106"/>
      <c r="AR3106"/>
      <c r="AS3106"/>
      <c r="AT3106"/>
      <c r="AU3106"/>
      <c r="AV3106"/>
    </row>
    <row r="3107" spans="41:48" x14ac:dyDescent="0.35">
      <c r="AO3107"/>
      <c r="AP3107"/>
      <c r="AQ3107"/>
      <c r="AR3107"/>
      <c r="AS3107"/>
      <c r="AT3107"/>
      <c r="AU3107"/>
      <c r="AV3107"/>
    </row>
    <row r="3108" spans="41:48" x14ac:dyDescent="0.35">
      <c r="AO3108"/>
      <c r="AP3108"/>
      <c r="AQ3108"/>
      <c r="AR3108"/>
      <c r="AS3108"/>
      <c r="AT3108"/>
      <c r="AU3108"/>
      <c r="AV3108"/>
    </row>
    <row r="3109" spans="41:48" x14ac:dyDescent="0.35">
      <c r="AO3109"/>
      <c r="AP3109"/>
      <c r="AQ3109"/>
      <c r="AR3109"/>
      <c r="AS3109"/>
      <c r="AT3109"/>
      <c r="AU3109"/>
      <c r="AV3109"/>
    </row>
    <row r="3110" spans="41:48" x14ac:dyDescent="0.35">
      <c r="AO3110"/>
      <c r="AP3110"/>
      <c r="AQ3110"/>
      <c r="AR3110"/>
      <c r="AS3110"/>
      <c r="AT3110"/>
      <c r="AU3110"/>
      <c r="AV3110"/>
    </row>
    <row r="3111" spans="41:48" x14ac:dyDescent="0.35">
      <c r="AO3111"/>
      <c r="AP3111"/>
      <c r="AQ3111"/>
      <c r="AR3111"/>
      <c r="AS3111"/>
      <c r="AT3111"/>
      <c r="AU3111"/>
      <c r="AV3111"/>
    </row>
    <row r="3112" spans="41:48" x14ac:dyDescent="0.35">
      <c r="AO3112"/>
      <c r="AP3112"/>
      <c r="AQ3112"/>
      <c r="AR3112"/>
      <c r="AS3112"/>
      <c r="AT3112"/>
      <c r="AU3112"/>
      <c r="AV3112"/>
    </row>
    <row r="3113" spans="41:48" x14ac:dyDescent="0.35">
      <c r="AO3113"/>
      <c r="AP3113"/>
      <c r="AQ3113"/>
      <c r="AR3113"/>
      <c r="AS3113"/>
      <c r="AT3113"/>
      <c r="AU3113"/>
      <c r="AV3113"/>
    </row>
    <row r="3114" spans="41:48" x14ac:dyDescent="0.35">
      <c r="AO3114"/>
      <c r="AP3114"/>
      <c r="AQ3114"/>
      <c r="AR3114"/>
      <c r="AS3114"/>
      <c r="AT3114"/>
      <c r="AU3114"/>
      <c r="AV3114"/>
    </row>
    <row r="3115" spans="41:48" x14ac:dyDescent="0.35">
      <c r="AO3115"/>
      <c r="AP3115"/>
      <c r="AQ3115"/>
      <c r="AR3115"/>
      <c r="AS3115"/>
      <c r="AT3115"/>
      <c r="AU3115"/>
      <c r="AV3115"/>
    </row>
    <row r="3116" spans="41:48" x14ac:dyDescent="0.35">
      <c r="AO3116"/>
      <c r="AP3116"/>
      <c r="AQ3116"/>
      <c r="AR3116"/>
      <c r="AS3116"/>
      <c r="AT3116"/>
      <c r="AU3116"/>
      <c r="AV3116"/>
    </row>
    <row r="3117" spans="41:48" x14ac:dyDescent="0.35">
      <c r="AO3117"/>
      <c r="AP3117"/>
      <c r="AQ3117"/>
      <c r="AR3117"/>
      <c r="AS3117"/>
      <c r="AT3117"/>
      <c r="AU3117"/>
      <c r="AV3117"/>
    </row>
    <row r="3118" spans="41:48" x14ac:dyDescent="0.35">
      <c r="AO3118"/>
      <c r="AP3118"/>
      <c r="AQ3118"/>
      <c r="AR3118"/>
      <c r="AS3118"/>
      <c r="AT3118"/>
      <c r="AU3118"/>
      <c r="AV3118"/>
    </row>
    <row r="3119" spans="41:48" x14ac:dyDescent="0.35">
      <c r="AO3119"/>
      <c r="AP3119"/>
      <c r="AQ3119"/>
      <c r="AR3119"/>
      <c r="AS3119"/>
      <c r="AT3119"/>
      <c r="AU3119"/>
      <c r="AV3119"/>
    </row>
    <row r="3120" spans="41:48" x14ac:dyDescent="0.35">
      <c r="AO3120"/>
      <c r="AP3120"/>
      <c r="AQ3120"/>
      <c r="AR3120"/>
      <c r="AS3120"/>
      <c r="AT3120"/>
      <c r="AU3120"/>
      <c r="AV3120"/>
    </row>
    <row r="3121" spans="41:48" x14ac:dyDescent="0.35">
      <c r="AO3121"/>
      <c r="AP3121"/>
      <c r="AQ3121"/>
      <c r="AR3121"/>
      <c r="AS3121"/>
      <c r="AT3121"/>
      <c r="AU3121"/>
      <c r="AV3121"/>
    </row>
    <row r="3122" spans="41:48" x14ac:dyDescent="0.35">
      <c r="AO3122"/>
      <c r="AP3122"/>
      <c r="AQ3122"/>
      <c r="AR3122"/>
      <c r="AS3122"/>
      <c r="AT3122"/>
      <c r="AU3122"/>
      <c r="AV3122"/>
    </row>
    <row r="3123" spans="41:48" x14ac:dyDescent="0.35">
      <c r="AO3123"/>
      <c r="AP3123"/>
      <c r="AQ3123"/>
      <c r="AR3123"/>
      <c r="AS3123"/>
      <c r="AT3123"/>
      <c r="AU3123"/>
      <c r="AV3123"/>
    </row>
    <row r="3124" spans="41:48" x14ac:dyDescent="0.35">
      <c r="AO3124"/>
      <c r="AP3124"/>
      <c r="AQ3124"/>
      <c r="AR3124"/>
      <c r="AS3124"/>
      <c r="AT3124"/>
      <c r="AU3124"/>
      <c r="AV3124"/>
    </row>
    <row r="3125" spans="41:48" x14ac:dyDescent="0.35">
      <c r="AO3125"/>
      <c r="AP3125"/>
      <c r="AQ3125"/>
      <c r="AR3125"/>
      <c r="AS3125"/>
      <c r="AT3125"/>
      <c r="AU3125"/>
      <c r="AV3125"/>
    </row>
    <row r="3126" spans="41:48" x14ac:dyDescent="0.35">
      <c r="AO3126"/>
      <c r="AP3126"/>
      <c r="AQ3126"/>
      <c r="AR3126"/>
      <c r="AS3126"/>
      <c r="AT3126"/>
      <c r="AU3126"/>
      <c r="AV3126"/>
    </row>
    <row r="3127" spans="41:48" x14ac:dyDescent="0.35">
      <c r="AO3127"/>
      <c r="AP3127"/>
      <c r="AQ3127"/>
      <c r="AR3127"/>
      <c r="AS3127"/>
      <c r="AT3127"/>
      <c r="AU3127"/>
      <c r="AV3127"/>
    </row>
    <row r="3128" spans="41:48" x14ac:dyDescent="0.35">
      <c r="AO3128"/>
      <c r="AP3128"/>
      <c r="AQ3128"/>
      <c r="AR3128"/>
      <c r="AS3128"/>
      <c r="AT3128"/>
      <c r="AU3128"/>
      <c r="AV3128"/>
    </row>
    <row r="3129" spans="41:48" x14ac:dyDescent="0.35">
      <c r="AO3129"/>
      <c r="AP3129"/>
      <c r="AQ3129"/>
      <c r="AR3129"/>
      <c r="AS3129"/>
      <c r="AT3129"/>
      <c r="AU3129"/>
      <c r="AV3129"/>
    </row>
    <row r="3130" spans="41:48" x14ac:dyDescent="0.35">
      <c r="AO3130"/>
      <c r="AP3130"/>
      <c r="AQ3130"/>
      <c r="AR3130"/>
      <c r="AS3130"/>
      <c r="AT3130"/>
      <c r="AU3130"/>
      <c r="AV3130"/>
    </row>
    <row r="3131" spans="41:48" x14ac:dyDescent="0.35">
      <c r="AO3131"/>
      <c r="AP3131"/>
      <c r="AQ3131"/>
      <c r="AR3131"/>
      <c r="AS3131"/>
      <c r="AT3131"/>
      <c r="AU3131"/>
      <c r="AV3131"/>
    </row>
    <row r="3132" spans="41:48" x14ac:dyDescent="0.35">
      <c r="AO3132"/>
      <c r="AP3132"/>
      <c r="AQ3132"/>
      <c r="AR3132"/>
      <c r="AS3132"/>
      <c r="AT3132"/>
      <c r="AU3132"/>
      <c r="AV3132"/>
    </row>
    <row r="3133" spans="41:48" x14ac:dyDescent="0.35">
      <c r="AO3133"/>
      <c r="AP3133"/>
      <c r="AQ3133"/>
      <c r="AR3133"/>
      <c r="AS3133"/>
      <c r="AT3133"/>
      <c r="AU3133"/>
      <c r="AV3133"/>
    </row>
    <row r="3134" spans="41:48" x14ac:dyDescent="0.35">
      <c r="AO3134"/>
      <c r="AP3134"/>
      <c r="AQ3134"/>
      <c r="AR3134"/>
      <c r="AS3134"/>
      <c r="AT3134"/>
      <c r="AU3134"/>
      <c r="AV3134"/>
    </row>
    <row r="3135" spans="41:48" x14ac:dyDescent="0.35">
      <c r="AO3135"/>
      <c r="AP3135"/>
      <c r="AQ3135"/>
      <c r="AR3135"/>
      <c r="AS3135"/>
      <c r="AT3135"/>
      <c r="AU3135"/>
      <c r="AV3135"/>
    </row>
    <row r="3136" spans="41:48" x14ac:dyDescent="0.35">
      <c r="AO3136"/>
      <c r="AP3136"/>
      <c r="AQ3136"/>
      <c r="AR3136"/>
      <c r="AS3136"/>
      <c r="AT3136"/>
      <c r="AU3136"/>
      <c r="AV3136"/>
    </row>
    <row r="3137" spans="41:48" x14ac:dyDescent="0.35">
      <c r="AO3137"/>
      <c r="AP3137"/>
      <c r="AQ3137"/>
      <c r="AR3137"/>
      <c r="AS3137"/>
      <c r="AT3137"/>
      <c r="AU3137"/>
      <c r="AV3137"/>
    </row>
    <row r="3138" spans="41:48" x14ac:dyDescent="0.35">
      <c r="AO3138"/>
      <c r="AP3138"/>
      <c r="AQ3138"/>
      <c r="AR3138"/>
      <c r="AS3138"/>
      <c r="AT3138"/>
      <c r="AU3138"/>
      <c r="AV3138"/>
    </row>
    <row r="3139" spans="41:48" x14ac:dyDescent="0.35">
      <c r="AO3139"/>
      <c r="AP3139"/>
      <c r="AQ3139"/>
      <c r="AR3139"/>
      <c r="AS3139"/>
      <c r="AT3139"/>
      <c r="AU3139"/>
      <c r="AV3139"/>
    </row>
    <row r="3140" spans="41:48" x14ac:dyDescent="0.35">
      <c r="AO3140"/>
      <c r="AP3140"/>
      <c r="AQ3140"/>
      <c r="AR3140"/>
      <c r="AS3140"/>
      <c r="AT3140"/>
      <c r="AU3140"/>
      <c r="AV3140"/>
    </row>
    <row r="3141" spans="41:48" x14ac:dyDescent="0.35">
      <c r="AO3141"/>
      <c r="AP3141"/>
      <c r="AQ3141"/>
      <c r="AR3141"/>
      <c r="AS3141"/>
      <c r="AT3141"/>
      <c r="AU3141"/>
      <c r="AV3141"/>
    </row>
    <row r="3142" spans="41:48" x14ac:dyDescent="0.35">
      <c r="AO3142"/>
      <c r="AP3142"/>
      <c r="AQ3142"/>
      <c r="AR3142"/>
      <c r="AS3142"/>
      <c r="AT3142"/>
      <c r="AU3142"/>
      <c r="AV3142"/>
    </row>
    <row r="3143" spans="41:48" x14ac:dyDescent="0.35">
      <c r="AO3143"/>
      <c r="AP3143"/>
      <c r="AQ3143"/>
      <c r="AR3143"/>
      <c r="AS3143"/>
      <c r="AT3143"/>
      <c r="AU3143"/>
      <c r="AV3143"/>
    </row>
    <row r="3144" spans="41:48" x14ac:dyDescent="0.35">
      <c r="AO3144"/>
      <c r="AP3144"/>
      <c r="AQ3144"/>
      <c r="AR3144"/>
      <c r="AS3144"/>
      <c r="AT3144"/>
      <c r="AU3144"/>
      <c r="AV3144"/>
    </row>
    <row r="3145" spans="41:48" x14ac:dyDescent="0.35">
      <c r="AO3145"/>
      <c r="AP3145"/>
      <c r="AQ3145"/>
      <c r="AR3145"/>
      <c r="AS3145"/>
      <c r="AT3145"/>
      <c r="AU3145"/>
      <c r="AV3145"/>
    </row>
    <row r="3146" spans="41:48" x14ac:dyDescent="0.35">
      <c r="AO3146"/>
      <c r="AP3146"/>
      <c r="AQ3146"/>
      <c r="AR3146"/>
      <c r="AS3146"/>
      <c r="AT3146"/>
      <c r="AU3146"/>
      <c r="AV3146"/>
    </row>
    <row r="3147" spans="41:48" x14ac:dyDescent="0.35">
      <c r="AO3147"/>
      <c r="AP3147"/>
      <c r="AQ3147"/>
      <c r="AR3147"/>
      <c r="AS3147"/>
      <c r="AT3147"/>
      <c r="AU3147"/>
      <c r="AV3147"/>
    </row>
    <row r="3148" spans="41:48" x14ac:dyDescent="0.35">
      <c r="AO3148"/>
      <c r="AP3148"/>
      <c r="AQ3148"/>
      <c r="AR3148"/>
      <c r="AS3148"/>
      <c r="AT3148"/>
      <c r="AU3148"/>
      <c r="AV3148"/>
    </row>
    <row r="3149" spans="41:48" x14ac:dyDescent="0.35">
      <c r="AO3149"/>
      <c r="AP3149"/>
      <c r="AQ3149"/>
      <c r="AR3149"/>
      <c r="AS3149"/>
      <c r="AT3149"/>
      <c r="AU3149"/>
      <c r="AV3149"/>
    </row>
    <row r="3150" spans="41:48" x14ac:dyDescent="0.35">
      <c r="AO3150"/>
      <c r="AP3150"/>
      <c r="AQ3150"/>
      <c r="AR3150"/>
      <c r="AS3150"/>
      <c r="AT3150"/>
      <c r="AU3150"/>
      <c r="AV3150"/>
    </row>
    <row r="3151" spans="41:48" x14ac:dyDescent="0.35">
      <c r="AO3151"/>
      <c r="AP3151"/>
      <c r="AQ3151"/>
      <c r="AR3151"/>
      <c r="AS3151"/>
      <c r="AT3151"/>
      <c r="AU3151"/>
      <c r="AV3151"/>
    </row>
    <row r="3152" spans="41:48" x14ac:dyDescent="0.35">
      <c r="AO3152"/>
      <c r="AP3152"/>
      <c r="AQ3152"/>
      <c r="AR3152"/>
      <c r="AS3152"/>
      <c r="AT3152"/>
      <c r="AU3152"/>
      <c r="AV3152"/>
    </row>
    <row r="3153" spans="41:48" x14ac:dyDescent="0.35">
      <c r="AO3153"/>
      <c r="AP3153"/>
      <c r="AQ3153"/>
      <c r="AR3153"/>
      <c r="AS3153"/>
      <c r="AT3153"/>
      <c r="AU3153"/>
      <c r="AV3153"/>
    </row>
    <row r="3154" spans="41:48" x14ac:dyDescent="0.35">
      <c r="AO3154"/>
      <c r="AP3154"/>
      <c r="AQ3154"/>
      <c r="AR3154"/>
      <c r="AS3154"/>
      <c r="AT3154"/>
      <c r="AU3154"/>
      <c r="AV3154"/>
    </row>
    <row r="3155" spans="41:48" x14ac:dyDescent="0.35">
      <c r="AO3155"/>
      <c r="AP3155"/>
      <c r="AQ3155"/>
      <c r="AR3155"/>
      <c r="AS3155"/>
      <c r="AT3155"/>
      <c r="AU3155"/>
      <c r="AV3155"/>
    </row>
    <row r="3156" spans="41:48" x14ac:dyDescent="0.35">
      <c r="AO3156"/>
      <c r="AP3156"/>
      <c r="AQ3156"/>
      <c r="AR3156"/>
      <c r="AS3156"/>
      <c r="AT3156"/>
      <c r="AU3156"/>
      <c r="AV3156"/>
    </row>
    <row r="3157" spans="41:48" x14ac:dyDescent="0.35">
      <c r="AO3157"/>
      <c r="AP3157"/>
      <c r="AQ3157"/>
      <c r="AR3157"/>
      <c r="AS3157"/>
      <c r="AT3157"/>
      <c r="AU3157"/>
      <c r="AV3157"/>
    </row>
    <row r="3158" spans="41:48" x14ac:dyDescent="0.35">
      <c r="AO3158"/>
      <c r="AP3158"/>
      <c r="AQ3158"/>
      <c r="AR3158"/>
      <c r="AS3158"/>
      <c r="AT3158"/>
      <c r="AU3158"/>
      <c r="AV3158"/>
    </row>
    <row r="3159" spans="41:48" x14ac:dyDescent="0.35">
      <c r="AO3159"/>
      <c r="AP3159"/>
      <c r="AQ3159"/>
      <c r="AR3159"/>
      <c r="AS3159"/>
      <c r="AT3159"/>
      <c r="AU3159"/>
      <c r="AV3159"/>
    </row>
    <row r="3160" spans="41:48" x14ac:dyDescent="0.35">
      <c r="AO3160"/>
      <c r="AP3160"/>
      <c r="AQ3160"/>
      <c r="AR3160"/>
      <c r="AS3160"/>
      <c r="AT3160"/>
      <c r="AU3160"/>
      <c r="AV3160"/>
    </row>
    <row r="3161" spans="41:48" x14ac:dyDescent="0.35">
      <c r="AO3161"/>
      <c r="AP3161"/>
      <c r="AQ3161"/>
      <c r="AR3161"/>
      <c r="AS3161"/>
      <c r="AT3161"/>
      <c r="AU3161"/>
      <c r="AV3161"/>
    </row>
    <row r="3162" spans="41:48" x14ac:dyDescent="0.35">
      <c r="AO3162"/>
      <c r="AP3162"/>
      <c r="AQ3162"/>
      <c r="AR3162"/>
      <c r="AS3162"/>
      <c r="AT3162"/>
      <c r="AU3162"/>
      <c r="AV3162"/>
    </row>
    <row r="3163" spans="41:48" x14ac:dyDescent="0.35">
      <c r="AO3163"/>
      <c r="AP3163"/>
      <c r="AQ3163"/>
      <c r="AR3163"/>
      <c r="AS3163"/>
      <c r="AT3163"/>
      <c r="AU3163"/>
      <c r="AV3163"/>
    </row>
    <row r="3164" spans="41:48" x14ac:dyDescent="0.35">
      <c r="AO3164"/>
      <c r="AP3164"/>
      <c r="AQ3164"/>
      <c r="AR3164"/>
      <c r="AS3164"/>
      <c r="AT3164"/>
      <c r="AU3164"/>
      <c r="AV3164"/>
    </row>
    <row r="3165" spans="41:48" x14ac:dyDescent="0.35">
      <c r="AO3165"/>
      <c r="AP3165"/>
      <c r="AQ3165"/>
      <c r="AR3165"/>
      <c r="AS3165"/>
      <c r="AT3165"/>
      <c r="AU3165"/>
      <c r="AV3165"/>
    </row>
    <row r="3166" spans="41:48" x14ac:dyDescent="0.35">
      <c r="AO3166"/>
      <c r="AP3166"/>
      <c r="AQ3166"/>
      <c r="AR3166"/>
      <c r="AS3166"/>
      <c r="AT3166"/>
      <c r="AU3166"/>
      <c r="AV3166"/>
    </row>
    <row r="3167" spans="41:48" x14ac:dyDescent="0.35">
      <c r="AO3167"/>
      <c r="AP3167"/>
      <c r="AQ3167"/>
      <c r="AR3167"/>
      <c r="AS3167"/>
      <c r="AT3167"/>
      <c r="AU3167"/>
      <c r="AV3167"/>
    </row>
    <row r="3168" spans="41:48" x14ac:dyDescent="0.35">
      <c r="AO3168"/>
      <c r="AP3168"/>
      <c r="AQ3168"/>
      <c r="AR3168"/>
      <c r="AS3168"/>
      <c r="AT3168"/>
      <c r="AU3168"/>
      <c r="AV3168"/>
    </row>
    <row r="3169" spans="41:48" x14ac:dyDescent="0.35">
      <c r="AO3169"/>
      <c r="AP3169"/>
      <c r="AQ3169"/>
      <c r="AR3169"/>
      <c r="AS3169"/>
      <c r="AT3169"/>
      <c r="AU3169"/>
      <c r="AV3169"/>
    </row>
    <row r="3170" spans="41:48" x14ac:dyDescent="0.35">
      <c r="AO3170"/>
      <c r="AP3170"/>
      <c r="AQ3170"/>
      <c r="AR3170"/>
      <c r="AS3170"/>
      <c r="AT3170"/>
      <c r="AU3170"/>
      <c r="AV3170"/>
    </row>
    <row r="3171" spans="41:48" x14ac:dyDescent="0.35">
      <c r="AO3171"/>
      <c r="AP3171"/>
      <c r="AQ3171"/>
      <c r="AR3171"/>
      <c r="AS3171"/>
      <c r="AT3171"/>
      <c r="AU3171"/>
      <c r="AV3171"/>
    </row>
    <row r="3172" spans="41:48" x14ac:dyDescent="0.35">
      <c r="AO3172"/>
      <c r="AP3172"/>
      <c r="AQ3172"/>
      <c r="AR3172"/>
      <c r="AS3172"/>
      <c r="AT3172"/>
      <c r="AU3172"/>
      <c r="AV3172"/>
    </row>
    <row r="3173" spans="41:48" x14ac:dyDescent="0.35">
      <c r="AO3173"/>
      <c r="AP3173"/>
      <c r="AQ3173"/>
      <c r="AR3173"/>
      <c r="AS3173"/>
      <c r="AT3173"/>
      <c r="AU3173"/>
      <c r="AV3173"/>
    </row>
    <row r="3174" spans="41:48" x14ac:dyDescent="0.35">
      <c r="AO3174"/>
      <c r="AP3174"/>
      <c r="AQ3174"/>
      <c r="AR3174"/>
      <c r="AS3174"/>
      <c r="AT3174"/>
      <c r="AU3174"/>
      <c r="AV3174"/>
    </row>
    <row r="3175" spans="41:48" x14ac:dyDescent="0.35">
      <c r="AO3175"/>
      <c r="AP3175"/>
      <c r="AQ3175"/>
      <c r="AR3175"/>
      <c r="AS3175"/>
      <c r="AT3175"/>
      <c r="AU3175"/>
      <c r="AV3175"/>
    </row>
    <row r="3176" spans="41:48" x14ac:dyDescent="0.35">
      <c r="AO3176"/>
      <c r="AP3176"/>
      <c r="AQ3176"/>
      <c r="AR3176"/>
      <c r="AS3176"/>
      <c r="AT3176"/>
      <c r="AU3176"/>
      <c r="AV3176"/>
    </row>
    <row r="3177" spans="41:48" x14ac:dyDescent="0.35">
      <c r="AO3177"/>
      <c r="AP3177"/>
      <c r="AQ3177"/>
      <c r="AR3177"/>
      <c r="AS3177"/>
      <c r="AT3177"/>
      <c r="AU3177"/>
      <c r="AV3177"/>
    </row>
    <row r="3178" spans="41:48" x14ac:dyDescent="0.35">
      <c r="AO3178"/>
      <c r="AP3178"/>
      <c r="AQ3178"/>
      <c r="AR3178"/>
      <c r="AS3178"/>
      <c r="AT3178"/>
      <c r="AU3178"/>
      <c r="AV3178"/>
    </row>
    <row r="3179" spans="41:48" x14ac:dyDescent="0.35">
      <c r="AO3179"/>
      <c r="AP3179"/>
      <c r="AQ3179"/>
      <c r="AR3179"/>
      <c r="AS3179"/>
      <c r="AT3179"/>
      <c r="AU3179"/>
      <c r="AV3179"/>
    </row>
    <row r="3180" spans="41:48" x14ac:dyDescent="0.35">
      <c r="AO3180"/>
      <c r="AP3180"/>
      <c r="AQ3180"/>
      <c r="AR3180"/>
      <c r="AS3180"/>
      <c r="AT3180"/>
      <c r="AU3180"/>
      <c r="AV3180"/>
    </row>
    <row r="3181" spans="41:48" x14ac:dyDescent="0.35">
      <c r="AO3181"/>
      <c r="AP3181"/>
      <c r="AQ3181"/>
      <c r="AR3181"/>
      <c r="AS3181"/>
      <c r="AT3181"/>
      <c r="AU3181"/>
      <c r="AV3181"/>
    </row>
    <row r="3182" spans="41:48" x14ac:dyDescent="0.35">
      <c r="AO3182"/>
      <c r="AP3182"/>
      <c r="AQ3182"/>
      <c r="AR3182"/>
      <c r="AS3182"/>
      <c r="AT3182"/>
      <c r="AU3182"/>
      <c r="AV3182"/>
    </row>
    <row r="3183" spans="41:48" x14ac:dyDescent="0.35">
      <c r="AO3183"/>
      <c r="AP3183"/>
      <c r="AQ3183"/>
      <c r="AR3183"/>
      <c r="AS3183"/>
      <c r="AT3183"/>
      <c r="AU3183"/>
      <c r="AV3183"/>
    </row>
    <row r="3184" spans="41:48" x14ac:dyDescent="0.35">
      <c r="AO3184"/>
      <c r="AP3184"/>
      <c r="AQ3184"/>
      <c r="AR3184"/>
      <c r="AS3184"/>
      <c r="AT3184"/>
      <c r="AU3184"/>
      <c r="AV3184"/>
    </row>
    <row r="3185" spans="41:48" x14ac:dyDescent="0.35">
      <c r="AO3185"/>
      <c r="AP3185"/>
      <c r="AQ3185"/>
      <c r="AR3185"/>
      <c r="AS3185"/>
      <c r="AT3185"/>
      <c r="AU3185"/>
      <c r="AV3185"/>
    </row>
    <row r="3186" spans="41:48" x14ac:dyDescent="0.35">
      <c r="AO3186"/>
      <c r="AP3186"/>
      <c r="AQ3186"/>
      <c r="AR3186"/>
      <c r="AS3186"/>
      <c r="AT3186"/>
      <c r="AU3186"/>
      <c r="AV3186"/>
    </row>
    <row r="3187" spans="41:48" x14ac:dyDescent="0.35">
      <c r="AO3187"/>
      <c r="AP3187"/>
      <c r="AQ3187"/>
      <c r="AR3187"/>
      <c r="AS3187"/>
      <c r="AT3187"/>
      <c r="AU3187"/>
      <c r="AV3187"/>
    </row>
    <row r="3188" spans="41:48" x14ac:dyDescent="0.35">
      <c r="AO3188"/>
      <c r="AP3188"/>
      <c r="AQ3188"/>
      <c r="AR3188"/>
      <c r="AS3188"/>
      <c r="AT3188"/>
      <c r="AU3188"/>
      <c r="AV3188"/>
    </row>
    <row r="3189" spans="41:48" x14ac:dyDescent="0.35">
      <c r="AO3189"/>
      <c r="AP3189"/>
      <c r="AQ3189"/>
      <c r="AR3189"/>
      <c r="AS3189"/>
      <c r="AT3189"/>
      <c r="AU3189"/>
      <c r="AV3189"/>
    </row>
    <row r="3190" spans="41:48" x14ac:dyDescent="0.35">
      <c r="AO3190"/>
      <c r="AP3190"/>
      <c r="AQ3190"/>
      <c r="AR3190"/>
      <c r="AS3190"/>
      <c r="AT3190"/>
      <c r="AU3190"/>
      <c r="AV3190"/>
    </row>
    <row r="3191" spans="41:48" x14ac:dyDescent="0.35">
      <c r="AO3191"/>
      <c r="AP3191"/>
      <c r="AQ3191"/>
      <c r="AR3191"/>
      <c r="AS3191"/>
      <c r="AT3191"/>
      <c r="AU3191"/>
      <c r="AV3191"/>
    </row>
    <row r="3192" spans="41:48" x14ac:dyDescent="0.35">
      <c r="AO3192"/>
      <c r="AP3192"/>
      <c r="AQ3192"/>
      <c r="AR3192"/>
      <c r="AS3192"/>
      <c r="AT3192"/>
      <c r="AU3192"/>
      <c r="AV3192"/>
    </row>
    <row r="3193" spans="41:48" x14ac:dyDescent="0.35">
      <c r="AO3193"/>
      <c r="AP3193"/>
      <c r="AQ3193"/>
      <c r="AR3193"/>
      <c r="AS3193"/>
      <c r="AT3193"/>
      <c r="AU3193"/>
      <c r="AV3193"/>
    </row>
    <row r="3194" spans="41:48" x14ac:dyDescent="0.35">
      <c r="AO3194"/>
      <c r="AP3194"/>
      <c r="AQ3194"/>
      <c r="AR3194"/>
      <c r="AS3194"/>
      <c r="AT3194"/>
      <c r="AU3194"/>
      <c r="AV3194"/>
    </row>
    <row r="3195" spans="41:48" x14ac:dyDescent="0.35">
      <c r="AO3195"/>
      <c r="AP3195"/>
      <c r="AQ3195"/>
      <c r="AR3195"/>
      <c r="AS3195"/>
      <c r="AT3195"/>
      <c r="AU3195"/>
      <c r="AV3195"/>
    </row>
    <row r="3196" spans="41:48" x14ac:dyDescent="0.35">
      <c r="AO3196"/>
      <c r="AP3196"/>
      <c r="AQ3196"/>
      <c r="AR3196"/>
      <c r="AS3196"/>
      <c r="AT3196"/>
      <c r="AU3196"/>
      <c r="AV3196"/>
    </row>
    <row r="3197" spans="41:48" x14ac:dyDescent="0.35">
      <c r="AO3197"/>
      <c r="AP3197"/>
      <c r="AQ3197"/>
      <c r="AR3197"/>
      <c r="AS3197"/>
      <c r="AT3197"/>
      <c r="AU3197"/>
      <c r="AV3197"/>
    </row>
    <row r="3198" spans="41:48" x14ac:dyDescent="0.35">
      <c r="AO3198"/>
      <c r="AP3198"/>
      <c r="AQ3198"/>
      <c r="AR3198"/>
      <c r="AS3198"/>
      <c r="AT3198"/>
      <c r="AU3198"/>
      <c r="AV3198"/>
    </row>
    <row r="3199" spans="41:48" x14ac:dyDescent="0.35">
      <c r="AO3199"/>
      <c r="AP3199"/>
      <c r="AQ3199"/>
      <c r="AR3199"/>
      <c r="AS3199"/>
      <c r="AT3199"/>
      <c r="AU3199"/>
      <c r="AV3199"/>
    </row>
    <row r="3200" spans="41:48" x14ac:dyDescent="0.35">
      <c r="AO3200"/>
      <c r="AP3200"/>
      <c r="AQ3200"/>
      <c r="AR3200"/>
      <c r="AS3200"/>
      <c r="AT3200"/>
      <c r="AU3200"/>
      <c r="AV3200"/>
    </row>
    <row r="3201" spans="41:48" x14ac:dyDescent="0.35">
      <c r="AO3201"/>
      <c r="AP3201"/>
      <c r="AQ3201"/>
      <c r="AR3201"/>
      <c r="AS3201"/>
      <c r="AT3201"/>
      <c r="AU3201"/>
      <c r="AV3201"/>
    </row>
    <row r="3202" spans="41:48" x14ac:dyDescent="0.35">
      <c r="AO3202"/>
      <c r="AP3202"/>
      <c r="AQ3202"/>
      <c r="AR3202"/>
      <c r="AS3202"/>
      <c r="AT3202"/>
      <c r="AU3202"/>
      <c r="AV3202"/>
    </row>
    <row r="3203" spans="41:48" x14ac:dyDescent="0.35">
      <c r="AO3203"/>
      <c r="AP3203"/>
      <c r="AQ3203"/>
      <c r="AR3203"/>
      <c r="AS3203"/>
      <c r="AT3203"/>
      <c r="AU3203"/>
      <c r="AV3203"/>
    </row>
    <row r="3204" spans="41:48" x14ac:dyDescent="0.35">
      <c r="AO3204"/>
      <c r="AP3204"/>
      <c r="AQ3204"/>
      <c r="AR3204"/>
      <c r="AS3204"/>
      <c r="AT3204"/>
      <c r="AU3204"/>
      <c r="AV3204"/>
    </row>
    <row r="3205" spans="41:48" x14ac:dyDescent="0.35">
      <c r="AO3205"/>
      <c r="AP3205"/>
      <c r="AQ3205"/>
      <c r="AR3205"/>
      <c r="AS3205"/>
      <c r="AT3205"/>
      <c r="AU3205"/>
      <c r="AV3205"/>
    </row>
    <row r="3206" spans="41:48" x14ac:dyDescent="0.35">
      <c r="AO3206"/>
      <c r="AP3206"/>
      <c r="AQ3206"/>
      <c r="AR3206"/>
      <c r="AS3206"/>
      <c r="AT3206"/>
      <c r="AU3206"/>
      <c r="AV3206"/>
    </row>
    <row r="3207" spans="41:48" x14ac:dyDescent="0.35">
      <c r="AO3207"/>
      <c r="AP3207"/>
      <c r="AQ3207"/>
      <c r="AR3207"/>
      <c r="AS3207"/>
      <c r="AT3207"/>
      <c r="AU3207"/>
      <c r="AV3207"/>
    </row>
    <row r="3208" spans="41:48" x14ac:dyDescent="0.35">
      <c r="AO3208"/>
      <c r="AP3208"/>
      <c r="AQ3208"/>
      <c r="AR3208"/>
      <c r="AS3208"/>
      <c r="AT3208"/>
      <c r="AU3208"/>
      <c r="AV3208"/>
    </row>
    <row r="3209" spans="41:48" x14ac:dyDescent="0.35">
      <c r="AO3209"/>
      <c r="AP3209"/>
      <c r="AQ3209"/>
      <c r="AR3209"/>
      <c r="AS3209"/>
      <c r="AT3209"/>
      <c r="AU3209"/>
      <c r="AV3209"/>
    </row>
    <row r="3210" spans="41:48" x14ac:dyDescent="0.35">
      <c r="AO3210"/>
      <c r="AP3210"/>
      <c r="AQ3210"/>
      <c r="AR3210"/>
      <c r="AS3210"/>
      <c r="AT3210"/>
      <c r="AU3210"/>
      <c r="AV3210"/>
    </row>
    <row r="3211" spans="41:48" x14ac:dyDescent="0.35">
      <c r="AO3211"/>
      <c r="AP3211"/>
      <c r="AQ3211"/>
      <c r="AR3211"/>
      <c r="AS3211"/>
      <c r="AT3211"/>
      <c r="AU3211"/>
      <c r="AV3211"/>
    </row>
    <row r="3212" spans="41:48" x14ac:dyDescent="0.35">
      <c r="AO3212"/>
      <c r="AP3212"/>
      <c r="AQ3212"/>
      <c r="AR3212"/>
      <c r="AS3212"/>
      <c r="AT3212"/>
      <c r="AU3212"/>
      <c r="AV3212"/>
    </row>
    <row r="3213" spans="41:48" x14ac:dyDescent="0.35">
      <c r="AO3213"/>
      <c r="AP3213"/>
      <c r="AQ3213"/>
      <c r="AR3213"/>
      <c r="AS3213"/>
      <c r="AT3213"/>
      <c r="AU3213"/>
      <c r="AV3213"/>
    </row>
    <row r="3214" spans="41:48" x14ac:dyDescent="0.35">
      <c r="AO3214"/>
      <c r="AP3214"/>
      <c r="AQ3214"/>
      <c r="AR3214"/>
      <c r="AS3214"/>
      <c r="AT3214"/>
      <c r="AU3214"/>
      <c r="AV3214"/>
    </row>
    <row r="3215" spans="41:48" x14ac:dyDescent="0.35">
      <c r="AO3215"/>
      <c r="AP3215"/>
      <c r="AQ3215"/>
      <c r="AR3215"/>
      <c r="AS3215"/>
      <c r="AT3215"/>
      <c r="AU3215"/>
      <c r="AV3215"/>
    </row>
    <row r="3216" spans="41:48" x14ac:dyDescent="0.35">
      <c r="AO3216"/>
      <c r="AP3216"/>
      <c r="AQ3216"/>
      <c r="AR3216"/>
      <c r="AS3216"/>
      <c r="AT3216"/>
      <c r="AU3216"/>
      <c r="AV3216"/>
    </row>
    <row r="3217" spans="41:48" x14ac:dyDescent="0.35">
      <c r="AO3217"/>
      <c r="AP3217"/>
      <c r="AQ3217"/>
      <c r="AR3217"/>
      <c r="AS3217"/>
      <c r="AT3217"/>
      <c r="AU3217"/>
      <c r="AV3217"/>
    </row>
    <row r="3218" spans="41:48" x14ac:dyDescent="0.35">
      <c r="AO3218"/>
      <c r="AP3218"/>
      <c r="AQ3218"/>
      <c r="AR3218"/>
      <c r="AS3218"/>
      <c r="AT3218"/>
      <c r="AU3218"/>
      <c r="AV3218"/>
    </row>
    <row r="3219" spans="41:48" x14ac:dyDescent="0.35">
      <c r="AO3219"/>
      <c r="AP3219"/>
      <c r="AQ3219"/>
      <c r="AR3219"/>
      <c r="AS3219"/>
      <c r="AT3219"/>
      <c r="AU3219"/>
      <c r="AV3219"/>
    </row>
    <row r="3220" spans="41:48" x14ac:dyDescent="0.35">
      <c r="AO3220"/>
      <c r="AP3220"/>
      <c r="AQ3220"/>
      <c r="AR3220"/>
      <c r="AS3220"/>
      <c r="AT3220"/>
      <c r="AU3220"/>
      <c r="AV3220"/>
    </row>
    <row r="3221" spans="41:48" x14ac:dyDescent="0.35">
      <c r="AO3221"/>
      <c r="AP3221"/>
      <c r="AQ3221"/>
      <c r="AR3221"/>
      <c r="AS3221"/>
      <c r="AT3221"/>
      <c r="AU3221"/>
      <c r="AV3221"/>
    </row>
    <row r="3222" spans="41:48" x14ac:dyDescent="0.35">
      <c r="AO3222"/>
      <c r="AP3222"/>
      <c r="AQ3222"/>
      <c r="AR3222"/>
      <c r="AS3222"/>
      <c r="AT3222"/>
      <c r="AU3222"/>
      <c r="AV3222"/>
    </row>
    <row r="3223" spans="41:48" x14ac:dyDescent="0.35">
      <c r="AO3223"/>
      <c r="AP3223"/>
      <c r="AQ3223"/>
      <c r="AR3223"/>
      <c r="AS3223"/>
      <c r="AT3223"/>
      <c r="AU3223"/>
      <c r="AV3223"/>
    </row>
    <row r="3224" spans="41:48" x14ac:dyDescent="0.35">
      <c r="AO3224"/>
      <c r="AP3224"/>
      <c r="AQ3224"/>
      <c r="AR3224"/>
      <c r="AS3224"/>
      <c r="AT3224"/>
      <c r="AU3224"/>
      <c r="AV3224"/>
    </row>
    <row r="3225" spans="41:48" x14ac:dyDescent="0.35">
      <c r="AO3225"/>
      <c r="AP3225"/>
      <c r="AQ3225"/>
      <c r="AR3225"/>
      <c r="AS3225"/>
      <c r="AT3225"/>
      <c r="AU3225"/>
      <c r="AV3225"/>
    </row>
    <row r="3226" spans="41:48" x14ac:dyDescent="0.35">
      <c r="AO3226"/>
      <c r="AP3226"/>
      <c r="AQ3226"/>
      <c r="AR3226"/>
      <c r="AS3226"/>
      <c r="AT3226"/>
      <c r="AU3226"/>
      <c r="AV3226"/>
    </row>
    <row r="3227" spans="41:48" x14ac:dyDescent="0.35">
      <c r="AO3227"/>
      <c r="AP3227"/>
      <c r="AQ3227"/>
      <c r="AR3227"/>
      <c r="AS3227"/>
      <c r="AT3227"/>
      <c r="AU3227"/>
      <c r="AV3227"/>
    </row>
    <row r="3228" spans="41:48" x14ac:dyDescent="0.35">
      <c r="AO3228"/>
      <c r="AP3228"/>
      <c r="AQ3228"/>
      <c r="AR3228"/>
      <c r="AS3228"/>
      <c r="AT3228"/>
      <c r="AU3228"/>
      <c r="AV3228"/>
    </row>
    <row r="3229" spans="41:48" x14ac:dyDescent="0.35">
      <c r="AO3229"/>
      <c r="AP3229"/>
      <c r="AQ3229"/>
      <c r="AR3229"/>
      <c r="AS3229"/>
      <c r="AT3229"/>
      <c r="AU3229"/>
      <c r="AV3229"/>
    </row>
    <row r="3230" spans="41:48" x14ac:dyDescent="0.35">
      <c r="AO3230"/>
      <c r="AP3230"/>
      <c r="AQ3230"/>
      <c r="AR3230"/>
      <c r="AS3230"/>
      <c r="AT3230"/>
      <c r="AU3230"/>
      <c r="AV3230"/>
    </row>
    <row r="3231" spans="41:48" x14ac:dyDescent="0.35">
      <c r="AO3231"/>
      <c r="AP3231"/>
      <c r="AQ3231"/>
      <c r="AR3231"/>
      <c r="AS3231"/>
      <c r="AT3231"/>
      <c r="AU3231"/>
      <c r="AV3231"/>
    </row>
    <row r="3232" spans="41:48" x14ac:dyDescent="0.35">
      <c r="AO3232"/>
      <c r="AP3232"/>
      <c r="AQ3232"/>
      <c r="AR3232"/>
      <c r="AS3232"/>
      <c r="AT3232"/>
      <c r="AU3232"/>
      <c r="AV3232"/>
    </row>
    <row r="3233" spans="41:48" x14ac:dyDescent="0.35">
      <c r="AO3233"/>
      <c r="AP3233"/>
      <c r="AQ3233"/>
      <c r="AR3233"/>
      <c r="AS3233"/>
      <c r="AT3233"/>
      <c r="AU3233"/>
      <c r="AV3233"/>
    </row>
    <row r="3234" spans="41:48" x14ac:dyDescent="0.35">
      <c r="AO3234"/>
      <c r="AP3234"/>
      <c r="AQ3234"/>
      <c r="AR3234"/>
      <c r="AS3234"/>
      <c r="AT3234"/>
      <c r="AU3234"/>
      <c r="AV3234"/>
    </row>
    <row r="3235" spans="41:48" x14ac:dyDescent="0.35">
      <c r="AO3235"/>
      <c r="AP3235"/>
      <c r="AQ3235"/>
      <c r="AR3235"/>
      <c r="AS3235"/>
      <c r="AT3235"/>
      <c r="AU3235"/>
      <c r="AV3235"/>
    </row>
    <row r="3236" spans="41:48" x14ac:dyDescent="0.35">
      <c r="AO3236"/>
      <c r="AP3236"/>
      <c r="AQ3236"/>
      <c r="AR3236"/>
      <c r="AS3236"/>
      <c r="AT3236"/>
      <c r="AU3236"/>
      <c r="AV3236"/>
    </row>
    <row r="3237" spans="41:48" x14ac:dyDescent="0.35">
      <c r="AO3237"/>
      <c r="AP3237"/>
      <c r="AQ3237"/>
      <c r="AR3237"/>
      <c r="AS3237"/>
      <c r="AT3237"/>
      <c r="AU3237"/>
      <c r="AV3237"/>
    </row>
    <row r="3238" spans="41:48" x14ac:dyDescent="0.35">
      <c r="AO3238"/>
      <c r="AP3238"/>
      <c r="AQ3238"/>
      <c r="AR3238"/>
      <c r="AS3238"/>
      <c r="AT3238"/>
      <c r="AU3238"/>
      <c r="AV3238"/>
    </row>
    <row r="3239" spans="41:48" x14ac:dyDescent="0.35">
      <c r="AO3239"/>
      <c r="AP3239"/>
      <c r="AQ3239"/>
      <c r="AR3239"/>
      <c r="AS3239"/>
      <c r="AT3239"/>
      <c r="AU3239"/>
      <c r="AV3239"/>
    </row>
    <row r="3240" spans="41:48" x14ac:dyDescent="0.35">
      <c r="AO3240"/>
      <c r="AP3240"/>
      <c r="AQ3240"/>
      <c r="AR3240"/>
      <c r="AS3240"/>
      <c r="AT3240"/>
      <c r="AU3240"/>
      <c r="AV3240"/>
    </row>
    <row r="3241" spans="41:48" x14ac:dyDescent="0.35">
      <c r="AO3241"/>
      <c r="AP3241"/>
      <c r="AQ3241"/>
      <c r="AR3241"/>
      <c r="AS3241"/>
      <c r="AT3241"/>
      <c r="AU3241"/>
      <c r="AV3241"/>
    </row>
    <row r="3242" spans="41:48" x14ac:dyDescent="0.35">
      <c r="AO3242"/>
      <c r="AP3242"/>
      <c r="AQ3242"/>
      <c r="AR3242"/>
      <c r="AS3242"/>
      <c r="AT3242"/>
      <c r="AU3242"/>
      <c r="AV3242"/>
    </row>
    <row r="3243" spans="41:48" x14ac:dyDescent="0.35">
      <c r="AO3243"/>
      <c r="AP3243"/>
      <c r="AQ3243"/>
      <c r="AR3243"/>
      <c r="AS3243"/>
      <c r="AT3243"/>
      <c r="AU3243"/>
      <c r="AV3243"/>
    </row>
    <row r="3244" spans="41:48" x14ac:dyDescent="0.35">
      <c r="AO3244"/>
      <c r="AP3244"/>
      <c r="AQ3244"/>
      <c r="AR3244"/>
      <c r="AS3244"/>
      <c r="AT3244"/>
      <c r="AU3244"/>
      <c r="AV3244"/>
    </row>
    <row r="3245" spans="41:48" x14ac:dyDescent="0.35">
      <c r="AO3245"/>
      <c r="AP3245"/>
      <c r="AQ3245"/>
      <c r="AR3245"/>
      <c r="AS3245"/>
      <c r="AT3245"/>
      <c r="AU3245"/>
      <c r="AV3245"/>
    </row>
    <row r="3246" spans="41:48" x14ac:dyDescent="0.35">
      <c r="AO3246"/>
      <c r="AP3246"/>
      <c r="AQ3246"/>
      <c r="AR3246"/>
      <c r="AS3246"/>
      <c r="AT3246"/>
      <c r="AU3246"/>
      <c r="AV3246"/>
    </row>
    <row r="3247" spans="41:48" x14ac:dyDescent="0.35">
      <c r="AO3247"/>
      <c r="AP3247"/>
      <c r="AQ3247"/>
      <c r="AR3247"/>
      <c r="AS3247"/>
      <c r="AT3247"/>
      <c r="AU3247"/>
      <c r="AV3247"/>
    </row>
    <row r="3248" spans="41:48" x14ac:dyDescent="0.35">
      <c r="AO3248"/>
      <c r="AP3248"/>
      <c r="AQ3248"/>
      <c r="AR3248"/>
      <c r="AS3248"/>
      <c r="AT3248"/>
      <c r="AU3248"/>
      <c r="AV3248"/>
    </row>
    <row r="3249" spans="41:48" x14ac:dyDescent="0.35">
      <c r="AO3249"/>
      <c r="AP3249"/>
      <c r="AQ3249"/>
      <c r="AR3249"/>
      <c r="AS3249"/>
      <c r="AT3249"/>
      <c r="AU3249"/>
      <c r="AV3249"/>
    </row>
    <row r="3250" spans="41:48" x14ac:dyDescent="0.35">
      <c r="AO3250"/>
      <c r="AP3250"/>
      <c r="AQ3250"/>
      <c r="AR3250"/>
      <c r="AS3250"/>
      <c r="AT3250"/>
      <c r="AU3250"/>
      <c r="AV3250"/>
    </row>
    <row r="3251" spans="41:48" x14ac:dyDescent="0.35">
      <c r="AO3251"/>
      <c r="AP3251"/>
      <c r="AQ3251"/>
      <c r="AR3251"/>
      <c r="AS3251"/>
      <c r="AT3251"/>
      <c r="AU3251"/>
      <c r="AV3251"/>
    </row>
    <row r="3252" spans="41:48" x14ac:dyDescent="0.35">
      <c r="AO3252"/>
      <c r="AP3252"/>
      <c r="AQ3252"/>
      <c r="AR3252"/>
      <c r="AS3252"/>
      <c r="AT3252"/>
      <c r="AU3252"/>
      <c r="AV3252"/>
    </row>
    <row r="3253" spans="41:48" x14ac:dyDescent="0.35">
      <c r="AO3253"/>
      <c r="AP3253"/>
      <c r="AQ3253"/>
      <c r="AR3253"/>
      <c r="AS3253"/>
      <c r="AT3253"/>
      <c r="AU3253"/>
      <c r="AV3253"/>
    </row>
    <row r="3254" spans="41:48" x14ac:dyDescent="0.35">
      <c r="AO3254"/>
      <c r="AP3254"/>
      <c r="AQ3254"/>
      <c r="AR3254"/>
      <c r="AS3254"/>
      <c r="AT3254"/>
      <c r="AU3254"/>
      <c r="AV3254"/>
    </row>
    <row r="3255" spans="41:48" x14ac:dyDescent="0.35">
      <c r="AO3255"/>
      <c r="AP3255"/>
      <c r="AQ3255"/>
      <c r="AR3255"/>
      <c r="AS3255"/>
      <c r="AT3255"/>
      <c r="AU3255"/>
      <c r="AV3255"/>
    </row>
    <row r="3256" spans="41:48" x14ac:dyDescent="0.35">
      <c r="AO3256"/>
      <c r="AP3256"/>
      <c r="AQ3256"/>
      <c r="AR3256"/>
      <c r="AS3256"/>
      <c r="AT3256"/>
      <c r="AU3256"/>
      <c r="AV3256"/>
    </row>
    <row r="3257" spans="41:48" x14ac:dyDescent="0.35">
      <c r="AO3257"/>
      <c r="AP3257"/>
      <c r="AQ3257"/>
      <c r="AR3257"/>
      <c r="AS3257"/>
      <c r="AT3257"/>
      <c r="AU3257"/>
      <c r="AV3257"/>
    </row>
    <row r="3258" spans="41:48" x14ac:dyDescent="0.35">
      <c r="AO3258"/>
      <c r="AP3258"/>
      <c r="AQ3258"/>
      <c r="AR3258"/>
      <c r="AS3258"/>
      <c r="AT3258"/>
      <c r="AU3258"/>
      <c r="AV3258"/>
    </row>
    <row r="3259" spans="41:48" x14ac:dyDescent="0.35">
      <c r="AO3259"/>
      <c r="AP3259"/>
      <c r="AQ3259"/>
      <c r="AR3259"/>
      <c r="AS3259"/>
      <c r="AT3259"/>
      <c r="AU3259"/>
      <c r="AV3259"/>
    </row>
    <row r="3260" spans="41:48" x14ac:dyDescent="0.35">
      <c r="AO3260"/>
      <c r="AP3260"/>
      <c r="AQ3260"/>
      <c r="AR3260"/>
      <c r="AS3260"/>
      <c r="AT3260"/>
      <c r="AU3260"/>
      <c r="AV3260"/>
    </row>
    <row r="3261" spans="41:48" x14ac:dyDescent="0.35">
      <c r="AO3261"/>
      <c r="AP3261"/>
      <c r="AQ3261"/>
      <c r="AR3261"/>
      <c r="AS3261"/>
      <c r="AT3261"/>
      <c r="AU3261"/>
      <c r="AV3261"/>
    </row>
    <row r="3262" spans="41:48" x14ac:dyDescent="0.35">
      <c r="AO3262"/>
      <c r="AP3262"/>
      <c r="AQ3262"/>
      <c r="AR3262"/>
      <c r="AS3262"/>
      <c r="AT3262"/>
      <c r="AU3262"/>
      <c r="AV3262"/>
    </row>
    <row r="3263" spans="41:48" x14ac:dyDescent="0.35">
      <c r="AO3263"/>
      <c r="AP3263"/>
      <c r="AQ3263"/>
      <c r="AR3263"/>
      <c r="AS3263"/>
      <c r="AT3263"/>
      <c r="AU3263"/>
      <c r="AV3263"/>
    </row>
    <row r="3264" spans="41:48" x14ac:dyDescent="0.35">
      <c r="AO3264"/>
      <c r="AP3264"/>
      <c r="AQ3264"/>
      <c r="AR3264"/>
      <c r="AS3264"/>
      <c r="AT3264"/>
      <c r="AU3264"/>
      <c r="AV3264"/>
    </row>
    <row r="3265" spans="41:48" x14ac:dyDescent="0.35">
      <c r="AO3265"/>
      <c r="AP3265"/>
      <c r="AQ3265"/>
      <c r="AR3265"/>
      <c r="AS3265"/>
      <c r="AT3265"/>
      <c r="AU3265"/>
      <c r="AV3265"/>
    </row>
    <row r="3266" spans="41:48" x14ac:dyDescent="0.35">
      <c r="AO3266"/>
      <c r="AP3266"/>
      <c r="AQ3266"/>
      <c r="AR3266"/>
      <c r="AS3266"/>
      <c r="AT3266"/>
      <c r="AU3266"/>
      <c r="AV3266"/>
    </row>
    <row r="3267" spans="41:48" x14ac:dyDescent="0.35">
      <c r="AO3267"/>
      <c r="AP3267"/>
      <c r="AQ3267"/>
      <c r="AR3267"/>
      <c r="AS3267"/>
      <c r="AT3267"/>
      <c r="AU3267"/>
      <c r="AV3267"/>
    </row>
    <row r="3268" spans="41:48" x14ac:dyDescent="0.35">
      <c r="AO3268"/>
      <c r="AP3268"/>
      <c r="AQ3268"/>
      <c r="AR3268"/>
      <c r="AS3268"/>
      <c r="AT3268"/>
      <c r="AU3268"/>
      <c r="AV3268"/>
    </row>
    <row r="3269" spans="41:48" x14ac:dyDescent="0.35">
      <c r="AO3269"/>
      <c r="AP3269"/>
      <c r="AQ3269"/>
      <c r="AR3269"/>
      <c r="AS3269"/>
      <c r="AT3269"/>
      <c r="AU3269"/>
      <c r="AV3269"/>
    </row>
    <row r="3270" spans="41:48" x14ac:dyDescent="0.35">
      <c r="AO3270"/>
      <c r="AP3270"/>
      <c r="AQ3270"/>
      <c r="AR3270"/>
      <c r="AS3270"/>
      <c r="AT3270"/>
      <c r="AU3270"/>
      <c r="AV3270"/>
    </row>
    <row r="3271" spans="41:48" x14ac:dyDescent="0.35">
      <c r="AO3271"/>
      <c r="AP3271"/>
      <c r="AQ3271"/>
      <c r="AR3271"/>
      <c r="AS3271"/>
      <c r="AT3271"/>
      <c r="AU3271"/>
      <c r="AV3271"/>
    </row>
    <row r="3272" spans="41:48" x14ac:dyDescent="0.35">
      <c r="AO3272"/>
      <c r="AP3272"/>
      <c r="AQ3272"/>
      <c r="AR3272"/>
      <c r="AS3272"/>
      <c r="AT3272"/>
      <c r="AU3272"/>
      <c r="AV3272"/>
    </row>
    <row r="3273" spans="41:48" x14ac:dyDescent="0.35">
      <c r="AO3273"/>
      <c r="AP3273"/>
      <c r="AQ3273"/>
      <c r="AR3273"/>
      <c r="AS3273"/>
      <c r="AT3273"/>
      <c r="AU3273"/>
      <c r="AV3273"/>
    </row>
    <row r="3274" spans="41:48" x14ac:dyDescent="0.35">
      <c r="AO3274"/>
      <c r="AP3274"/>
      <c r="AQ3274"/>
      <c r="AR3274"/>
      <c r="AS3274"/>
      <c r="AT3274"/>
      <c r="AU3274"/>
      <c r="AV3274"/>
    </row>
    <row r="3275" spans="41:48" x14ac:dyDescent="0.35">
      <c r="AO3275"/>
      <c r="AP3275"/>
      <c r="AQ3275"/>
      <c r="AR3275"/>
      <c r="AS3275"/>
      <c r="AT3275"/>
      <c r="AU3275"/>
      <c r="AV3275"/>
    </row>
    <row r="3276" spans="41:48" x14ac:dyDescent="0.35">
      <c r="AO3276"/>
      <c r="AP3276"/>
      <c r="AQ3276"/>
      <c r="AR3276"/>
      <c r="AS3276"/>
      <c r="AT3276"/>
      <c r="AU3276"/>
      <c r="AV3276"/>
    </row>
    <row r="3277" spans="41:48" x14ac:dyDescent="0.35">
      <c r="AO3277"/>
      <c r="AP3277"/>
      <c r="AQ3277"/>
      <c r="AR3277"/>
      <c r="AS3277"/>
      <c r="AT3277"/>
      <c r="AU3277"/>
      <c r="AV3277"/>
    </row>
    <row r="3278" spans="41:48" x14ac:dyDescent="0.35">
      <c r="AO3278"/>
      <c r="AP3278"/>
      <c r="AQ3278"/>
      <c r="AR3278"/>
      <c r="AS3278"/>
      <c r="AT3278"/>
      <c r="AU3278"/>
      <c r="AV3278"/>
    </row>
    <row r="3279" spans="41:48" x14ac:dyDescent="0.35">
      <c r="AO3279"/>
      <c r="AP3279"/>
      <c r="AQ3279"/>
      <c r="AR3279"/>
      <c r="AS3279"/>
      <c r="AT3279"/>
      <c r="AU3279"/>
      <c r="AV3279"/>
    </row>
    <row r="3280" spans="41:48" x14ac:dyDescent="0.35">
      <c r="AO3280"/>
      <c r="AP3280"/>
      <c r="AQ3280"/>
      <c r="AR3280"/>
      <c r="AS3280"/>
      <c r="AT3280"/>
      <c r="AU3280"/>
      <c r="AV3280"/>
    </row>
    <row r="3281" spans="41:48" x14ac:dyDescent="0.35">
      <c r="AO3281"/>
      <c r="AP3281"/>
      <c r="AQ3281"/>
      <c r="AR3281"/>
      <c r="AS3281"/>
      <c r="AT3281"/>
      <c r="AU3281"/>
      <c r="AV3281"/>
    </row>
    <row r="3282" spans="41:48" x14ac:dyDescent="0.35">
      <c r="AO3282"/>
      <c r="AP3282"/>
      <c r="AQ3282"/>
      <c r="AR3282"/>
      <c r="AS3282"/>
      <c r="AT3282"/>
      <c r="AU3282"/>
      <c r="AV3282"/>
    </row>
    <row r="3283" spans="41:48" x14ac:dyDescent="0.35">
      <c r="AO3283"/>
      <c r="AP3283"/>
      <c r="AQ3283"/>
      <c r="AR3283"/>
      <c r="AS3283"/>
      <c r="AT3283"/>
      <c r="AU3283"/>
      <c r="AV3283"/>
    </row>
    <row r="3284" spans="41:48" x14ac:dyDescent="0.35">
      <c r="AO3284"/>
      <c r="AP3284"/>
      <c r="AQ3284"/>
      <c r="AR3284"/>
      <c r="AS3284"/>
      <c r="AT3284"/>
      <c r="AU3284"/>
      <c r="AV3284"/>
    </row>
    <row r="3285" spans="41:48" x14ac:dyDescent="0.35">
      <c r="AO3285"/>
      <c r="AP3285"/>
      <c r="AQ3285"/>
      <c r="AR3285"/>
      <c r="AS3285"/>
      <c r="AT3285"/>
      <c r="AU3285"/>
      <c r="AV3285"/>
    </row>
    <row r="3286" spans="41:48" x14ac:dyDescent="0.35">
      <c r="AO3286"/>
      <c r="AP3286"/>
      <c r="AQ3286"/>
      <c r="AR3286"/>
      <c r="AS3286"/>
      <c r="AT3286"/>
      <c r="AU3286"/>
      <c r="AV3286"/>
    </row>
    <row r="3287" spans="41:48" x14ac:dyDescent="0.35">
      <c r="AO3287"/>
      <c r="AP3287"/>
      <c r="AQ3287"/>
      <c r="AR3287"/>
      <c r="AS3287"/>
      <c r="AT3287"/>
      <c r="AU3287"/>
      <c r="AV3287"/>
    </row>
    <row r="3288" spans="41:48" x14ac:dyDescent="0.35">
      <c r="AO3288"/>
      <c r="AP3288"/>
      <c r="AQ3288"/>
      <c r="AR3288"/>
      <c r="AS3288"/>
      <c r="AT3288"/>
      <c r="AU3288"/>
      <c r="AV3288"/>
    </row>
    <row r="3289" spans="41:48" x14ac:dyDescent="0.35">
      <c r="AO3289"/>
      <c r="AP3289"/>
      <c r="AQ3289"/>
      <c r="AR3289"/>
      <c r="AS3289"/>
      <c r="AT3289"/>
      <c r="AU3289"/>
      <c r="AV3289"/>
    </row>
    <row r="3290" spans="41:48" x14ac:dyDescent="0.35">
      <c r="AO3290"/>
      <c r="AP3290"/>
      <c r="AQ3290"/>
      <c r="AR3290"/>
      <c r="AS3290"/>
      <c r="AT3290"/>
      <c r="AU3290"/>
      <c r="AV3290"/>
    </row>
    <row r="3291" spans="41:48" x14ac:dyDescent="0.35">
      <c r="AO3291"/>
      <c r="AP3291"/>
      <c r="AQ3291"/>
      <c r="AR3291"/>
      <c r="AS3291"/>
      <c r="AT3291"/>
      <c r="AU3291"/>
      <c r="AV3291"/>
    </row>
    <row r="3292" spans="41:48" x14ac:dyDescent="0.35">
      <c r="AO3292"/>
      <c r="AP3292"/>
      <c r="AQ3292"/>
      <c r="AR3292"/>
      <c r="AS3292"/>
      <c r="AT3292"/>
      <c r="AU3292"/>
      <c r="AV3292"/>
    </row>
    <row r="3293" spans="41:48" x14ac:dyDescent="0.35">
      <c r="AO3293"/>
      <c r="AP3293"/>
      <c r="AQ3293"/>
      <c r="AR3293"/>
      <c r="AS3293"/>
      <c r="AT3293"/>
      <c r="AU3293"/>
      <c r="AV3293"/>
    </row>
    <row r="3294" spans="41:48" x14ac:dyDescent="0.35">
      <c r="AO3294"/>
      <c r="AP3294"/>
      <c r="AQ3294"/>
      <c r="AR3294"/>
      <c r="AS3294"/>
      <c r="AT3294"/>
      <c r="AU3294"/>
      <c r="AV3294"/>
    </row>
    <row r="3295" spans="41:48" x14ac:dyDescent="0.35">
      <c r="AO3295"/>
      <c r="AP3295"/>
      <c r="AQ3295"/>
      <c r="AR3295"/>
      <c r="AS3295"/>
      <c r="AT3295"/>
      <c r="AU3295"/>
      <c r="AV3295"/>
    </row>
    <row r="3296" spans="41:48" x14ac:dyDescent="0.35">
      <c r="AO3296"/>
      <c r="AP3296"/>
      <c r="AQ3296"/>
      <c r="AR3296"/>
      <c r="AS3296"/>
      <c r="AT3296"/>
      <c r="AU3296"/>
      <c r="AV3296"/>
    </row>
    <row r="3297" spans="41:48" x14ac:dyDescent="0.35">
      <c r="AO3297"/>
      <c r="AP3297"/>
      <c r="AQ3297"/>
      <c r="AR3297"/>
      <c r="AS3297"/>
      <c r="AT3297"/>
      <c r="AU3297"/>
      <c r="AV3297"/>
    </row>
    <row r="3298" spans="41:48" x14ac:dyDescent="0.35">
      <c r="AO3298"/>
      <c r="AP3298"/>
      <c r="AQ3298"/>
      <c r="AR3298"/>
      <c r="AS3298"/>
      <c r="AT3298"/>
      <c r="AU3298"/>
      <c r="AV3298"/>
    </row>
    <row r="3299" spans="41:48" x14ac:dyDescent="0.35">
      <c r="AO3299"/>
      <c r="AP3299"/>
      <c r="AQ3299"/>
      <c r="AR3299"/>
      <c r="AS3299"/>
      <c r="AT3299"/>
      <c r="AU3299"/>
      <c r="AV3299"/>
    </row>
    <row r="3300" spans="41:48" x14ac:dyDescent="0.35">
      <c r="AO3300"/>
      <c r="AP3300"/>
      <c r="AQ3300"/>
      <c r="AR3300"/>
      <c r="AS3300"/>
      <c r="AT3300"/>
      <c r="AU3300"/>
      <c r="AV3300"/>
    </row>
    <row r="3301" spans="41:48" x14ac:dyDescent="0.35">
      <c r="AO3301"/>
      <c r="AP3301"/>
      <c r="AQ3301"/>
      <c r="AR3301"/>
      <c r="AS3301"/>
      <c r="AT3301"/>
      <c r="AU3301"/>
      <c r="AV3301"/>
    </row>
    <row r="3302" spans="41:48" x14ac:dyDescent="0.35">
      <c r="AO3302"/>
      <c r="AP3302"/>
      <c r="AQ3302"/>
      <c r="AR3302"/>
      <c r="AS3302"/>
      <c r="AT3302"/>
      <c r="AU3302"/>
      <c r="AV3302"/>
    </row>
    <row r="3303" spans="41:48" x14ac:dyDescent="0.35">
      <c r="AO3303"/>
      <c r="AP3303"/>
      <c r="AQ3303"/>
      <c r="AR3303"/>
      <c r="AS3303"/>
      <c r="AT3303"/>
      <c r="AU3303"/>
      <c r="AV3303"/>
    </row>
    <row r="3304" spans="41:48" x14ac:dyDescent="0.35">
      <c r="AO3304"/>
      <c r="AP3304"/>
      <c r="AQ3304"/>
      <c r="AR3304"/>
      <c r="AS3304"/>
      <c r="AT3304"/>
      <c r="AU3304"/>
      <c r="AV3304"/>
    </row>
    <row r="3305" spans="41:48" x14ac:dyDescent="0.35">
      <c r="AO3305"/>
      <c r="AP3305"/>
      <c r="AQ3305"/>
      <c r="AR3305"/>
      <c r="AS3305"/>
      <c r="AT3305"/>
      <c r="AU3305"/>
      <c r="AV3305"/>
    </row>
    <row r="3306" spans="41:48" x14ac:dyDescent="0.35">
      <c r="AO3306"/>
      <c r="AP3306"/>
      <c r="AQ3306"/>
      <c r="AR3306"/>
      <c r="AS3306"/>
      <c r="AT3306"/>
      <c r="AU3306"/>
      <c r="AV3306"/>
    </row>
    <row r="3307" spans="41:48" x14ac:dyDescent="0.35">
      <c r="AO3307"/>
      <c r="AP3307"/>
      <c r="AQ3307"/>
      <c r="AR3307"/>
      <c r="AS3307"/>
      <c r="AT3307"/>
      <c r="AU3307"/>
      <c r="AV3307"/>
    </row>
    <row r="3308" spans="41:48" x14ac:dyDescent="0.35">
      <c r="AO3308"/>
      <c r="AP3308"/>
      <c r="AQ3308"/>
      <c r="AR3308"/>
      <c r="AS3308"/>
      <c r="AT3308"/>
      <c r="AU3308"/>
      <c r="AV3308"/>
    </row>
    <row r="3309" spans="41:48" x14ac:dyDescent="0.35">
      <c r="AO3309"/>
      <c r="AP3309"/>
      <c r="AQ3309"/>
      <c r="AR3309"/>
      <c r="AS3309"/>
      <c r="AT3309"/>
      <c r="AU3309"/>
      <c r="AV3309"/>
    </row>
    <row r="3310" spans="41:48" x14ac:dyDescent="0.35">
      <c r="AO3310"/>
      <c r="AP3310"/>
      <c r="AQ3310"/>
      <c r="AR3310"/>
      <c r="AS3310"/>
      <c r="AT3310"/>
      <c r="AU3310"/>
      <c r="AV3310"/>
    </row>
    <row r="3311" spans="41:48" x14ac:dyDescent="0.35">
      <c r="AO3311"/>
      <c r="AP3311"/>
      <c r="AQ3311"/>
      <c r="AR3311"/>
      <c r="AS3311"/>
      <c r="AT3311"/>
      <c r="AU3311"/>
      <c r="AV3311"/>
    </row>
    <row r="3312" spans="41:48" x14ac:dyDescent="0.35">
      <c r="AO3312"/>
      <c r="AP3312"/>
      <c r="AQ3312"/>
      <c r="AR3312"/>
      <c r="AS3312"/>
      <c r="AT3312"/>
      <c r="AU3312"/>
      <c r="AV3312"/>
    </row>
    <row r="3313" spans="41:48" x14ac:dyDescent="0.35">
      <c r="AO3313"/>
      <c r="AP3313"/>
      <c r="AQ3313"/>
      <c r="AR3313"/>
      <c r="AS3313"/>
      <c r="AT3313"/>
      <c r="AU3313"/>
      <c r="AV3313"/>
    </row>
    <row r="3314" spans="41:48" x14ac:dyDescent="0.35">
      <c r="AO3314"/>
      <c r="AP3314"/>
      <c r="AQ3314"/>
      <c r="AR3314"/>
      <c r="AS3314"/>
      <c r="AT3314"/>
      <c r="AU3314"/>
      <c r="AV3314"/>
    </row>
    <row r="3315" spans="41:48" x14ac:dyDescent="0.35">
      <c r="AO3315"/>
      <c r="AP3315"/>
      <c r="AQ3315"/>
      <c r="AR3315"/>
      <c r="AS3315"/>
      <c r="AT3315"/>
      <c r="AU3315"/>
      <c r="AV3315"/>
    </row>
    <row r="3316" spans="41:48" x14ac:dyDescent="0.35">
      <c r="AO3316"/>
      <c r="AP3316"/>
      <c r="AQ3316"/>
      <c r="AR3316"/>
      <c r="AS3316"/>
      <c r="AT3316"/>
      <c r="AU3316"/>
      <c r="AV3316"/>
    </row>
    <row r="3317" spans="41:48" x14ac:dyDescent="0.35">
      <c r="AO3317"/>
      <c r="AP3317"/>
      <c r="AQ3317"/>
      <c r="AR3317"/>
      <c r="AS3317"/>
      <c r="AT3317"/>
      <c r="AU3317"/>
      <c r="AV3317"/>
    </row>
    <row r="3318" spans="41:48" x14ac:dyDescent="0.35">
      <c r="AO3318"/>
      <c r="AP3318"/>
      <c r="AQ3318"/>
      <c r="AR3318"/>
      <c r="AS3318"/>
      <c r="AT3318"/>
      <c r="AU3318"/>
      <c r="AV3318"/>
    </row>
    <row r="3319" spans="41:48" x14ac:dyDescent="0.35">
      <c r="AO3319"/>
      <c r="AP3319"/>
      <c r="AQ3319"/>
      <c r="AR3319"/>
      <c r="AS3319"/>
      <c r="AT3319"/>
      <c r="AU3319"/>
      <c r="AV3319"/>
    </row>
    <row r="3320" spans="41:48" x14ac:dyDescent="0.35">
      <c r="AO3320"/>
      <c r="AP3320"/>
      <c r="AQ3320"/>
      <c r="AR3320"/>
      <c r="AS3320"/>
      <c r="AT3320"/>
      <c r="AU3320"/>
      <c r="AV3320"/>
    </row>
    <row r="3321" spans="41:48" x14ac:dyDescent="0.35">
      <c r="AO3321"/>
      <c r="AP3321"/>
      <c r="AQ3321"/>
      <c r="AR3321"/>
      <c r="AS3321"/>
      <c r="AT3321"/>
      <c r="AU3321"/>
      <c r="AV3321"/>
    </row>
    <row r="3322" spans="41:48" x14ac:dyDescent="0.35">
      <c r="AO3322"/>
      <c r="AP3322"/>
      <c r="AQ3322"/>
      <c r="AR3322"/>
      <c r="AS3322"/>
      <c r="AT3322"/>
      <c r="AU3322"/>
      <c r="AV3322"/>
    </row>
    <row r="3323" spans="41:48" x14ac:dyDescent="0.35">
      <c r="AO3323"/>
      <c r="AP3323"/>
      <c r="AQ3323"/>
      <c r="AR3323"/>
      <c r="AS3323"/>
      <c r="AT3323"/>
      <c r="AU3323"/>
      <c r="AV3323"/>
    </row>
    <row r="3324" spans="41:48" x14ac:dyDescent="0.35">
      <c r="AO3324"/>
      <c r="AP3324"/>
      <c r="AQ3324"/>
      <c r="AR3324"/>
      <c r="AS3324"/>
      <c r="AT3324"/>
      <c r="AU3324"/>
      <c r="AV3324"/>
    </row>
    <row r="3325" spans="41:48" x14ac:dyDescent="0.35">
      <c r="AO3325"/>
      <c r="AP3325"/>
      <c r="AQ3325"/>
      <c r="AR3325"/>
      <c r="AS3325"/>
      <c r="AT3325"/>
      <c r="AU3325"/>
      <c r="AV3325"/>
    </row>
    <row r="3326" spans="41:48" x14ac:dyDescent="0.35">
      <c r="AO3326"/>
      <c r="AP3326"/>
      <c r="AQ3326"/>
      <c r="AR3326"/>
      <c r="AS3326"/>
      <c r="AT3326"/>
      <c r="AU3326"/>
      <c r="AV3326"/>
    </row>
    <row r="3327" spans="41:48" x14ac:dyDescent="0.35">
      <c r="AO3327"/>
      <c r="AP3327"/>
      <c r="AQ3327"/>
      <c r="AR3327"/>
      <c r="AS3327"/>
      <c r="AT3327"/>
      <c r="AU3327"/>
      <c r="AV3327"/>
    </row>
    <row r="3328" spans="41:48" x14ac:dyDescent="0.35">
      <c r="AO3328"/>
      <c r="AP3328"/>
      <c r="AQ3328"/>
      <c r="AR3328"/>
      <c r="AS3328"/>
      <c r="AT3328"/>
      <c r="AU3328"/>
      <c r="AV3328"/>
    </row>
    <row r="3329" spans="41:48" x14ac:dyDescent="0.35">
      <c r="AO3329"/>
      <c r="AP3329"/>
      <c r="AQ3329"/>
      <c r="AR3329"/>
      <c r="AS3329"/>
      <c r="AT3329"/>
      <c r="AU3329"/>
      <c r="AV3329"/>
    </row>
    <row r="3330" spans="41:48" x14ac:dyDescent="0.35">
      <c r="AO3330"/>
      <c r="AP3330"/>
      <c r="AQ3330"/>
      <c r="AR3330"/>
      <c r="AS3330"/>
      <c r="AT3330"/>
      <c r="AU3330"/>
      <c r="AV3330"/>
    </row>
    <row r="3331" spans="41:48" x14ac:dyDescent="0.35">
      <c r="AO3331"/>
      <c r="AP3331"/>
      <c r="AQ3331"/>
      <c r="AR3331"/>
      <c r="AS3331"/>
      <c r="AT3331"/>
      <c r="AU3331"/>
      <c r="AV3331"/>
    </row>
    <row r="3332" spans="41:48" x14ac:dyDescent="0.35">
      <c r="AO3332"/>
      <c r="AP3332"/>
      <c r="AQ3332"/>
      <c r="AR3332"/>
      <c r="AS3332"/>
      <c r="AT3332"/>
      <c r="AU3332"/>
      <c r="AV3332"/>
    </row>
    <row r="3333" spans="41:48" x14ac:dyDescent="0.35">
      <c r="AO3333"/>
      <c r="AP3333"/>
      <c r="AQ3333"/>
      <c r="AR3333"/>
      <c r="AS3333"/>
      <c r="AT3333"/>
      <c r="AU3333"/>
      <c r="AV3333"/>
    </row>
    <row r="3334" spans="41:48" x14ac:dyDescent="0.35">
      <c r="AO3334"/>
      <c r="AP3334"/>
      <c r="AQ3334"/>
      <c r="AR3334"/>
      <c r="AS3334"/>
      <c r="AT3334"/>
      <c r="AU3334"/>
      <c r="AV3334"/>
    </row>
    <row r="3335" spans="41:48" x14ac:dyDescent="0.35">
      <c r="AO3335"/>
      <c r="AP3335"/>
      <c r="AQ3335"/>
      <c r="AR3335"/>
      <c r="AS3335"/>
      <c r="AT3335"/>
      <c r="AU3335"/>
      <c r="AV3335"/>
    </row>
    <row r="3336" spans="41:48" x14ac:dyDescent="0.35">
      <c r="AO3336"/>
      <c r="AP3336"/>
      <c r="AQ3336"/>
      <c r="AR3336"/>
      <c r="AS3336"/>
      <c r="AT3336"/>
      <c r="AU3336"/>
      <c r="AV3336"/>
    </row>
    <row r="3337" spans="41:48" x14ac:dyDescent="0.35">
      <c r="AO3337"/>
      <c r="AP3337"/>
      <c r="AQ3337"/>
      <c r="AR3337"/>
      <c r="AS3337"/>
      <c r="AT3337"/>
      <c r="AU3337"/>
      <c r="AV3337"/>
    </row>
    <row r="3338" spans="41:48" x14ac:dyDescent="0.35">
      <c r="AO3338"/>
      <c r="AP3338"/>
      <c r="AQ3338"/>
      <c r="AR3338"/>
      <c r="AS3338"/>
      <c r="AT3338"/>
      <c r="AU3338"/>
      <c r="AV3338"/>
    </row>
    <row r="3339" spans="41:48" x14ac:dyDescent="0.35">
      <c r="AO3339"/>
      <c r="AP3339"/>
      <c r="AQ3339"/>
      <c r="AR3339"/>
      <c r="AS3339"/>
      <c r="AT3339"/>
      <c r="AU3339"/>
      <c r="AV3339"/>
    </row>
    <row r="3340" spans="41:48" x14ac:dyDescent="0.35">
      <c r="AO3340"/>
      <c r="AP3340"/>
      <c r="AQ3340"/>
      <c r="AR3340"/>
      <c r="AS3340"/>
      <c r="AT3340"/>
      <c r="AU3340"/>
      <c r="AV3340"/>
    </row>
    <row r="3341" spans="41:48" x14ac:dyDescent="0.35">
      <c r="AO3341"/>
      <c r="AP3341"/>
      <c r="AQ3341"/>
      <c r="AR3341"/>
      <c r="AS3341"/>
      <c r="AT3341"/>
      <c r="AU3341"/>
      <c r="AV3341"/>
    </row>
    <row r="3342" spans="41:48" x14ac:dyDescent="0.35">
      <c r="AO3342"/>
      <c r="AP3342"/>
      <c r="AQ3342"/>
      <c r="AR3342"/>
      <c r="AS3342"/>
      <c r="AT3342"/>
      <c r="AU3342"/>
      <c r="AV3342"/>
    </row>
    <row r="3343" spans="41:48" x14ac:dyDescent="0.35">
      <c r="AO3343"/>
      <c r="AP3343"/>
      <c r="AQ3343"/>
      <c r="AR3343"/>
      <c r="AS3343"/>
      <c r="AT3343"/>
      <c r="AU3343"/>
      <c r="AV3343"/>
    </row>
    <row r="3344" spans="41:48" x14ac:dyDescent="0.35">
      <c r="AO3344"/>
      <c r="AP3344"/>
      <c r="AQ3344"/>
      <c r="AR3344"/>
      <c r="AS3344"/>
      <c r="AT3344"/>
      <c r="AU3344"/>
      <c r="AV3344"/>
    </row>
    <row r="3345" spans="41:48" x14ac:dyDescent="0.35">
      <c r="AO3345"/>
      <c r="AP3345"/>
      <c r="AQ3345"/>
      <c r="AR3345"/>
      <c r="AS3345"/>
      <c r="AT3345"/>
      <c r="AU3345"/>
      <c r="AV3345"/>
    </row>
    <row r="3346" spans="41:48" x14ac:dyDescent="0.35">
      <c r="AO3346"/>
      <c r="AP3346"/>
      <c r="AQ3346"/>
      <c r="AR3346"/>
      <c r="AS3346"/>
      <c r="AT3346"/>
      <c r="AU3346"/>
      <c r="AV3346"/>
    </row>
    <row r="3347" spans="41:48" x14ac:dyDescent="0.35">
      <c r="AO3347"/>
      <c r="AP3347"/>
      <c r="AQ3347"/>
      <c r="AR3347"/>
      <c r="AS3347"/>
      <c r="AT3347"/>
      <c r="AU3347"/>
      <c r="AV3347"/>
    </row>
    <row r="3348" spans="41:48" x14ac:dyDescent="0.35">
      <c r="AO3348"/>
      <c r="AP3348"/>
      <c r="AQ3348"/>
      <c r="AR3348"/>
      <c r="AS3348"/>
      <c r="AT3348"/>
      <c r="AU3348"/>
      <c r="AV3348"/>
    </row>
    <row r="3349" spans="41:48" x14ac:dyDescent="0.35">
      <c r="AO3349"/>
      <c r="AP3349"/>
      <c r="AQ3349"/>
      <c r="AR3349"/>
      <c r="AS3349"/>
      <c r="AT3349"/>
      <c r="AU3349"/>
      <c r="AV3349"/>
    </row>
    <row r="3350" spans="41:48" x14ac:dyDescent="0.35">
      <c r="AO3350"/>
      <c r="AP3350"/>
      <c r="AQ3350"/>
      <c r="AR3350"/>
      <c r="AS3350"/>
      <c r="AT3350"/>
      <c r="AU3350"/>
      <c r="AV3350"/>
    </row>
    <row r="3351" spans="41:48" x14ac:dyDescent="0.35">
      <c r="AO3351"/>
      <c r="AP3351"/>
      <c r="AQ3351"/>
      <c r="AR3351"/>
      <c r="AS3351"/>
      <c r="AT3351"/>
      <c r="AU3351"/>
      <c r="AV3351"/>
    </row>
    <row r="3352" spans="41:48" x14ac:dyDescent="0.35">
      <c r="AO3352"/>
      <c r="AP3352"/>
      <c r="AQ3352"/>
      <c r="AR3352"/>
      <c r="AS3352"/>
      <c r="AT3352"/>
      <c r="AU3352"/>
      <c r="AV3352"/>
    </row>
    <row r="3353" spans="41:48" x14ac:dyDescent="0.35">
      <c r="AO3353"/>
      <c r="AP3353"/>
      <c r="AQ3353"/>
      <c r="AR3353"/>
      <c r="AS3353"/>
      <c r="AT3353"/>
      <c r="AU3353"/>
      <c r="AV3353"/>
    </row>
    <row r="3354" spans="41:48" x14ac:dyDescent="0.35">
      <c r="AO3354"/>
      <c r="AP3354"/>
      <c r="AQ3354"/>
      <c r="AR3354"/>
      <c r="AS3354"/>
      <c r="AT3354"/>
      <c r="AU3354"/>
      <c r="AV3354"/>
    </row>
    <row r="3355" spans="41:48" x14ac:dyDescent="0.35">
      <c r="AO3355"/>
      <c r="AP3355"/>
      <c r="AQ3355"/>
      <c r="AR3355"/>
      <c r="AS3355"/>
      <c r="AT3355"/>
      <c r="AU3355"/>
      <c r="AV3355"/>
    </row>
    <row r="3356" spans="41:48" x14ac:dyDescent="0.35">
      <c r="AO3356"/>
      <c r="AP3356"/>
      <c r="AQ3356"/>
      <c r="AR3356"/>
      <c r="AS3356"/>
      <c r="AT3356"/>
      <c r="AU3356"/>
      <c r="AV3356"/>
    </row>
    <row r="3357" spans="41:48" x14ac:dyDescent="0.35">
      <c r="AO3357"/>
      <c r="AP3357"/>
      <c r="AQ3357"/>
      <c r="AR3357"/>
      <c r="AS3357"/>
      <c r="AT3357"/>
      <c r="AU3357"/>
      <c r="AV3357"/>
    </row>
    <row r="3358" spans="41:48" x14ac:dyDescent="0.35">
      <c r="AO3358"/>
      <c r="AP3358"/>
      <c r="AQ3358"/>
      <c r="AR3358"/>
      <c r="AS3358"/>
      <c r="AT3358"/>
      <c r="AU3358"/>
      <c r="AV3358"/>
    </row>
    <row r="3359" spans="41:48" x14ac:dyDescent="0.35">
      <c r="AO3359"/>
      <c r="AP3359"/>
      <c r="AQ3359"/>
      <c r="AR3359"/>
      <c r="AS3359"/>
      <c r="AT3359"/>
      <c r="AU3359"/>
      <c r="AV3359"/>
    </row>
    <row r="3360" spans="41:48" x14ac:dyDescent="0.35">
      <c r="AO3360"/>
      <c r="AP3360"/>
      <c r="AQ3360"/>
      <c r="AR3360"/>
      <c r="AS3360"/>
      <c r="AT3360"/>
      <c r="AU3360"/>
      <c r="AV3360"/>
    </row>
    <row r="3361" spans="41:48" x14ac:dyDescent="0.35">
      <c r="AO3361"/>
      <c r="AP3361"/>
      <c r="AQ3361"/>
      <c r="AR3361"/>
      <c r="AS3361"/>
      <c r="AT3361"/>
      <c r="AU3361"/>
      <c r="AV3361"/>
    </row>
    <row r="3362" spans="41:48" x14ac:dyDescent="0.35">
      <c r="AO3362"/>
      <c r="AP3362"/>
      <c r="AQ3362"/>
      <c r="AR3362"/>
      <c r="AS3362"/>
      <c r="AT3362"/>
      <c r="AU3362"/>
      <c r="AV3362"/>
    </row>
    <row r="3363" spans="41:48" x14ac:dyDescent="0.35">
      <c r="AO3363"/>
      <c r="AP3363"/>
      <c r="AQ3363"/>
      <c r="AR3363"/>
      <c r="AS3363"/>
      <c r="AT3363"/>
      <c r="AU3363"/>
      <c r="AV3363"/>
    </row>
    <row r="3364" spans="41:48" x14ac:dyDescent="0.35">
      <c r="AO3364"/>
      <c r="AP3364"/>
      <c r="AQ3364"/>
      <c r="AR3364"/>
      <c r="AS3364"/>
      <c r="AT3364"/>
      <c r="AU3364"/>
      <c r="AV3364"/>
    </row>
    <row r="3365" spans="41:48" x14ac:dyDescent="0.35">
      <c r="AO3365"/>
      <c r="AP3365"/>
      <c r="AQ3365"/>
      <c r="AR3365"/>
      <c r="AS3365"/>
      <c r="AT3365"/>
      <c r="AU3365"/>
      <c r="AV3365"/>
    </row>
    <row r="3366" spans="41:48" x14ac:dyDescent="0.35">
      <c r="AO3366"/>
      <c r="AP3366"/>
      <c r="AQ3366"/>
      <c r="AR3366"/>
      <c r="AS3366"/>
      <c r="AT3366"/>
      <c r="AU3366"/>
      <c r="AV3366"/>
    </row>
    <row r="3367" spans="41:48" x14ac:dyDescent="0.35">
      <c r="AO3367"/>
      <c r="AP3367"/>
      <c r="AQ3367"/>
      <c r="AR3367"/>
      <c r="AS3367"/>
      <c r="AT3367"/>
      <c r="AU3367"/>
      <c r="AV3367"/>
    </row>
    <row r="3368" spans="41:48" x14ac:dyDescent="0.35">
      <c r="AO3368"/>
      <c r="AP3368"/>
      <c r="AQ3368"/>
      <c r="AR3368"/>
      <c r="AS3368"/>
      <c r="AT3368"/>
      <c r="AU3368"/>
      <c r="AV3368"/>
    </row>
    <row r="3369" spans="41:48" x14ac:dyDescent="0.35">
      <c r="AO3369"/>
      <c r="AP3369"/>
      <c r="AQ3369"/>
      <c r="AR3369"/>
      <c r="AS3369"/>
      <c r="AT3369"/>
      <c r="AU3369"/>
      <c r="AV3369"/>
    </row>
    <row r="3370" spans="41:48" x14ac:dyDescent="0.35">
      <c r="AO3370"/>
      <c r="AP3370"/>
      <c r="AQ3370"/>
      <c r="AR3370"/>
      <c r="AS3370"/>
      <c r="AT3370"/>
      <c r="AU3370"/>
      <c r="AV3370"/>
    </row>
    <row r="3371" spans="41:48" x14ac:dyDescent="0.35">
      <c r="AO3371"/>
      <c r="AP3371"/>
      <c r="AQ3371"/>
      <c r="AR3371"/>
      <c r="AS3371"/>
      <c r="AT3371"/>
      <c r="AU3371"/>
      <c r="AV3371"/>
    </row>
    <row r="3372" spans="41:48" x14ac:dyDescent="0.35">
      <c r="AO3372"/>
      <c r="AP3372"/>
      <c r="AQ3372"/>
      <c r="AR3372"/>
      <c r="AS3372"/>
      <c r="AT3372"/>
      <c r="AU3372"/>
      <c r="AV3372"/>
    </row>
    <row r="3373" spans="41:48" x14ac:dyDescent="0.35">
      <c r="AO3373"/>
      <c r="AP3373"/>
      <c r="AQ3373"/>
      <c r="AR3373"/>
      <c r="AS3373"/>
      <c r="AT3373"/>
      <c r="AU3373"/>
      <c r="AV3373"/>
    </row>
    <row r="3374" spans="41:48" x14ac:dyDescent="0.35">
      <c r="AO3374"/>
      <c r="AP3374"/>
      <c r="AQ3374"/>
      <c r="AR3374"/>
      <c r="AS3374"/>
      <c r="AT3374"/>
      <c r="AU3374"/>
      <c r="AV3374"/>
    </row>
    <row r="3375" spans="41:48" x14ac:dyDescent="0.35">
      <c r="AO3375"/>
      <c r="AP3375"/>
      <c r="AQ3375"/>
      <c r="AR3375"/>
      <c r="AS3375"/>
      <c r="AT3375"/>
      <c r="AU3375"/>
      <c r="AV3375"/>
    </row>
    <row r="3376" spans="41:48" x14ac:dyDescent="0.35">
      <c r="AO3376"/>
      <c r="AP3376"/>
      <c r="AQ3376"/>
      <c r="AR3376"/>
      <c r="AS3376"/>
      <c r="AT3376"/>
      <c r="AU3376"/>
      <c r="AV3376"/>
    </row>
    <row r="3377" spans="41:48" x14ac:dyDescent="0.35">
      <c r="AO3377"/>
      <c r="AP3377"/>
      <c r="AQ3377"/>
      <c r="AR3377"/>
      <c r="AS3377"/>
      <c r="AT3377"/>
      <c r="AU3377"/>
      <c r="AV3377"/>
    </row>
    <row r="3378" spans="41:48" x14ac:dyDescent="0.35">
      <c r="AO3378"/>
      <c r="AP3378"/>
      <c r="AQ3378"/>
      <c r="AR3378"/>
      <c r="AS3378"/>
      <c r="AT3378"/>
      <c r="AU3378"/>
      <c r="AV3378"/>
    </row>
    <row r="3379" spans="41:48" x14ac:dyDescent="0.35">
      <c r="AO3379"/>
      <c r="AP3379"/>
      <c r="AQ3379"/>
      <c r="AR3379"/>
      <c r="AS3379"/>
      <c r="AT3379"/>
      <c r="AU3379"/>
      <c r="AV3379"/>
    </row>
    <row r="3380" spans="41:48" x14ac:dyDescent="0.35">
      <c r="AO3380"/>
      <c r="AP3380"/>
      <c r="AQ3380"/>
      <c r="AR3380"/>
      <c r="AS3380"/>
      <c r="AT3380"/>
      <c r="AU3380"/>
      <c r="AV3380"/>
    </row>
    <row r="3381" spans="41:48" x14ac:dyDescent="0.35">
      <c r="AO3381"/>
      <c r="AP3381"/>
      <c r="AQ3381"/>
      <c r="AR3381"/>
      <c r="AS3381"/>
      <c r="AT3381"/>
      <c r="AU3381"/>
      <c r="AV3381"/>
    </row>
    <row r="3382" spans="41:48" x14ac:dyDescent="0.35">
      <c r="AO3382"/>
      <c r="AP3382"/>
      <c r="AQ3382"/>
      <c r="AR3382"/>
      <c r="AS3382"/>
      <c r="AT3382"/>
      <c r="AU3382"/>
      <c r="AV3382"/>
    </row>
    <row r="3383" spans="41:48" x14ac:dyDescent="0.35">
      <c r="AO3383"/>
      <c r="AP3383"/>
      <c r="AQ3383"/>
      <c r="AR3383"/>
      <c r="AS3383"/>
      <c r="AT3383"/>
      <c r="AU3383"/>
      <c r="AV3383"/>
    </row>
    <row r="3384" spans="41:48" x14ac:dyDescent="0.35">
      <c r="AO3384"/>
      <c r="AP3384"/>
      <c r="AQ3384"/>
      <c r="AR3384"/>
      <c r="AS3384"/>
      <c r="AT3384"/>
      <c r="AU3384"/>
      <c r="AV3384"/>
    </row>
    <row r="3385" spans="41:48" x14ac:dyDescent="0.35">
      <c r="AO3385"/>
      <c r="AP3385"/>
      <c r="AQ3385"/>
      <c r="AR3385"/>
      <c r="AS3385"/>
      <c r="AT3385"/>
      <c r="AU3385"/>
      <c r="AV3385"/>
    </row>
    <row r="3386" spans="41:48" x14ac:dyDescent="0.35">
      <c r="AO3386"/>
      <c r="AP3386"/>
      <c r="AQ3386"/>
      <c r="AR3386"/>
      <c r="AS3386"/>
      <c r="AT3386"/>
      <c r="AU3386"/>
      <c r="AV3386"/>
    </row>
    <row r="3387" spans="41:48" x14ac:dyDescent="0.35">
      <c r="AO3387"/>
      <c r="AP3387"/>
      <c r="AQ3387"/>
      <c r="AR3387"/>
      <c r="AS3387"/>
      <c r="AT3387"/>
      <c r="AU3387"/>
      <c r="AV3387"/>
    </row>
    <row r="3388" spans="41:48" x14ac:dyDescent="0.35">
      <c r="AO3388"/>
      <c r="AP3388"/>
      <c r="AQ3388"/>
      <c r="AR3388"/>
      <c r="AS3388"/>
      <c r="AT3388"/>
      <c r="AU3388"/>
      <c r="AV3388"/>
    </row>
    <row r="3389" spans="41:48" x14ac:dyDescent="0.35">
      <c r="AO3389"/>
      <c r="AP3389"/>
      <c r="AQ3389"/>
      <c r="AR3389"/>
      <c r="AS3389"/>
      <c r="AT3389"/>
      <c r="AU3389"/>
      <c r="AV3389"/>
    </row>
    <row r="3390" spans="41:48" x14ac:dyDescent="0.35">
      <c r="AO3390"/>
      <c r="AP3390"/>
      <c r="AQ3390"/>
      <c r="AR3390"/>
      <c r="AS3390"/>
      <c r="AT3390"/>
      <c r="AU3390"/>
      <c r="AV3390"/>
    </row>
    <row r="3391" spans="41:48" x14ac:dyDescent="0.35">
      <c r="AO3391"/>
      <c r="AP3391"/>
      <c r="AQ3391"/>
      <c r="AR3391"/>
      <c r="AS3391"/>
      <c r="AT3391"/>
      <c r="AU3391"/>
      <c r="AV3391"/>
    </row>
    <row r="3392" spans="41:48" x14ac:dyDescent="0.35">
      <c r="AO3392"/>
      <c r="AP3392"/>
      <c r="AQ3392"/>
      <c r="AR3392"/>
      <c r="AS3392"/>
      <c r="AT3392"/>
      <c r="AU3392"/>
      <c r="AV3392"/>
    </row>
    <row r="3393" spans="41:48" x14ac:dyDescent="0.35">
      <c r="AO3393"/>
      <c r="AP3393"/>
      <c r="AQ3393"/>
      <c r="AR3393"/>
      <c r="AS3393"/>
      <c r="AT3393"/>
      <c r="AU3393"/>
      <c r="AV3393"/>
    </row>
    <row r="3394" spans="41:48" x14ac:dyDescent="0.35">
      <c r="AO3394"/>
      <c r="AP3394"/>
      <c r="AQ3394"/>
      <c r="AR3394"/>
      <c r="AS3394"/>
      <c r="AT3394"/>
      <c r="AU3394"/>
      <c r="AV3394"/>
    </row>
    <row r="3395" spans="41:48" x14ac:dyDescent="0.35">
      <c r="AO3395"/>
      <c r="AP3395"/>
      <c r="AQ3395"/>
      <c r="AR3395"/>
      <c r="AS3395"/>
      <c r="AT3395"/>
      <c r="AU3395"/>
      <c r="AV3395"/>
    </row>
    <row r="3396" spans="41:48" x14ac:dyDescent="0.35">
      <c r="AO3396"/>
      <c r="AP3396"/>
      <c r="AQ3396"/>
      <c r="AR3396"/>
      <c r="AS3396"/>
      <c r="AT3396"/>
      <c r="AU3396"/>
      <c r="AV3396"/>
    </row>
    <row r="3397" spans="41:48" x14ac:dyDescent="0.35">
      <c r="AO3397"/>
      <c r="AP3397"/>
      <c r="AQ3397"/>
      <c r="AR3397"/>
      <c r="AS3397"/>
      <c r="AT3397"/>
      <c r="AU3397"/>
      <c r="AV3397"/>
    </row>
    <row r="3398" spans="41:48" x14ac:dyDescent="0.35">
      <c r="AO3398"/>
      <c r="AP3398"/>
      <c r="AQ3398"/>
      <c r="AR3398"/>
      <c r="AS3398"/>
      <c r="AT3398"/>
      <c r="AU3398"/>
      <c r="AV3398"/>
    </row>
    <row r="3399" spans="41:48" x14ac:dyDescent="0.35">
      <c r="AO3399"/>
      <c r="AP3399"/>
      <c r="AQ3399"/>
      <c r="AR3399"/>
      <c r="AS3399"/>
      <c r="AT3399"/>
      <c r="AU3399"/>
      <c r="AV3399"/>
    </row>
    <row r="3400" spans="41:48" x14ac:dyDescent="0.35">
      <c r="AO3400"/>
      <c r="AP3400"/>
      <c r="AQ3400"/>
      <c r="AR3400"/>
      <c r="AS3400"/>
      <c r="AT3400"/>
      <c r="AU3400"/>
      <c r="AV3400"/>
    </row>
    <row r="3401" spans="41:48" x14ac:dyDescent="0.35">
      <c r="AO3401"/>
      <c r="AP3401"/>
      <c r="AQ3401"/>
      <c r="AR3401"/>
      <c r="AS3401"/>
      <c r="AT3401"/>
      <c r="AU3401"/>
      <c r="AV3401"/>
    </row>
    <row r="3402" spans="41:48" x14ac:dyDescent="0.35">
      <c r="AO3402"/>
      <c r="AP3402"/>
      <c r="AQ3402"/>
      <c r="AR3402"/>
      <c r="AS3402"/>
      <c r="AT3402"/>
      <c r="AU3402"/>
      <c r="AV3402"/>
    </row>
    <row r="3403" spans="41:48" x14ac:dyDescent="0.35">
      <c r="AO3403"/>
      <c r="AP3403"/>
      <c r="AQ3403"/>
      <c r="AR3403"/>
      <c r="AS3403"/>
      <c r="AT3403"/>
      <c r="AU3403"/>
      <c r="AV3403"/>
    </row>
    <row r="3404" spans="41:48" x14ac:dyDescent="0.35">
      <c r="AO3404"/>
      <c r="AP3404"/>
      <c r="AQ3404"/>
      <c r="AR3404"/>
      <c r="AS3404"/>
      <c r="AT3404"/>
      <c r="AU3404"/>
      <c r="AV3404"/>
    </row>
    <row r="3405" spans="41:48" x14ac:dyDescent="0.35">
      <c r="AO3405"/>
      <c r="AP3405"/>
      <c r="AQ3405"/>
      <c r="AR3405"/>
      <c r="AS3405"/>
      <c r="AT3405"/>
      <c r="AU3405"/>
      <c r="AV3405"/>
    </row>
    <row r="3406" spans="41:48" x14ac:dyDescent="0.35">
      <c r="AO3406"/>
      <c r="AP3406"/>
      <c r="AQ3406"/>
      <c r="AR3406"/>
      <c r="AS3406"/>
      <c r="AT3406"/>
      <c r="AU3406"/>
      <c r="AV3406"/>
    </row>
    <row r="3407" spans="41:48" x14ac:dyDescent="0.35">
      <c r="AO3407"/>
      <c r="AP3407"/>
      <c r="AQ3407"/>
      <c r="AR3407"/>
      <c r="AS3407"/>
      <c r="AT3407"/>
      <c r="AU3407"/>
      <c r="AV3407"/>
    </row>
    <row r="3408" spans="41:48" x14ac:dyDescent="0.35">
      <c r="AO3408"/>
      <c r="AP3408"/>
      <c r="AQ3408"/>
      <c r="AR3408"/>
      <c r="AS3408"/>
      <c r="AT3408"/>
      <c r="AU3408"/>
      <c r="AV3408"/>
    </row>
    <row r="3409" spans="41:48" x14ac:dyDescent="0.35">
      <c r="AO3409"/>
      <c r="AP3409"/>
      <c r="AQ3409"/>
      <c r="AR3409"/>
      <c r="AS3409"/>
      <c r="AT3409"/>
      <c r="AU3409"/>
      <c r="AV3409"/>
    </row>
    <row r="3410" spans="41:48" x14ac:dyDescent="0.35">
      <c r="AO3410"/>
      <c r="AP3410"/>
      <c r="AQ3410"/>
      <c r="AR3410"/>
      <c r="AS3410"/>
      <c r="AT3410"/>
      <c r="AU3410"/>
      <c r="AV3410"/>
    </row>
    <row r="3411" spans="41:48" x14ac:dyDescent="0.35">
      <c r="AO3411"/>
      <c r="AP3411"/>
      <c r="AQ3411"/>
      <c r="AR3411"/>
      <c r="AS3411"/>
      <c r="AT3411"/>
      <c r="AU3411"/>
      <c r="AV3411"/>
    </row>
    <row r="3412" spans="41:48" x14ac:dyDescent="0.35">
      <c r="AO3412"/>
      <c r="AP3412"/>
      <c r="AQ3412"/>
      <c r="AR3412"/>
      <c r="AS3412"/>
      <c r="AT3412"/>
      <c r="AU3412"/>
      <c r="AV3412"/>
    </row>
    <row r="3413" spans="41:48" x14ac:dyDescent="0.35">
      <c r="AO3413"/>
      <c r="AP3413"/>
      <c r="AQ3413"/>
      <c r="AR3413"/>
      <c r="AS3413"/>
      <c r="AT3413"/>
      <c r="AU3413"/>
      <c r="AV3413"/>
    </row>
    <row r="3414" spans="41:48" x14ac:dyDescent="0.35">
      <c r="AO3414"/>
      <c r="AP3414"/>
      <c r="AQ3414"/>
      <c r="AR3414"/>
      <c r="AS3414"/>
      <c r="AT3414"/>
      <c r="AU3414"/>
      <c r="AV3414"/>
    </row>
    <row r="3415" spans="41:48" x14ac:dyDescent="0.35">
      <c r="AO3415"/>
      <c r="AP3415"/>
      <c r="AQ3415"/>
      <c r="AR3415"/>
      <c r="AS3415"/>
      <c r="AT3415"/>
      <c r="AU3415"/>
      <c r="AV3415"/>
    </row>
    <row r="3416" spans="41:48" x14ac:dyDescent="0.35">
      <c r="AO3416"/>
      <c r="AP3416"/>
      <c r="AQ3416"/>
      <c r="AR3416"/>
      <c r="AS3416"/>
      <c r="AT3416"/>
      <c r="AU3416"/>
      <c r="AV3416"/>
    </row>
    <row r="3417" spans="41:48" x14ac:dyDescent="0.35">
      <c r="AO3417"/>
      <c r="AP3417"/>
      <c r="AQ3417"/>
      <c r="AR3417"/>
      <c r="AS3417"/>
      <c r="AT3417"/>
      <c r="AU3417"/>
      <c r="AV3417"/>
    </row>
    <row r="3418" spans="41:48" x14ac:dyDescent="0.35">
      <c r="AO3418"/>
      <c r="AP3418"/>
      <c r="AQ3418"/>
      <c r="AR3418"/>
      <c r="AS3418"/>
      <c r="AT3418"/>
      <c r="AU3418"/>
      <c r="AV3418"/>
    </row>
    <row r="3419" spans="41:48" x14ac:dyDescent="0.35">
      <c r="AO3419"/>
      <c r="AP3419"/>
      <c r="AQ3419"/>
      <c r="AR3419"/>
      <c r="AS3419"/>
      <c r="AT3419"/>
      <c r="AU3419"/>
      <c r="AV3419"/>
    </row>
    <row r="3420" spans="41:48" x14ac:dyDescent="0.35">
      <c r="AO3420"/>
      <c r="AP3420"/>
      <c r="AQ3420"/>
      <c r="AR3420"/>
      <c r="AS3420"/>
      <c r="AT3420"/>
      <c r="AU3420"/>
      <c r="AV3420"/>
    </row>
    <row r="3421" spans="41:48" x14ac:dyDescent="0.35">
      <c r="AO3421"/>
      <c r="AP3421"/>
      <c r="AQ3421"/>
      <c r="AR3421"/>
      <c r="AS3421"/>
      <c r="AT3421"/>
      <c r="AU3421"/>
      <c r="AV3421"/>
    </row>
    <row r="3422" spans="41:48" x14ac:dyDescent="0.35">
      <c r="AO3422"/>
      <c r="AP3422"/>
      <c r="AQ3422"/>
      <c r="AR3422"/>
      <c r="AS3422"/>
      <c r="AT3422"/>
      <c r="AU3422"/>
      <c r="AV3422"/>
    </row>
    <row r="3423" spans="41:48" x14ac:dyDescent="0.35">
      <c r="AO3423"/>
      <c r="AP3423"/>
      <c r="AQ3423"/>
      <c r="AR3423"/>
      <c r="AS3423"/>
      <c r="AT3423"/>
      <c r="AU3423"/>
      <c r="AV3423"/>
    </row>
    <row r="3424" spans="41:48" x14ac:dyDescent="0.35">
      <c r="AO3424"/>
      <c r="AP3424"/>
      <c r="AQ3424"/>
      <c r="AR3424"/>
      <c r="AS3424"/>
      <c r="AT3424"/>
      <c r="AU3424"/>
      <c r="AV3424"/>
    </row>
    <row r="3425" spans="41:48" x14ac:dyDescent="0.35">
      <c r="AO3425"/>
      <c r="AP3425"/>
      <c r="AQ3425"/>
      <c r="AR3425"/>
      <c r="AS3425"/>
      <c r="AT3425"/>
      <c r="AU3425"/>
      <c r="AV3425"/>
    </row>
    <row r="3426" spans="41:48" x14ac:dyDescent="0.35">
      <c r="AO3426"/>
      <c r="AP3426"/>
      <c r="AQ3426"/>
      <c r="AR3426"/>
      <c r="AS3426"/>
      <c r="AT3426"/>
      <c r="AU3426"/>
      <c r="AV3426"/>
    </row>
    <row r="3427" spans="41:48" x14ac:dyDescent="0.35">
      <c r="AO3427"/>
      <c r="AP3427"/>
      <c r="AQ3427"/>
      <c r="AR3427"/>
      <c r="AS3427"/>
      <c r="AT3427"/>
      <c r="AU3427"/>
      <c r="AV3427"/>
    </row>
    <row r="3428" spans="41:48" x14ac:dyDescent="0.35">
      <c r="AO3428"/>
      <c r="AP3428"/>
      <c r="AQ3428"/>
      <c r="AR3428"/>
      <c r="AS3428"/>
      <c r="AT3428"/>
      <c r="AU3428"/>
      <c r="AV3428"/>
    </row>
    <row r="3429" spans="41:48" x14ac:dyDescent="0.35">
      <c r="AO3429"/>
      <c r="AP3429"/>
      <c r="AQ3429"/>
      <c r="AR3429"/>
      <c r="AS3429"/>
      <c r="AT3429"/>
      <c r="AU3429"/>
      <c r="AV3429"/>
    </row>
    <row r="3430" spans="41:48" x14ac:dyDescent="0.35">
      <c r="AO3430"/>
      <c r="AP3430"/>
      <c r="AQ3430"/>
      <c r="AR3430"/>
      <c r="AS3430"/>
      <c r="AT3430"/>
      <c r="AU3430"/>
      <c r="AV3430"/>
    </row>
    <row r="3431" spans="41:48" x14ac:dyDescent="0.35">
      <c r="AO3431"/>
      <c r="AP3431"/>
      <c r="AQ3431"/>
      <c r="AR3431"/>
      <c r="AS3431"/>
      <c r="AT3431"/>
      <c r="AU3431"/>
      <c r="AV3431"/>
    </row>
    <row r="3432" spans="41:48" x14ac:dyDescent="0.35">
      <c r="AO3432"/>
      <c r="AP3432"/>
      <c r="AQ3432"/>
      <c r="AR3432"/>
      <c r="AS3432"/>
      <c r="AT3432"/>
      <c r="AU3432"/>
      <c r="AV3432"/>
    </row>
    <row r="3433" spans="41:48" x14ac:dyDescent="0.35">
      <c r="AO3433"/>
      <c r="AP3433"/>
      <c r="AQ3433"/>
      <c r="AR3433"/>
      <c r="AS3433"/>
      <c r="AT3433"/>
      <c r="AU3433"/>
      <c r="AV3433"/>
    </row>
    <row r="3434" spans="41:48" x14ac:dyDescent="0.35">
      <c r="AO3434"/>
      <c r="AP3434"/>
      <c r="AQ3434"/>
      <c r="AR3434"/>
      <c r="AS3434"/>
      <c r="AT3434"/>
      <c r="AU3434"/>
      <c r="AV3434"/>
    </row>
    <row r="3435" spans="41:48" x14ac:dyDescent="0.35">
      <c r="AO3435"/>
      <c r="AP3435"/>
      <c r="AQ3435"/>
      <c r="AR3435"/>
      <c r="AS3435"/>
      <c r="AT3435"/>
      <c r="AU3435"/>
      <c r="AV3435"/>
    </row>
    <row r="3436" spans="41:48" x14ac:dyDescent="0.35">
      <c r="AO3436"/>
      <c r="AP3436"/>
      <c r="AQ3436"/>
      <c r="AR3436"/>
      <c r="AS3436"/>
      <c r="AT3436"/>
      <c r="AU3436"/>
      <c r="AV3436"/>
    </row>
    <row r="3437" spans="41:48" x14ac:dyDescent="0.35">
      <c r="AO3437"/>
      <c r="AP3437"/>
      <c r="AQ3437"/>
      <c r="AR3437"/>
      <c r="AS3437"/>
      <c r="AT3437"/>
      <c r="AU3437"/>
      <c r="AV3437"/>
    </row>
    <row r="3438" spans="41:48" x14ac:dyDescent="0.35">
      <c r="AO3438"/>
      <c r="AP3438"/>
      <c r="AQ3438"/>
      <c r="AR3438"/>
      <c r="AS3438"/>
      <c r="AT3438"/>
      <c r="AU3438"/>
      <c r="AV3438"/>
    </row>
    <row r="3439" spans="41:48" x14ac:dyDescent="0.35">
      <c r="AO3439"/>
      <c r="AP3439"/>
      <c r="AQ3439"/>
      <c r="AR3439"/>
      <c r="AS3439"/>
      <c r="AT3439"/>
      <c r="AU3439"/>
      <c r="AV3439"/>
    </row>
    <row r="3440" spans="41:48" x14ac:dyDescent="0.35">
      <c r="AO3440"/>
      <c r="AP3440"/>
      <c r="AQ3440"/>
      <c r="AR3440"/>
      <c r="AS3440"/>
      <c r="AT3440"/>
      <c r="AU3440"/>
      <c r="AV3440"/>
    </row>
    <row r="3441" spans="41:48" x14ac:dyDescent="0.35">
      <c r="AO3441"/>
      <c r="AP3441"/>
      <c r="AQ3441"/>
      <c r="AR3441"/>
      <c r="AS3441"/>
      <c r="AT3441"/>
      <c r="AU3441"/>
      <c r="AV3441"/>
    </row>
    <row r="3442" spans="41:48" x14ac:dyDescent="0.35">
      <c r="AO3442"/>
      <c r="AP3442"/>
      <c r="AQ3442"/>
      <c r="AR3442"/>
      <c r="AS3442"/>
      <c r="AT3442"/>
      <c r="AU3442"/>
      <c r="AV3442"/>
    </row>
    <row r="3443" spans="41:48" x14ac:dyDescent="0.35">
      <c r="AO3443"/>
      <c r="AP3443"/>
      <c r="AQ3443"/>
      <c r="AR3443"/>
      <c r="AS3443"/>
      <c r="AT3443"/>
      <c r="AU3443"/>
      <c r="AV3443"/>
    </row>
    <row r="3444" spans="41:48" x14ac:dyDescent="0.35">
      <c r="AO3444"/>
      <c r="AP3444"/>
      <c r="AQ3444"/>
      <c r="AR3444"/>
      <c r="AS3444"/>
      <c r="AT3444"/>
      <c r="AU3444"/>
      <c r="AV3444"/>
    </row>
    <row r="3445" spans="41:48" x14ac:dyDescent="0.35">
      <c r="AO3445"/>
      <c r="AP3445"/>
      <c r="AQ3445"/>
      <c r="AR3445"/>
      <c r="AS3445"/>
      <c r="AT3445"/>
      <c r="AU3445"/>
      <c r="AV3445"/>
    </row>
    <row r="3446" spans="41:48" x14ac:dyDescent="0.35">
      <c r="AO3446"/>
      <c r="AP3446"/>
      <c r="AQ3446"/>
      <c r="AR3446"/>
      <c r="AS3446"/>
      <c r="AT3446"/>
      <c r="AU3446"/>
      <c r="AV3446"/>
    </row>
    <row r="3447" spans="41:48" x14ac:dyDescent="0.35">
      <c r="AO3447"/>
      <c r="AP3447"/>
      <c r="AQ3447"/>
      <c r="AR3447"/>
      <c r="AS3447"/>
      <c r="AT3447"/>
      <c r="AU3447"/>
      <c r="AV3447"/>
    </row>
    <row r="3448" spans="41:48" x14ac:dyDescent="0.35">
      <c r="AO3448"/>
      <c r="AP3448"/>
      <c r="AQ3448"/>
      <c r="AR3448"/>
      <c r="AS3448"/>
      <c r="AT3448"/>
      <c r="AU3448"/>
      <c r="AV3448"/>
    </row>
    <row r="3449" spans="41:48" x14ac:dyDescent="0.35">
      <c r="AO3449"/>
      <c r="AP3449"/>
      <c r="AQ3449"/>
      <c r="AR3449"/>
      <c r="AS3449"/>
      <c r="AT3449"/>
      <c r="AU3449"/>
      <c r="AV3449"/>
    </row>
    <row r="3450" spans="41:48" x14ac:dyDescent="0.35">
      <c r="AO3450"/>
      <c r="AP3450"/>
      <c r="AQ3450"/>
      <c r="AR3450"/>
      <c r="AS3450"/>
      <c r="AT3450"/>
      <c r="AU3450"/>
      <c r="AV3450"/>
    </row>
    <row r="3451" spans="41:48" x14ac:dyDescent="0.35">
      <c r="AO3451"/>
      <c r="AP3451"/>
      <c r="AQ3451"/>
      <c r="AR3451"/>
      <c r="AS3451"/>
      <c r="AT3451"/>
      <c r="AU3451"/>
      <c r="AV3451"/>
    </row>
    <row r="3452" spans="41:48" x14ac:dyDescent="0.35">
      <c r="AO3452"/>
      <c r="AP3452"/>
      <c r="AQ3452"/>
      <c r="AR3452"/>
      <c r="AS3452"/>
      <c r="AT3452"/>
      <c r="AU3452"/>
      <c r="AV3452"/>
    </row>
    <row r="3453" spans="41:48" x14ac:dyDescent="0.35">
      <c r="AO3453"/>
      <c r="AP3453"/>
      <c r="AQ3453"/>
      <c r="AR3453"/>
      <c r="AS3453"/>
      <c r="AT3453"/>
      <c r="AU3453"/>
      <c r="AV3453"/>
    </row>
    <row r="3454" spans="41:48" x14ac:dyDescent="0.35">
      <c r="AO3454"/>
      <c r="AP3454"/>
      <c r="AQ3454"/>
      <c r="AR3454"/>
      <c r="AS3454"/>
      <c r="AT3454"/>
      <c r="AU3454"/>
      <c r="AV3454"/>
    </row>
    <row r="3455" spans="41:48" x14ac:dyDescent="0.35">
      <c r="AO3455"/>
      <c r="AP3455"/>
      <c r="AQ3455"/>
      <c r="AR3455"/>
      <c r="AS3455"/>
      <c r="AT3455"/>
      <c r="AU3455"/>
      <c r="AV3455"/>
    </row>
    <row r="3456" spans="41:48" x14ac:dyDescent="0.35">
      <c r="AO3456"/>
      <c r="AP3456"/>
      <c r="AQ3456"/>
      <c r="AR3456"/>
      <c r="AS3456"/>
      <c r="AT3456"/>
      <c r="AU3456"/>
      <c r="AV3456"/>
    </row>
    <row r="3457" spans="41:48" x14ac:dyDescent="0.35">
      <c r="AO3457"/>
      <c r="AP3457"/>
      <c r="AQ3457"/>
      <c r="AR3457"/>
      <c r="AS3457"/>
      <c r="AT3457"/>
      <c r="AU3457"/>
      <c r="AV3457"/>
    </row>
    <row r="3458" spans="41:48" x14ac:dyDescent="0.35">
      <c r="AO3458"/>
      <c r="AP3458"/>
      <c r="AQ3458"/>
      <c r="AR3458"/>
      <c r="AS3458"/>
      <c r="AT3458"/>
      <c r="AU3458"/>
      <c r="AV3458"/>
    </row>
    <row r="3459" spans="41:48" x14ac:dyDescent="0.35">
      <c r="AO3459"/>
      <c r="AP3459"/>
      <c r="AQ3459"/>
      <c r="AR3459"/>
      <c r="AS3459"/>
      <c r="AT3459"/>
      <c r="AU3459"/>
      <c r="AV3459"/>
    </row>
    <row r="3460" spans="41:48" x14ac:dyDescent="0.35">
      <c r="AO3460"/>
      <c r="AP3460"/>
      <c r="AQ3460"/>
      <c r="AR3460"/>
      <c r="AS3460"/>
      <c r="AT3460"/>
      <c r="AU3460"/>
      <c r="AV3460"/>
    </row>
    <row r="3461" spans="41:48" x14ac:dyDescent="0.35">
      <c r="AO3461"/>
      <c r="AP3461"/>
      <c r="AQ3461"/>
      <c r="AR3461"/>
      <c r="AS3461"/>
      <c r="AT3461"/>
      <c r="AU3461"/>
      <c r="AV3461"/>
    </row>
    <row r="3462" spans="41:48" x14ac:dyDescent="0.35">
      <c r="AO3462"/>
      <c r="AP3462"/>
      <c r="AQ3462"/>
      <c r="AR3462"/>
      <c r="AS3462"/>
      <c r="AT3462"/>
      <c r="AU3462"/>
      <c r="AV3462"/>
    </row>
    <row r="3463" spans="41:48" x14ac:dyDescent="0.35">
      <c r="AO3463"/>
      <c r="AP3463"/>
      <c r="AQ3463"/>
      <c r="AR3463"/>
      <c r="AS3463"/>
      <c r="AT3463"/>
      <c r="AU3463"/>
      <c r="AV3463"/>
    </row>
    <row r="3464" spans="41:48" x14ac:dyDescent="0.35">
      <c r="AO3464"/>
      <c r="AP3464"/>
      <c r="AQ3464"/>
      <c r="AR3464"/>
      <c r="AS3464"/>
      <c r="AT3464"/>
      <c r="AU3464"/>
      <c r="AV3464"/>
    </row>
    <row r="3465" spans="41:48" x14ac:dyDescent="0.35">
      <c r="AO3465"/>
      <c r="AP3465"/>
      <c r="AQ3465"/>
      <c r="AR3465"/>
      <c r="AS3465"/>
      <c r="AT3465"/>
      <c r="AU3465"/>
      <c r="AV3465"/>
    </row>
    <row r="3466" spans="41:48" x14ac:dyDescent="0.35">
      <c r="AO3466"/>
      <c r="AP3466"/>
      <c r="AQ3466"/>
      <c r="AR3466"/>
      <c r="AS3466"/>
      <c r="AT3466"/>
      <c r="AU3466"/>
      <c r="AV3466"/>
    </row>
    <row r="3467" spans="41:48" x14ac:dyDescent="0.35">
      <c r="AO3467"/>
      <c r="AP3467"/>
      <c r="AQ3467"/>
      <c r="AR3467"/>
      <c r="AS3467"/>
      <c r="AT3467"/>
      <c r="AU3467"/>
      <c r="AV3467"/>
    </row>
    <row r="3468" spans="41:48" x14ac:dyDescent="0.35">
      <c r="AO3468"/>
      <c r="AP3468"/>
      <c r="AQ3468"/>
      <c r="AR3468"/>
      <c r="AS3468"/>
      <c r="AT3468"/>
      <c r="AU3468"/>
      <c r="AV3468"/>
    </row>
    <row r="3469" spans="41:48" x14ac:dyDescent="0.35">
      <c r="AO3469"/>
      <c r="AP3469"/>
      <c r="AQ3469"/>
      <c r="AR3469"/>
      <c r="AS3469"/>
      <c r="AT3469"/>
      <c r="AU3469"/>
      <c r="AV3469"/>
    </row>
    <row r="3470" spans="41:48" x14ac:dyDescent="0.35">
      <c r="AO3470"/>
      <c r="AP3470"/>
      <c r="AQ3470"/>
      <c r="AR3470"/>
      <c r="AS3470"/>
      <c r="AT3470"/>
      <c r="AU3470"/>
      <c r="AV3470"/>
    </row>
    <row r="3471" spans="41:48" x14ac:dyDescent="0.35">
      <c r="AO3471"/>
      <c r="AP3471"/>
      <c r="AQ3471"/>
      <c r="AR3471"/>
      <c r="AS3471"/>
      <c r="AT3471"/>
      <c r="AU3471"/>
      <c r="AV3471"/>
    </row>
    <row r="3472" spans="41:48" x14ac:dyDescent="0.35">
      <c r="AO3472"/>
      <c r="AP3472"/>
      <c r="AQ3472"/>
      <c r="AR3472"/>
      <c r="AS3472"/>
      <c r="AT3472"/>
      <c r="AU3472"/>
      <c r="AV3472"/>
    </row>
    <row r="3473" spans="41:48" x14ac:dyDescent="0.35">
      <c r="AO3473"/>
      <c r="AP3473"/>
      <c r="AQ3473"/>
      <c r="AR3473"/>
      <c r="AS3473"/>
      <c r="AT3473"/>
      <c r="AU3473"/>
      <c r="AV3473"/>
    </row>
    <row r="3474" spans="41:48" x14ac:dyDescent="0.35">
      <c r="AO3474"/>
      <c r="AP3474"/>
      <c r="AQ3474"/>
      <c r="AR3474"/>
      <c r="AS3474"/>
      <c r="AT3474"/>
      <c r="AU3474"/>
      <c r="AV3474"/>
    </row>
    <row r="3475" spans="41:48" x14ac:dyDescent="0.35">
      <c r="AO3475"/>
      <c r="AP3475"/>
      <c r="AQ3475"/>
      <c r="AR3475"/>
      <c r="AS3475"/>
      <c r="AT3475"/>
      <c r="AU3475"/>
      <c r="AV3475"/>
    </row>
    <row r="3476" spans="41:48" x14ac:dyDescent="0.35">
      <c r="AO3476"/>
      <c r="AP3476"/>
      <c r="AQ3476"/>
      <c r="AR3476"/>
      <c r="AS3476"/>
      <c r="AT3476"/>
      <c r="AU3476"/>
      <c r="AV3476"/>
    </row>
    <row r="3477" spans="41:48" x14ac:dyDescent="0.35">
      <c r="AO3477"/>
      <c r="AP3477"/>
      <c r="AQ3477"/>
      <c r="AR3477"/>
      <c r="AS3477"/>
      <c r="AT3477"/>
      <c r="AU3477"/>
      <c r="AV3477"/>
    </row>
    <row r="3478" spans="41:48" x14ac:dyDescent="0.35">
      <c r="AO3478"/>
      <c r="AP3478"/>
      <c r="AQ3478"/>
      <c r="AR3478"/>
      <c r="AS3478"/>
      <c r="AT3478"/>
      <c r="AU3478"/>
      <c r="AV3478"/>
    </row>
    <row r="3479" spans="41:48" x14ac:dyDescent="0.35">
      <c r="AO3479"/>
      <c r="AP3479"/>
      <c r="AQ3479"/>
      <c r="AR3479"/>
      <c r="AS3479"/>
      <c r="AT3479"/>
      <c r="AU3479"/>
      <c r="AV3479"/>
    </row>
    <row r="3480" spans="41:48" x14ac:dyDescent="0.35">
      <c r="AO3480"/>
      <c r="AP3480"/>
      <c r="AQ3480"/>
      <c r="AR3480"/>
      <c r="AS3480"/>
      <c r="AT3480"/>
      <c r="AU3480"/>
      <c r="AV3480"/>
    </row>
    <row r="3481" spans="41:48" x14ac:dyDescent="0.35">
      <c r="AO3481"/>
      <c r="AP3481"/>
      <c r="AQ3481"/>
      <c r="AR3481"/>
      <c r="AS3481"/>
      <c r="AT3481"/>
      <c r="AU3481"/>
      <c r="AV3481"/>
    </row>
    <row r="3482" spans="41:48" x14ac:dyDescent="0.35">
      <c r="AO3482"/>
      <c r="AP3482"/>
      <c r="AQ3482"/>
      <c r="AR3482"/>
      <c r="AS3482"/>
      <c r="AT3482"/>
      <c r="AU3482"/>
      <c r="AV3482"/>
    </row>
    <row r="3483" spans="41:48" x14ac:dyDescent="0.35">
      <c r="AO3483"/>
      <c r="AP3483"/>
      <c r="AQ3483"/>
      <c r="AR3483"/>
      <c r="AS3483"/>
      <c r="AT3483"/>
      <c r="AU3483"/>
      <c r="AV3483"/>
    </row>
    <row r="3484" spans="41:48" x14ac:dyDescent="0.35">
      <c r="AO3484"/>
      <c r="AP3484"/>
      <c r="AQ3484"/>
      <c r="AR3484"/>
      <c r="AS3484"/>
      <c r="AT3484"/>
      <c r="AU3484"/>
      <c r="AV3484"/>
    </row>
    <row r="3485" spans="41:48" x14ac:dyDescent="0.35">
      <c r="AO3485"/>
      <c r="AP3485"/>
      <c r="AQ3485"/>
      <c r="AR3485"/>
      <c r="AS3485"/>
      <c r="AT3485"/>
      <c r="AU3485"/>
      <c r="AV3485"/>
    </row>
    <row r="3486" spans="41:48" x14ac:dyDescent="0.35">
      <c r="AO3486"/>
      <c r="AP3486"/>
      <c r="AQ3486"/>
      <c r="AR3486"/>
      <c r="AS3486"/>
      <c r="AT3486"/>
      <c r="AU3486"/>
      <c r="AV3486"/>
    </row>
    <row r="3487" spans="41:48" x14ac:dyDescent="0.35">
      <c r="AO3487"/>
      <c r="AP3487"/>
      <c r="AQ3487"/>
      <c r="AR3487"/>
      <c r="AS3487"/>
      <c r="AT3487"/>
      <c r="AU3487"/>
      <c r="AV3487"/>
    </row>
    <row r="3488" spans="41:48" x14ac:dyDescent="0.35">
      <c r="AO3488"/>
      <c r="AP3488"/>
      <c r="AQ3488"/>
      <c r="AR3488"/>
      <c r="AS3488"/>
      <c r="AT3488"/>
      <c r="AU3488"/>
      <c r="AV3488"/>
    </row>
    <row r="3489" spans="41:48" x14ac:dyDescent="0.35">
      <c r="AO3489"/>
      <c r="AP3489"/>
      <c r="AQ3489"/>
      <c r="AR3489"/>
      <c r="AS3489"/>
      <c r="AT3489"/>
      <c r="AU3489"/>
      <c r="AV3489"/>
    </row>
    <row r="3490" spans="41:48" x14ac:dyDescent="0.35">
      <c r="AO3490"/>
      <c r="AP3490"/>
      <c r="AQ3490"/>
      <c r="AR3490"/>
      <c r="AS3490"/>
      <c r="AT3490"/>
      <c r="AU3490"/>
      <c r="AV3490"/>
    </row>
    <row r="3491" spans="41:48" x14ac:dyDescent="0.35">
      <c r="AO3491"/>
      <c r="AP3491"/>
      <c r="AQ3491"/>
      <c r="AR3491"/>
      <c r="AS3491"/>
      <c r="AT3491"/>
      <c r="AU3491"/>
      <c r="AV3491"/>
    </row>
    <row r="3492" spans="41:48" x14ac:dyDescent="0.35">
      <c r="AO3492"/>
      <c r="AP3492"/>
      <c r="AQ3492"/>
      <c r="AR3492"/>
      <c r="AS3492"/>
      <c r="AT3492"/>
      <c r="AU3492"/>
      <c r="AV3492"/>
    </row>
    <row r="3493" spans="41:48" x14ac:dyDescent="0.35">
      <c r="AO3493"/>
      <c r="AP3493"/>
      <c r="AQ3493"/>
      <c r="AR3493"/>
      <c r="AS3493"/>
      <c r="AT3493"/>
      <c r="AU3493"/>
      <c r="AV3493"/>
    </row>
    <row r="3494" spans="41:48" x14ac:dyDescent="0.35">
      <c r="AO3494"/>
      <c r="AP3494"/>
      <c r="AQ3494"/>
      <c r="AR3494"/>
      <c r="AS3494"/>
      <c r="AT3494"/>
      <c r="AU3494"/>
      <c r="AV3494"/>
    </row>
    <row r="3495" spans="41:48" x14ac:dyDescent="0.35">
      <c r="AO3495"/>
      <c r="AP3495"/>
      <c r="AQ3495"/>
      <c r="AR3495"/>
      <c r="AS3495"/>
      <c r="AT3495"/>
      <c r="AU3495"/>
      <c r="AV3495"/>
    </row>
    <row r="3496" spans="41:48" x14ac:dyDescent="0.35">
      <c r="AO3496"/>
      <c r="AP3496"/>
      <c r="AQ3496"/>
      <c r="AR3496"/>
      <c r="AS3496"/>
      <c r="AT3496"/>
      <c r="AU3496"/>
      <c r="AV3496"/>
    </row>
    <row r="3497" spans="41:48" x14ac:dyDescent="0.35">
      <c r="AO3497"/>
      <c r="AP3497"/>
      <c r="AQ3497"/>
      <c r="AR3497"/>
      <c r="AS3497"/>
      <c r="AT3497"/>
      <c r="AU3497"/>
      <c r="AV3497"/>
    </row>
    <row r="3498" spans="41:48" x14ac:dyDescent="0.35">
      <c r="AO3498"/>
      <c r="AP3498"/>
      <c r="AQ3498"/>
      <c r="AR3498"/>
      <c r="AS3498"/>
      <c r="AT3498"/>
      <c r="AU3498"/>
      <c r="AV3498"/>
    </row>
    <row r="3499" spans="41:48" x14ac:dyDescent="0.35">
      <c r="AO3499"/>
      <c r="AP3499"/>
      <c r="AQ3499"/>
      <c r="AR3499"/>
      <c r="AS3499"/>
      <c r="AT3499"/>
      <c r="AU3499"/>
      <c r="AV3499"/>
    </row>
    <row r="3500" spans="41:48" x14ac:dyDescent="0.35">
      <c r="AO3500"/>
      <c r="AP3500"/>
      <c r="AQ3500"/>
      <c r="AR3500"/>
      <c r="AS3500"/>
      <c r="AT3500"/>
      <c r="AU3500"/>
      <c r="AV3500"/>
    </row>
    <row r="3501" spans="41:48" x14ac:dyDescent="0.35">
      <c r="AO3501"/>
      <c r="AP3501"/>
      <c r="AQ3501"/>
      <c r="AR3501"/>
      <c r="AS3501"/>
      <c r="AT3501"/>
      <c r="AU3501"/>
      <c r="AV3501"/>
    </row>
    <row r="3502" spans="41:48" x14ac:dyDescent="0.35">
      <c r="AO3502"/>
      <c r="AP3502"/>
      <c r="AQ3502"/>
      <c r="AR3502"/>
      <c r="AS3502"/>
      <c r="AT3502"/>
      <c r="AU3502"/>
      <c r="AV3502"/>
    </row>
    <row r="3503" spans="41:48" x14ac:dyDescent="0.35">
      <c r="AO3503"/>
      <c r="AP3503"/>
      <c r="AQ3503"/>
      <c r="AR3503"/>
      <c r="AS3503"/>
      <c r="AT3503"/>
      <c r="AU3503"/>
      <c r="AV3503"/>
    </row>
    <row r="3504" spans="41:48" x14ac:dyDescent="0.35">
      <c r="AO3504"/>
      <c r="AP3504"/>
      <c r="AQ3504"/>
      <c r="AR3504"/>
      <c r="AS3504"/>
      <c r="AT3504"/>
      <c r="AU3504"/>
      <c r="AV3504"/>
    </row>
    <row r="3505" spans="41:48" x14ac:dyDescent="0.35">
      <c r="AO3505"/>
      <c r="AP3505"/>
      <c r="AQ3505"/>
      <c r="AR3505"/>
      <c r="AS3505"/>
      <c r="AT3505"/>
      <c r="AU3505"/>
      <c r="AV3505"/>
    </row>
    <row r="3506" spans="41:48" x14ac:dyDescent="0.35">
      <c r="AO3506"/>
      <c r="AP3506"/>
      <c r="AQ3506"/>
      <c r="AR3506"/>
      <c r="AS3506"/>
      <c r="AT3506"/>
      <c r="AU3506"/>
      <c r="AV3506"/>
    </row>
    <row r="3507" spans="41:48" x14ac:dyDescent="0.35">
      <c r="AO3507"/>
      <c r="AP3507"/>
      <c r="AQ3507"/>
      <c r="AR3507"/>
      <c r="AS3507"/>
      <c r="AT3507"/>
      <c r="AU3507"/>
      <c r="AV3507"/>
    </row>
    <row r="3508" spans="41:48" x14ac:dyDescent="0.35">
      <c r="AO3508"/>
      <c r="AP3508"/>
      <c r="AQ3508"/>
      <c r="AR3508"/>
      <c r="AS3508"/>
      <c r="AT3508"/>
      <c r="AU3508"/>
      <c r="AV3508"/>
    </row>
    <row r="3509" spans="41:48" x14ac:dyDescent="0.35">
      <c r="AO3509"/>
      <c r="AP3509"/>
      <c r="AQ3509"/>
      <c r="AR3509"/>
      <c r="AS3509"/>
      <c r="AT3509"/>
      <c r="AU3509"/>
      <c r="AV3509"/>
    </row>
    <row r="3510" spans="41:48" x14ac:dyDescent="0.35">
      <c r="AO3510"/>
      <c r="AP3510"/>
      <c r="AQ3510"/>
      <c r="AR3510"/>
      <c r="AS3510"/>
      <c r="AT3510"/>
      <c r="AU3510"/>
      <c r="AV3510"/>
    </row>
    <row r="3511" spans="41:48" x14ac:dyDescent="0.35">
      <c r="AO3511"/>
      <c r="AP3511"/>
      <c r="AQ3511"/>
      <c r="AR3511"/>
      <c r="AS3511"/>
      <c r="AT3511"/>
      <c r="AU3511"/>
      <c r="AV3511"/>
    </row>
    <row r="3512" spans="41:48" x14ac:dyDescent="0.35">
      <c r="AO3512"/>
      <c r="AP3512"/>
      <c r="AQ3512"/>
      <c r="AR3512"/>
      <c r="AS3512"/>
      <c r="AT3512"/>
      <c r="AU3512"/>
      <c r="AV3512"/>
    </row>
    <row r="3513" spans="41:48" x14ac:dyDescent="0.35">
      <c r="AO3513"/>
      <c r="AP3513"/>
      <c r="AQ3513"/>
      <c r="AR3513"/>
      <c r="AS3513"/>
      <c r="AT3513"/>
      <c r="AU3513"/>
      <c r="AV3513"/>
    </row>
    <row r="3514" spans="41:48" x14ac:dyDescent="0.35">
      <c r="AO3514"/>
      <c r="AP3514"/>
      <c r="AQ3514"/>
      <c r="AR3514"/>
      <c r="AS3514"/>
      <c r="AT3514"/>
      <c r="AU3514"/>
      <c r="AV3514"/>
    </row>
    <row r="3515" spans="41:48" x14ac:dyDescent="0.35">
      <c r="AO3515"/>
      <c r="AP3515"/>
      <c r="AQ3515"/>
      <c r="AR3515"/>
      <c r="AS3515"/>
      <c r="AT3515"/>
      <c r="AU3515"/>
      <c r="AV3515"/>
    </row>
    <row r="3516" spans="41:48" x14ac:dyDescent="0.35">
      <c r="AO3516"/>
      <c r="AP3516"/>
      <c r="AQ3516"/>
      <c r="AR3516"/>
      <c r="AS3516"/>
      <c r="AT3516"/>
      <c r="AU3516"/>
      <c r="AV3516"/>
    </row>
    <row r="3517" spans="41:48" x14ac:dyDescent="0.35">
      <c r="AO3517"/>
      <c r="AP3517"/>
      <c r="AQ3517"/>
      <c r="AR3517"/>
      <c r="AS3517"/>
      <c r="AT3517"/>
      <c r="AU3517"/>
      <c r="AV3517"/>
    </row>
    <row r="3518" spans="41:48" x14ac:dyDescent="0.35">
      <c r="AO3518"/>
      <c r="AP3518"/>
      <c r="AQ3518"/>
      <c r="AR3518"/>
      <c r="AS3518"/>
      <c r="AT3518"/>
      <c r="AU3518"/>
      <c r="AV3518"/>
    </row>
    <row r="3519" spans="41:48" x14ac:dyDescent="0.35">
      <c r="AO3519"/>
      <c r="AP3519"/>
      <c r="AQ3519"/>
      <c r="AR3519"/>
      <c r="AS3519"/>
      <c r="AT3519"/>
      <c r="AU3519"/>
      <c r="AV3519"/>
    </row>
    <row r="3520" spans="41:48" x14ac:dyDescent="0.35">
      <c r="AO3520"/>
      <c r="AP3520"/>
      <c r="AQ3520"/>
      <c r="AR3520"/>
      <c r="AS3520"/>
      <c r="AT3520"/>
      <c r="AU3520"/>
      <c r="AV3520"/>
    </row>
    <row r="3521" spans="41:48" x14ac:dyDescent="0.35">
      <c r="AO3521"/>
      <c r="AP3521"/>
      <c r="AQ3521"/>
      <c r="AR3521"/>
      <c r="AS3521"/>
      <c r="AT3521"/>
      <c r="AU3521"/>
      <c r="AV3521"/>
    </row>
    <row r="3522" spans="41:48" x14ac:dyDescent="0.35">
      <c r="AO3522"/>
      <c r="AP3522"/>
      <c r="AQ3522"/>
      <c r="AR3522"/>
      <c r="AS3522"/>
      <c r="AT3522"/>
      <c r="AU3522"/>
      <c r="AV3522"/>
    </row>
    <row r="3523" spans="41:48" x14ac:dyDescent="0.35">
      <c r="AO3523"/>
      <c r="AP3523"/>
      <c r="AQ3523"/>
      <c r="AR3523"/>
      <c r="AS3523"/>
      <c r="AT3523"/>
      <c r="AU3523"/>
      <c r="AV3523"/>
    </row>
    <row r="3524" spans="41:48" x14ac:dyDescent="0.35">
      <c r="AO3524"/>
      <c r="AP3524"/>
      <c r="AQ3524"/>
      <c r="AR3524"/>
      <c r="AS3524"/>
      <c r="AT3524"/>
      <c r="AU3524"/>
      <c r="AV3524"/>
    </row>
    <row r="3525" spans="41:48" x14ac:dyDescent="0.35">
      <c r="AO3525"/>
      <c r="AP3525"/>
      <c r="AQ3525"/>
      <c r="AR3525"/>
      <c r="AS3525"/>
      <c r="AT3525"/>
      <c r="AU3525"/>
      <c r="AV3525"/>
    </row>
    <row r="3526" spans="41:48" x14ac:dyDescent="0.35">
      <c r="AO3526"/>
      <c r="AP3526"/>
      <c r="AQ3526"/>
      <c r="AR3526"/>
      <c r="AS3526"/>
      <c r="AT3526"/>
      <c r="AU3526"/>
      <c r="AV3526"/>
    </row>
    <row r="3527" spans="41:48" x14ac:dyDescent="0.35">
      <c r="AO3527"/>
      <c r="AP3527"/>
      <c r="AQ3527"/>
      <c r="AR3527"/>
      <c r="AS3527"/>
      <c r="AT3527"/>
      <c r="AU3527"/>
      <c r="AV3527"/>
    </row>
    <row r="3528" spans="41:48" x14ac:dyDescent="0.35">
      <c r="AO3528"/>
      <c r="AP3528"/>
      <c r="AQ3528"/>
      <c r="AR3528"/>
      <c r="AS3528"/>
      <c r="AT3528"/>
      <c r="AU3528"/>
      <c r="AV3528"/>
    </row>
    <row r="3529" spans="41:48" x14ac:dyDescent="0.35">
      <c r="AO3529"/>
      <c r="AP3529"/>
      <c r="AQ3529"/>
      <c r="AR3529"/>
      <c r="AS3529"/>
      <c r="AT3529"/>
      <c r="AU3529"/>
      <c r="AV3529"/>
    </row>
    <row r="3530" spans="41:48" x14ac:dyDescent="0.35">
      <c r="AO3530"/>
      <c r="AP3530"/>
      <c r="AQ3530"/>
      <c r="AR3530"/>
      <c r="AS3530"/>
      <c r="AT3530"/>
      <c r="AU3530"/>
      <c r="AV3530"/>
    </row>
    <row r="3531" spans="41:48" x14ac:dyDescent="0.35">
      <c r="AO3531"/>
      <c r="AP3531"/>
      <c r="AQ3531"/>
      <c r="AR3531"/>
      <c r="AS3531"/>
      <c r="AT3531"/>
      <c r="AU3531"/>
      <c r="AV3531"/>
    </row>
    <row r="3532" spans="41:48" x14ac:dyDescent="0.35">
      <c r="AO3532"/>
      <c r="AP3532"/>
      <c r="AQ3532"/>
      <c r="AR3532"/>
      <c r="AS3532"/>
      <c r="AT3532"/>
      <c r="AU3532"/>
      <c r="AV3532"/>
    </row>
    <row r="3533" spans="41:48" x14ac:dyDescent="0.35">
      <c r="AO3533"/>
      <c r="AP3533"/>
      <c r="AQ3533"/>
      <c r="AR3533"/>
      <c r="AS3533"/>
      <c r="AT3533"/>
      <c r="AU3533"/>
      <c r="AV3533"/>
    </row>
    <row r="3534" spans="41:48" x14ac:dyDescent="0.35">
      <c r="AO3534"/>
      <c r="AP3534"/>
      <c r="AQ3534"/>
      <c r="AR3534"/>
      <c r="AS3534"/>
      <c r="AT3534"/>
      <c r="AU3534"/>
      <c r="AV3534"/>
    </row>
    <row r="3535" spans="41:48" x14ac:dyDescent="0.35">
      <c r="AO3535"/>
      <c r="AP3535"/>
      <c r="AQ3535"/>
      <c r="AR3535"/>
      <c r="AS3535"/>
      <c r="AT3535"/>
      <c r="AU3535"/>
      <c r="AV3535"/>
    </row>
    <row r="3536" spans="41:48" x14ac:dyDescent="0.35">
      <c r="AO3536"/>
      <c r="AP3536"/>
      <c r="AQ3536"/>
      <c r="AR3536"/>
      <c r="AS3536"/>
      <c r="AT3536"/>
      <c r="AU3536"/>
      <c r="AV3536"/>
    </row>
    <row r="3537" spans="41:48" x14ac:dyDescent="0.35">
      <c r="AO3537"/>
      <c r="AP3537"/>
      <c r="AQ3537"/>
      <c r="AR3537"/>
      <c r="AS3537"/>
      <c r="AT3537"/>
      <c r="AU3537"/>
      <c r="AV3537"/>
    </row>
    <row r="3538" spans="41:48" x14ac:dyDescent="0.35">
      <c r="AO3538"/>
      <c r="AP3538"/>
      <c r="AQ3538"/>
      <c r="AR3538"/>
      <c r="AS3538"/>
      <c r="AT3538"/>
      <c r="AU3538"/>
      <c r="AV3538"/>
    </row>
    <row r="3539" spans="41:48" x14ac:dyDescent="0.35">
      <c r="AO3539"/>
      <c r="AP3539"/>
      <c r="AQ3539"/>
      <c r="AR3539"/>
      <c r="AS3539"/>
      <c r="AT3539"/>
      <c r="AU3539"/>
      <c r="AV3539"/>
    </row>
    <row r="3540" spans="41:48" x14ac:dyDescent="0.35">
      <c r="AO3540"/>
      <c r="AP3540"/>
      <c r="AQ3540"/>
      <c r="AR3540"/>
      <c r="AS3540"/>
      <c r="AT3540"/>
      <c r="AU3540"/>
      <c r="AV3540"/>
    </row>
    <row r="3541" spans="41:48" x14ac:dyDescent="0.35">
      <c r="AO3541"/>
      <c r="AP3541"/>
      <c r="AQ3541"/>
      <c r="AR3541"/>
      <c r="AS3541"/>
      <c r="AT3541"/>
      <c r="AU3541"/>
      <c r="AV3541"/>
    </row>
    <row r="3542" spans="41:48" x14ac:dyDescent="0.35">
      <c r="AO3542"/>
      <c r="AP3542"/>
      <c r="AQ3542"/>
      <c r="AR3542"/>
      <c r="AS3542"/>
      <c r="AT3542"/>
      <c r="AU3542"/>
      <c r="AV3542"/>
    </row>
    <row r="3543" spans="41:48" x14ac:dyDescent="0.35">
      <c r="AO3543"/>
      <c r="AP3543"/>
      <c r="AQ3543"/>
      <c r="AR3543"/>
      <c r="AS3543"/>
      <c r="AT3543"/>
      <c r="AU3543"/>
      <c r="AV3543"/>
    </row>
    <row r="3544" spans="41:48" x14ac:dyDescent="0.35">
      <c r="AO3544"/>
      <c r="AP3544"/>
      <c r="AQ3544"/>
      <c r="AR3544"/>
      <c r="AS3544"/>
      <c r="AT3544"/>
      <c r="AU3544"/>
      <c r="AV3544"/>
    </row>
    <row r="3545" spans="41:48" x14ac:dyDescent="0.35">
      <c r="AO3545"/>
      <c r="AP3545"/>
      <c r="AQ3545"/>
      <c r="AR3545"/>
      <c r="AS3545"/>
      <c r="AT3545"/>
      <c r="AU3545"/>
      <c r="AV3545"/>
    </row>
    <row r="3546" spans="41:48" x14ac:dyDescent="0.35">
      <c r="AO3546"/>
      <c r="AP3546"/>
      <c r="AQ3546"/>
      <c r="AR3546"/>
      <c r="AS3546"/>
      <c r="AT3546"/>
      <c r="AU3546"/>
      <c r="AV3546"/>
    </row>
    <row r="3547" spans="41:48" x14ac:dyDescent="0.35">
      <c r="AO3547"/>
      <c r="AP3547"/>
      <c r="AQ3547"/>
      <c r="AR3547"/>
      <c r="AS3547"/>
      <c r="AT3547"/>
      <c r="AU3547"/>
      <c r="AV3547"/>
    </row>
    <row r="3548" spans="41:48" x14ac:dyDescent="0.35">
      <c r="AO3548"/>
      <c r="AP3548"/>
      <c r="AQ3548"/>
      <c r="AR3548"/>
      <c r="AS3548"/>
      <c r="AT3548"/>
      <c r="AU3548"/>
      <c r="AV3548"/>
    </row>
    <row r="3549" spans="41:48" x14ac:dyDescent="0.35">
      <c r="AO3549"/>
      <c r="AP3549"/>
      <c r="AQ3549"/>
      <c r="AR3549"/>
      <c r="AS3549"/>
      <c r="AT3549"/>
      <c r="AU3549"/>
      <c r="AV3549"/>
    </row>
    <row r="3550" spans="41:48" x14ac:dyDescent="0.35">
      <c r="AO3550"/>
      <c r="AP3550"/>
      <c r="AQ3550"/>
      <c r="AR3550"/>
      <c r="AS3550"/>
      <c r="AT3550"/>
      <c r="AU3550"/>
      <c r="AV3550"/>
    </row>
    <row r="3551" spans="41:48" x14ac:dyDescent="0.35">
      <c r="AO3551"/>
      <c r="AP3551"/>
      <c r="AQ3551"/>
      <c r="AR3551"/>
      <c r="AS3551"/>
      <c r="AT3551"/>
      <c r="AU3551"/>
      <c r="AV3551"/>
    </row>
    <row r="3552" spans="41:48" x14ac:dyDescent="0.35">
      <c r="AO3552"/>
      <c r="AP3552"/>
      <c r="AQ3552"/>
      <c r="AR3552"/>
      <c r="AS3552"/>
      <c r="AT3552"/>
      <c r="AU3552"/>
      <c r="AV3552"/>
    </row>
    <row r="3553" spans="41:48" x14ac:dyDescent="0.35">
      <c r="AO3553"/>
      <c r="AP3553"/>
      <c r="AQ3553"/>
      <c r="AR3553"/>
      <c r="AS3553"/>
      <c r="AT3553"/>
      <c r="AU3553"/>
      <c r="AV3553"/>
    </row>
    <row r="3554" spans="41:48" x14ac:dyDescent="0.35">
      <c r="AO3554"/>
      <c r="AP3554"/>
      <c r="AQ3554"/>
      <c r="AR3554"/>
      <c r="AS3554"/>
      <c r="AT3554"/>
      <c r="AU3554"/>
      <c r="AV3554"/>
    </row>
    <row r="3555" spans="41:48" x14ac:dyDescent="0.35">
      <c r="AO3555"/>
      <c r="AP3555"/>
      <c r="AQ3555"/>
      <c r="AR3555"/>
      <c r="AS3555"/>
      <c r="AT3555"/>
      <c r="AU3555"/>
      <c r="AV3555"/>
    </row>
    <row r="3556" spans="41:48" x14ac:dyDescent="0.35">
      <c r="AO3556"/>
      <c r="AP3556"/>
      <c r="AQ3556"/>
      <c r="AR3556"/>
      <c r="AS3556"/>
      <c r="AT3556"/>
      <c r="AU3556"/>
      <c r="AV3556"/>
    </row>
    <row r="3557" spans="41:48" x14ac:dyDescent="0.35">
      <c r="AO3557"/>
      <c r="AP3557"/>
      <c r="AQ3557"/>
      <c r="AR3557"/>
      <c r="AS3557"/>
      <c r="AT3557"/>
      <c r="AU3557"/>
      <c r="AV3557"/>
    </row>
    <row r="3558" spans="41:48" x14ac:dyDescent="0.35">
      <c r="AO3558"/>
      <c r="AP3558"/>
      <c r="AQ3558"/>
      <c r="AR3558"/>
      <c r="AS3558"/>
      <c r="AT3558"/>
      <c r="AU3558"/>
      <c r="AV3558"/>
    </row>
    <row r="3559" spans="41:48" x14ac:dyDescent="0.35">
      <c r="AO3559"/>
      <c r="AP3559"/>
      <c r="AQ3559"/>
      <c r="AR3559"/>
      <c r="AS3559"/>
      <c r="AT3559"/>
      <c r="AU3559"/>
      <c r="AV3559"/>
    </row>
    <row r="3560" spans="41:48" x14ac:dyDescent="0.35">
      <c r="AO3560"/>
      <c r="AP3560"/>
      <c r="AQ3560"/>
      <c r="AR3560"/>
      <c r="AS3560"/>
      <c r="AT3560"/>
      <c r="AU3560"/>
      <c r="AV3560"/>
    </row>
    <row r="3561" spans="41:48" x14ac:dyDescent="0.35">
      <c r="AO3561"/>
      <c r="AP3561"/>
      <c r="AQ3561"/>
      <c r="AR3561"/>
      <c r="AS3561"/>
      <c r="AT3561"/>
      <c r="AU3561"/>
      <c r="AV3561"/>
    </row>
    <row r="3562" spans="41:48" x14ac:dyDescent="0.35">
      <c r="AO3562"/>
      <c r="AP3562"/>
      <c r="AQ3562"/>
      <c r="AR3562"/>
      <c r="AS3562"/>
      <c r="AT3562"/>
      <c r="AU3562"/>
      <c r="AV3562"/>
    </row>
    <row r="3563" spans="41:48" x14ac:dyDescent="0.35">
      <c r="AO3563"/>
      <c r="AP3563"/>
      <c r="AQ3563"/>
      <c r="AR3563"/>
      <c r="AS3563"/>
      <c r="AT3563"/>
      <c r="AU3563"/>
      <c r="AV3563"/>
    </row>
    <row r="3564" spans="41:48" x14ac:dyDescent="0.35">
      <c r="AO3564"/>
      <c r="AP3564"/>
      <c r="AQ3564"/>
      <c r="AR3564"/>
      <c r="AS3564"/>
      <c r="AT3564"/>
      <c r="AU3564"/>
      <c r="AV3564"/>
    </row>
    <row r="3565" spans="41:48" x14ac:dyDescent="0.35">
      <c r="AO3565"/>
      <c r="AP3565"/>
      <c r="AQ3565"/>
      <c r="AR3565"/>
      <c r="AS3565"/>
      <c r="AT3565"/>
      <c r="AU3565"/>
      <c r="AV3565"/>
    </row>
    <row r="3566" spans="41:48" x14ac:dyDescent="0.35">
      <c r="AO3566"/>
      <c r="AP3566"/>
      <c r="AQ3566"/>
      <c r="AR3566"/>
      <c r="AS3566"/>
      <c r="AT3566"/>
      <c r="AU3566"/>
      <c r="AV3566"/>
    </row>
    <row r="3567" spans="41:48" x14ac:dyDescent="0.35">
      <c r="AO3567"/>
      <c r="AP3567"/>
      <c r="AQ3567"/>
      <c r="AR3567"/>
      <c r="AS3567"/>
      <c r="AT3567"/>
      <c r="AU3567"/>
      <c r="AV3567"/>
    </row>
    <row r="3568" spans="41:48" x14ac:dyDescent="0.35">
      <c r="AO3568"/>
      <c r="AP3568"/>
      <c r="AQ3568"/>
      <c r="AR3568"/>
      <c r="AS3568"/>
      <c r="AT3568"/>
      <c r="AU3568"/>
      <c r="AV3568"/>
    </row>
    <row r="3569" spans="41:48" x14ac:dyDescent="0.35">
      <c r="AO3569"/>
      <c r="AP3569"/>
      <c r="AQ3569"/>
      <c r="AR3569"/>
      <c r="AS3569"/>
      <c r="AT3569"/>
      <c r="AU3569"/>
      <c r="AV3569"/>
    </row>
    <row r="3570" spans="41:48" x14ac:dyDescent="0.35">
      <c r="AO3570"/>
      <c r="AP3570"/>
      <c r="AQ3570"/>
      <c r="AR3570"/>
      <c r="AS3570"/>
      <c r="AT3570"/>
      <c r="AU3570"/>
      <c r="AV3570"/>
    </row>
    <row r="3571" spans="41:48" x14ac:dyDescent="0.35">
      <c r="AO3571"/>
      <c r="AP3571"/>
      <c r="AQ3571"/>
      <c r="AR3571"/>
      <c r="AS3571"/>
      <c r="AT3571"/>
      <c r="AU3571"/>
      <c r="AV3571"/>
    </row>
    <row r="3572" spans="41:48" x14ac:dyDescent="0.35">
      <c r="AO3572"/>
      <c r="AP3572"/>
      <c r="AQ3572"/>
      <c r="AR3572"/>
      <c r="AS3572"/>
      <c r="AT3572"/>
      <c r="AU3572"/>
      <c r="AV3572"/>
    </row>
    <row r="3573" spans="41:48" x14ac:dyDescent="0.35">
      <c r="AO3573"/>
      <c r="AP3573"/>
      <c r="AQ3573"/>
      <c r="AR3573"/>
      <c r="AS3573"/>
      <c r="AT3573"/>
      <c r="AU3573"/>
      <c r="AV3573"/>
    </row>
    <row r="3574" spans="41:48" x14ac:dyDescent="0.35">
      <c r="AO3574"/>
      <c r="AP3574"/>
      <c r="AQ3574"/>
      <c r="AR3574"/>
      <c r="AS3574"/>
      <c r="AT3574"/>
      <c r="AU3574"/>
      <c r="AV3574"/>
    </row>
    <row r="3575" spans="41:48" x14ac:dyDescent="0.35">
      <c r="AO3575"/>
      <c r="AP3575"/>
      <c r="AQ3575"/>
      <c r="AR3575"/>
      <c r="AS3575"/>
      <c r="AT3575"/>
      <c r="AU3575"/>
      <c r="AV3575"/>
    </row>
    <row r="3576" spans="41:48" x14ac:dyDescent="0.35">
      <c r="AO3576"/>
      <c r="AP3576"/>
      <c r="AQ3576"/>
      <c r="AR3576"/>
      <c r="AS3576"/>
      <c r="AT3576"/>
      <c r="AU3576"/>
      <c r="AV3576"/>
    </row>
    <row r="3577" spans="41:48" x14ac:dyDescent="0.35">
      <c r="AO3577"/>
      <c r="AP3577"/>
      <c r="AQ3577"/>
      <c r="AR3577"/>
      <c r="AS3577"/>
      <c r="AT3577"/>
      <c r="AU3577"/>
      <c r="AV3577"/>
    </row>
    <row r="3578" spans="41:48" x14ac:dyDescent="0.35">
      <c r="AO3578"/>
      <c r="AP3578"/>
      <c r="AQ3578"/>
      <c r="AR3578"/>
      <c r="AS3578"/>
      <c r="AT3578"/>
      <c r="AU3578"/>
      <c r="AV3578"/>
    </row>
    <row r="3579" spans="41:48" x14ac:dyDescent="0.35">
      <c r="AO3579"/>
      <c r="AP3579"/>
      <c r="AQ3579"/>
      <c r="AR3579"/>
      <c r="AS3579"/>
      <c r="AT3579"/>
      <c r="AU3579"/>
      <c r="AV3579"/>
    </row>
    <row r="3580" spans="41:48" x14ac:dyDescent="0.35">
      <c r="AO3580"/>
      <c r="AP3580"/>
      <c r="AQ3580"/>
      <c r="AR3580"/>
      <c r="AS3580"/>
      <c r="AT3580"/>
      <c r="AU3580"/>
      <c r="AV3580"/>
    </row>
    <row r="3581" spans="41:48" x14ac:dyDescent="0.35">
      <c r="AO3581"/>
      <c r="AP3581"/>
      <c r="AQ3581"/>
      <c r="AR3581"/>
      <c r="AS3581"/>
      <c r="AT3581"/>
      <c r="AU3581"/>
      <c r="AV3581"/>
    </row>
    <row r="3582" spans="41:48" x14ac:dyDescent="0.35">
      <c r="AO3582"/>
      <c r="AP3582"/>
      <c r="AQ3582"/>
      <c r="AR3582"/>
      <c r="AS3582"/>
      <c r="AT3582"/>
      <c r="AU3582"/>
      <c r="AV3582"/>
    </row>
    <row r="3583" spans="41:48" x14ac:dyDescent="0.35">
      <c r="AO3583"/>
      <c r="AP3583"/>
      <c r="AQ3583"/>
      <c r="AR3583"/>
      <c r="AS3583"/>
      <c r="AT3583"/>
      <c r="AU3583"/>
      <c r="AV3583"/>
    </row>
    <row r="3584" spans="41:48" x14ac:dyDescent="0.35">
      <c r="AO3584"/>
      <c r="AP3584"/>
      <c r="AQ3584"/>
      <c r="AR3584"/>
      <c r="AS3584"/>
      <c r="AT3584"/>
      <c r="AU3584"/>
      <c r="AV3584"/>
    </row>
    <row r="3585" spans="41:48" x14ac:dyDescent="0.35">
      <c r="AO3585"/>
      <c r="AP3585"/>
      <c r="AQ3585"/>
      <c r="AR3585"/>
      <c r="AS3585"/>
      <c r="AT3585"/>
      <c r="AU3585"/>
      <c r="AV3585"/>
    </row>
    <row r="3586" spans="41:48" x14ac:dyDescent="0.35">
      <c r="AO3586"/>
      <c r="AP3586"/>
      <c r="AQ3586"/>
      <c r="AR3586"/>
      <c r="AS3586"/>
      <c r="AT3586"/>
      <c r="AU3586"/>
      <c r="AV3586"/>
    </row>
    <row r="3587" spans="41:48" x14ac:dyDescent="0.35">
      <c r="AO3587"/>
      <c r="AP3587"/>
      <c r="AQ3587"/>
      <c r="AR3587"/>
      <c r="AS3587"/>
      <c r="AT3587"/>
      <c r="AU3587"/>
      <c r="AV3587"/>
    </row>
    <row r="3588" spans="41:48" x14ac:dyDescent="0.35">
      <c r="AO3588"/>
      <c r="AP3588"/>
      <c r="AQ3588"/>
      <c r="AR3588"/>
      <c r="AS3588"/>
      <c r="AT3588"/>
      <c r="AU3588"/>
      <c r="AV3588"/>
    </row>
    <row r="3589" spans="41:48" x14ac:dyDescent="0.35">
      <c r="AO3589"/>
      <c r="AP3589"/>
      <c r="AQ3589"/>
      <c r="AR3589"/>
      <c r="AS3589"/>
      <c r="AT3589"/>
      <c r="AU3589"/>
      <c r="AV3589"/>
    </row>
    <row r="3590" spans="41:48" x14ac:dyDescent="0.35">
      <c r="AO3590"/>
      <c r="AP3590"/>
      <c r="AQ3590"/>
      <c r="AR3590"/>
      <c r="AS3590"/>
      <c r="AT3590"/>
      <c r="AU3590"/>
      <c r="AV3590"/>
    </row>
    <row r="3591" spans="41:48" x14ac:dyDescent="0.35">
      <c r="AO3591"/>
      <c r="AP3591"/>
      <c r="AQ3591"/>
      <c r="AR3591"/>
      <c r="AS3591"/>
      <c r="AT3591"/>
      <c r="AU3591"/>
      <c r="AV3591"/>
    </row>
    <row r="3592" spans="41:48" x14ac:dyDescent="0.35">
      <c r="AO3592"/>
      <c r="AP3592"/>
      <c r="AQ3592"/>
      <c r="AR3592"/>
      <c r="AS3592"/>
      <c r="AT3592"/>
      <c r="AU3592"/>
      <c r="AV3592"/>
    </row>
    <row r="3593" spans="41:48" x14ac:dyDescent="0.35">
      <c r="AO3593"/>
      <c r="AP3593"/>
      <c r="AQ3593"/>
      <c r="AR3593"/>
      <c r="AS3593"/>
      <c r="AT3593"/>
      <c r="AU3593"/>
      <c r="AV3593"/>
    </row>
    <row r="3594" spans="41:48" x14ac:dyDescent="0.35">
      <c r="AO3594"/>
      <c r="AP3594"/>
      <c r="AQ3594"/>
      <c r="AR3594"/>
      <c r="AS3594"/>
      <c r="AT3594"/>
      <c r="AU3594"/>
      <c r="AV3594"/>
    </row>
    <row r="3595" spans="41:48" x14ac:dyDescent="0.35">
      <c r="AO3595"/>
      <c r="AP3595"/>
      <c r="AQ3595"/>
      <c r="AR3595"/>
      <c r="AS3595"/>
      <c r="AT3595"/>
      <c r="AU3595"/>
      <c r="AV3595"/>
    </row>
    <row r="3596" spans="41:48" x14ac:dyDescent="0.35">
      <c r="AO3596"/>
      <c r="AP3596"/>
      <c r="AQ3596"/>
      <c r="AR3596"/>
      <c r="AS3596"/>
      <c r="AT3596"/>
      <c r="AU3596"/>
      <c r="AV3596"/>
    </row>
    <row r="3597" spans="41:48" x14ac:dyDescent="0.35">
      <c r="AO3597"/>
      <c r="AP3597"/>
      <c r="AQ3597"/>
      <c r="AR3597"/>
      <c r="AS3597"/>
      <c r="AT3597"/>
      <c r="AU3597"/>
      <c r="AV3597"/>
    </row>
    <row r="3598" spans="41:48" x14ac:dyDescent="0.35">
      <c r="AO3598"/>
      <c r="AP3598"/>
      <c r="AQ3598"/>
      <c r="AR3598"/>
      <c r="AS3598"/>
      <c r="AT3598"/>
      <c r="AU3598"/>
      <c r="AV3598"/>
    </row>
    <row r="3599" spans="41:48" x14ac:dyDescent="0.35">
      <c r="AO3599"/>
      <c r="AP3599"/>
      <c r="AQ3599"/>
      <c r="AR3599"/>
      <c r="AS3599"/>
      <c r="AT3599"/>
      <c r="AU3599"/>
      <c r="AV3599"/>
    </row>
    <row r="3600" spans="41:48" x14ac:dyDescent="0.35">
      <c r="AO3600"/>
      <c r="AP3600"/>
      <c r="AQ3600"/>
      <c r="AR3600"/>
      <c r="AS3600"/>
      <c r="AT3600"/>
      <c r="AU3600"/>
      <c r="AV3600"/>
    </row>
    <row r="3601" spans="41:48" x14ac:dyDescent="0.35">
      <c r="AO3601"/>
      <c r="AP3601"/>
      <c r="AQ3601"/>
      <c r="AR3601"/>
      <c r="AS3601"/>
      <c r="AT3601"/>
      <c r="AU3601"/>
      <c r="AV3601"/>
    </row>
    <row r="3602" spans="41:48" x14ac:dyDescent="0.35">
      <c r="AO3602"/>
      <c r="AP3602"/>
      <c r="AQ3602"/>
      <c r="AR3602"/>
      <c r="AS3602"/>
      <c r="AT3602"/>
      <c r="AU3602"/>
      <c r="AV3602"/>
    </row>
    <row r="3603" spans="41:48" x14ac:dyDescent="0.35">
      <c r="AO3603"/>
      <c r="AP3603"/>
      <c r="AQ3603"/>
      <c r="AR3603"/>
      <c r="AS3603"/>
      <c r="AT3603"/>
      <c r="AU3603"/>
      <c r="AV3603"/>
    </row>
    <row r="3604" spans="41:48" x14ac:dyDescent="0.35">
      <c r="AO3604"/>
      <c r="AP3604"/>
      <c r="AQ3604"/>
      <c r="AR3604"/>
      <c r="AS3604"/>
      <c r="AT3604"/>
      <c r="AU3604"/>
      <c r="AV3604"/>
    </row>
    <row r="3605" spans="41:48" x14ac:dyDescent="0.35">
      <c r="AO3605"/>
      <c r="AP3605"/>
      <c r="AQ3605"/>
      <c r="AR3605"/>
      <c r="AS3605"/>
      <c r="AT3605"/>
      <c r="AU3605"/>
      <c r="AV3605"/>
    </row>
    <row r="3606" spans="41:48" x14ac:dyDescent="0.35">
      <c r="AO3606"/>
      <c r="AP3606"/>
      <c r="AQ3606"/>
      <c r="AR3606"/>
      <c r="AS3606"/>
      <c r="AT3606"/>
      <c r="AU3606"/>
      <c r="AV3606"/>
    </row>
    <row r="3607" spans="41:48" x14ac:dyDescent="0.35">
      <c r="AO3607"/>
      <c r="AP3607"/>
      <c r="AQ3607"/>
      <c r="AR3607"/>
      <c r="AS3607"/>
      <c r="AT3607"/>
      <c r="AU3607"/>
      <c r="AV3607"/>
    </row>
    <row r="3608" spans="41:48" x14ac:dyDescent="0.35">
      <c r="AO3608"/>
      <c r="AP3608"/>
      <c r="AQ3608"/>
      <c r="AR3608"/>
      <c r="AS3608"/>
      <c r="AT3608"/>
      <c r="AU3608"/>
      <c r="AV3608"/>
    </row>
    <row r="3609" spans="41:48" x14ac:dyDescent="0.35">
      <c r="AO3609"/>
      <c r="AP3609"/>
      <c r="AQ3609"/>
      <c r="AR3609"/>
      <c r="AS3609"/>
      <c r="AT3609"/>
      <c r="AU3609"/>
      <c r="AV3609"/>
    </row>
    <row r="3610" spans="41:48" x14ac:dyDescent="0.35">
      <c r="AO3610"/>
      <c r="AP3610"/>
      <c r="AQ3610"/>
      <c r="AR3610"/>
      <c r="AS3610"/>
      <c r="AT3610"/>
      <c r="AU3610"/>
      <c r="AV3610"/>
    </row>
    <row r="3611" spans="41:48" x14ac:dyDescent="0.35">
      <c r="AO3611"/>
      <c r="AP3611"/>
      <c r="AQ3611"/>
      <c r="AR3611"/>
      <c r="AS3611"/>
      <c r="AT3611"/>
      <c r="AU3611"/>
      <c r="AV3611"/>
    </row>
    <row r="3612" spans="41:48" x14ac:dyDescent="0.35">
      <c r="AO3612"/>
      <c r="AP3612"/>
      <c r="AQ3612"/>
      <c r="AR3612"/>
      <c r="AS3612"/>
      <c r="AT3612"/>
      <c r="AU3612"/>
      <c r="AV3612"/>
    </row>
    <row r="3613" spans="41:48" x14ac:dyDescent="0.35">
      <c r="AO3613"/>
      <c r="AP3613"/>
      <c r="AQ3613"/>
      <c r="AR3613"/>
      <c r="AS3613"/>
      <c r="AT3613"/>
      <c r="AU3613"/>
      <c r="AV3613"/>
    </row>
    <row r="3614" spans="41:48" x14ac:dyDescent="0.35">
      <c r="AO3614"/>
      <c r="AP3614"/>
      <c r="AQ3614"/>
      <c r="AR3614"/>
      <c r="AS3614"/>
      <c r="AT3614"/>
      <c r="AU3614"/>
      <c r="AV3614"/>
    </row>
    <row r="3615" spans="41:48" x14ac:dyDescent="0.35">
      <c r="AO3615"/>
      <c r="AP3615"/>
      <c r="AQ3615"/>
      <c r="AR3615"/>
      <c r="AS3615"/>
      <c r="AT3615"/>
      <c r="AU3615"/>
      <c r="AV3615"/>
    </row>
    <row r="3616" spans="41:48" x14ac:dyDescent="0.35">
      <c r="AO3616"/>
      <c r="AP3616"/>
      <c r="AQ3616"/>
      <c r="AR3616"/>
      <c r="AS3616"/>
      <c r="AT3616"/>
      <c r="AU3616"/>
      <c r="AV3616"/>
    </row>
    <row r="3617" spans="41:48" x14ac:dyDescent="0.35">
      <c r="AO3617"/>
      <c r="AP3617"/>
      <c r="AQ3617"/>
      <c r="AR3617"/>
      <c r="AS3617"/>
      <c r="AT3617"/>
      <c r="AU3617"/>
      <c r="AV3617"/>
    </row>
    <row r="3618" spans="41:48" x14ac:dyDescent="0.35">
      <c r="AO3618"/>
      <c r="AP3618"/>
      <c r="AQ3618"/>
      <c r="AR3618"/>
      <c r="AS3618"/>
      <c r="AT3618"/>
      <c r="AU3618"/>
      <c r="AV3618"/>
    </row>
    <row r="3619" spans="41:48" x14ac:dyDescent="0.35">
      <c r="AO3619"/>
      <c r="AP3619"/>
      <c r="AQ3619"/>
      <c r="AR3619"/>
      <c r="AS3619"/>
      <c r="AT3619"/>
      <c r="AU3619"/>
      <c r="AV3619"/>
    </row>
    <row r="3620" spans="41:48" x14ac:dyDescent="0.35">
      <c r="AO3620"/>
      <c r="AP3620"/>
      <c r="AQ3620"/>
      <c r="AR3620"/>
      <c r="AS3620"/>
      <c r="AT3620"/>
      <c r="AU3620"/>
      <c r="AV3620"/>
    </row>
    <row r="3621" spans="41:48" x14ac:dyDescent="0.35">
      <c r="AO3621"/>
      <c r="AP3621"/>
      <c r="AQ3621"/>
      <c r="AR3621"/>
      <c r="AS3621"/>
      <c r="AT3621"/>
      <c r="AU3621"/>
      <c r="AV3621"/>
    </row>
    <row r="3622" spans="41:48" x14ac:dyDescent="0.35">
      <c r="AO3622"/>
      <c r="AP3622"/>
      <c r="AQ3622"/>
      <c r="AR3622"/>
      <c r="AS3622"/>
      <c r="AT3622"/>
      <c r="AU3622"/>
      <c r="AV3622"/>
    </row>
    <row r="3623" spans="41:48" x14ac:dyDescent="0.35">
      <c r="AO3623"/>
      <c r="AP3623"/>
      <c r="AQ3623"/>
      <c r="AR3623"/>
      <c r="AS3623"/>
      <c r="AT3623"/>
      <c r="AU3623"/>
      <c r="AV3623"/>
    </row>
    <row r="3624" spans="41:48" x14ac:dyDescent="0.35">
      <c r="AO3624"/>
      <c r="AP3624"/>
      <c r="AQ3624"/>
      <c r="AR3624"/>
      <c r="AS3624"/>
      <c r="AT3624"/>
      <c r="AU3624"/>
      <c r="AV3624"/>
    </row>
    <row r="3625" spans="41:48" x14ac:dyDescent="0.35">
      <c r="AO3625"/>
      <c r="AP3625"/>
      <c r="AQ3625"/>
      <c r="AR3625"/>
      <c r="AS3625"/>
      <c r="AT3625"/>
      <c r="AU3625"/>
      <c r="AV3625"/>
    </row>
    <row r="3626" spans="41:48" x14ac:dyDescent="0.35">
      <c r="AO3626"/>
      <c r="AP3626"/>
      <c r="AQ3626"/>
      <c r="AR3626"/>
      <c r="AS3626"/>
      <c r="AT3626"/>
      <c r="AU3626"/>
      <c r="AV3626"/>
    </row>
    <row r="3627" spans="41:48" x14ac:dyDescent="0.35">
      <c r="AO3627"/>
      <c r="AP3627"/>
      <c r="AQ3627"/>
      <c r="AR3627"/>
      <c r="AS3627"/>
      <c r="AT3627"/>
      <c r="AU3627"/>
      <c r="AV3627"/>
    </row>
    <row r="3628" spans="41:48" x14ac:dyDescent="0.35">
      <c r="AO3628"/>
      <c r="AP3628"/>
      <c r="AQ3628"/>
      <c r="AR3628"/>
      <c r="AS3628"/>
      <c r="AT3628"/>
      <c r="AU3628"/>
      <c r="AV3628"/>
    </row>
    <row r="3629" spans="41:48" x14ac:dyDescent="0.35">
      <c r="AO3629"/>
      <c r="AP3629"/>
      <c r="AQ3629"/>
      <c r="AR3629"/>
      <c r="AS3629"/>
      <c r="AT3629"/>
      <c r="AU3629"/>
      <c r="AV3629"/>
    </row>
    <row r="3630" spans="41:48" x14ac:dyDescent="0.35">
      <c r="AO3630"/>
      <c r="AP3630"/>
      <c r="AQ3630"/>
      <c r="AR3630"/>
      <c r="AS3630"/>
      <c r="AT3630"/>
      <c r="AU3630"/>
      <c r="AV3630"/>
    </row>
    <row r="3631" spans="41:48" x14ac:dyDescent="0.35">
      <c r="AO3631"/>
      <c r="AP3631"/>
      <c r="AQ3631"/>
      <c r="AR3631"/>
      <c r="AS3631"/>
      <c r="AT3631"/>
      <c r="AU3631"/>
      <c r="AV3631"/>
    </row>
    <row r="3632" spans="41:48" x14ac:dyDescent="0.35">
      <c r="AO3632"/>
      <c r="AP3632"/>
      <c r="AQ3632"/>
      <c r="AR3632"/>
      <c r="AS3632"/>
      <c r="AT3632"/>
      <c r="AU3632"/>
      <c r="AV3632"/>
    </row>
    <row r="3633" spans="41:48" x14ac:dyDescent="0.35">
      <c r="AO3633"/>
      <c r="AP3633"/>
      <c r="AQ3633"/>
      <c r="AR3633"/>
      <c r="AS3633"/>
      <c r="AT3633"/>
      <c r="AU3633"/>
      <c r="AV3633"/>
    </row>
    <row r="3634" spans="41:48" x14ac:dyDescent="0.35">
      <c r="AO3634"/>
      <c r="AP3634"/>
      <c r="AQ3634"/>
      <c r="AR3634"/>
      <c r="AS3634"/>
      <c r="AT3634"/>
      <c r="AU3634"/>
      <c r="AV3634"/>
    </row>
    <row r="3635" spans="41:48" x14ac:dyDescent="0.35">
      <c r="AO3635"/>
      <c r="AP3635"/>
      <c r="AQ3635"/>
      <c r="AR3635"/>
      <c r="AS3635"/>
      <c r="AT3635"/>
      <c r="AU3635"/>
      <c r="AV3635"/>
    </row>
    <row r="3636" spans="41:48" x14ac:dyDescent="0.35">
      <c r="AO3636"/>
      <c r="AP3636"/>
      <c r="AQ3636"/>
      <c r="AR3636"/>
      <c r="AS3636"/>
      <c r="AT3636"/>
      <c r="AU3636"/>
      <c r="AV3636"/>
    </row>
    <row r="3637" spans="41:48" x14ac:dyDescent="0.35">
      <c r="AO3637"/>
      <c r="AP3637"/>
      <c r="AQ3637"/>
      <c r="AR3637"/>
      <c r="AS3637"/>
      <c r="AT3637"/>
      <c r="AU3637"/>
      <c r="AV3637"/>
    </row>
    <row r="3638" spans="41:48" x14ac:dyDescent="0.35">
      <c r="AO3638"/>
      <c r="AP3638"/>
      <c r="AQ3638"/>
      <c r="AR3638"/>
      <c r="AS3638"/>
      <c r="AT3638"/>
      <c r="AU3638"/>
      <c r="AV3638"/>
    </row>
    <row r="3639" spans="41:48" x14ac:dyDescent="0.35">
      <c r="AO3639"/>
      <c r="AP3639"/>
      <c r="AQ3639"/>
      <c r="AR3639"/>
      <c r="AS3639"/>
      <c r="AT3639"/>
      <c r="AU3639"/>
      <c r="AV3639"/>
    </row>
    <row r="3640" spans="41:48" x14ac:dyDescent="0.35">
      <c r="AO3640"/>
      <c r="AP3640"/>
      <c r="AQ3640"/>
      <c r="AR3640"/>
      <c r="AS3640"/>
      <c r="AT3640"/>
      <c r="AU3640"/>
      <c r="AV3640"/>
    </row>
    <row r="3641" spans="41:48" x14ac:dyDescent="0.35">
      <c r="AO3641"/>
      <c r="AP3641"/>
      <c r="AQ3641"/>
      <c r="AR3641"/>
      <c r="AS3641"/>
      <c r="AT3641"/>
      <c r="AU3641"/>
      <c r="AV3641"/>
    </row>
    <row r="3642" spans="41:48" x14ac:dyDescent="0.35">
      <c r="AO3642"/>
      <c r="AP3642"/>
      <c r="AQ3642"/>
      <c r="AR3642"/>
      <c r="AS3642"/>
      <c r="AT3642"/>
      <c r="AU3642"/>
      <c r="AV3642"/>
    </row>
    <row r="3643" spans="41:48" x14ac:dyDescent="0.35">
      <c r="AO3643"/>
      <c r="AP3643"/>
      <c r="AQ3643"/>
      <c r="AR3643"/>
      <c r="AS3643"/>
      <c r="AT3643"/>
      <c r="AU3643"/>
      <c r="AV3643"/>
    </row>
    <row r="3644" spans="41:48" x14ac:dyDescent="0.35">
      <c r="AO3644"/>
      <c r="AP3644"/>
      <c r="AQ3644"/>
      <c r="AR3644"/>
      <c r="AS3644"/>
      <c r="AT3644"/>
      <c r="AU3644"/>
      <c r="AV3644"/>
    </row>
    <row r="3645" spans="41:48" x14ac:dyDescent="0.35">
      <c r="AO3645"/>
      <c r="AP3645"/>
      <c r="AQ3645"/>
      <c r="AR3645"/>
      <c r="AS3645"/>
      <c r="AT3645"/>
      <c r="AU3645"/>
      <c r="AV3645"/>
    </row>
    <row r="3646" spans="41:48" x14ac:dyDescent="0.35">
      <c r="AO3646"/>
      <c r="AP3646"/>
      <c r="AQ3646"/>
      <c r="AR3646"/>
      <c r="AS3646"/>
      <c r="AT3646"/>
      <c r="AU3646"/>
      <c r="AV3646"/>
    </row>
    <row r="3647" spans="41:48" x14ac:dyDescent="0.35">
      <c r="AO3647"/>
      <c r="AP3647"/>
      <c r="AQ3647"/>
      <c r="AR3647"/>
      <c r="AS3647"/>
      <c r="AT3647"/>
      <c r="AU3647"/>
      <c r="AV3647"/>
    </row>
    <row r="3648" spans="41:48" x14ac:dyDescent="0.35">
      <c r="AO3648"/>
      <c r="AP3648"/>
      <c r="AQ3648"/>
      <c r="AR3648"/>
      <c r="AS3648"/>
      <c r="AT3648"/>
      <c r="AU3648"/>
      <c r="AV3648"/>
    </row>
    <row r="3649" spans="41:48" x14ac:dyDescent="0.35">
      <c r="AO3649"/>
      <c r="AP3649"/>
      <c r="AQ3649"/>
      <c r="AR3649"/>
      <c r="AS3649"/>
      <c r="AT3649"/>
      <c r="AU3649"/>
      <c r="AV3649"/>
    </row>
    <row r="3650" spans="41:48" x14ac:dyDescent="0.35">
      <c r="AO3650"/>
      <c r="AP3650"/>
      <c r="AQ3650"/>
      <c r="AR3650"/>
      <c r="AS3650"/>
      <c r="AT3650"/>
      <c r="AU3650"/>
      <c r="AV3650"/>
    </row>
    <row r="3651" spans="41:48" x14ac:dyDescent="0.35">
      <c r="AO3651"/>
      <c r="AP3651"/>
      <c r="AQ3651"/>
      <c r="AR3651"/>
      <c r="AS3651"/>
      <c r="AT3651"/>
      <c r="AU3651"/>
      <c r="AV3651"/>
    </row>
    <row r="3652" spans="41:48" x14ac:dyDescent="0.35">
      <c r="AO3652"/>
      <c r="AP3652"/>
      <c r="AQ3652"/>
      <c r="AR3652"/>
      <c r="AS3652"/>
      <c r="AT3652"/>
      <c r="AU3652"/>
      <c r="AV3652"/>
    </row>
    <row r="3653" spans="41:48" x14ac:dyDescent="0.35">
      <c r="AO3653"/>
      <c r="AP3653"/>
      <c r="AQ3653"/>
      <c r="AR3653"/>
      <c r="AS3653"/>
      <c r="AT3653"/>
      <c r="AU3653"/>
      <c r="AV3653"/>
    </row>
    <row r="3654" spans="41:48" x14ac:dyDescent="0.35">
      <c r="AO3654"/>
      <c r="AP3654"/>
      <c r="AQ3654"/>
      <c r="AR3654"/>
      <c r="AS3654"/>
      <c r="AT3654"/>
      <c r="AU3654"/>
      <c r="AV3654"/>
    </row>
    <row r="3655" spans="41:48" x14ac:dyDescent="0.35">
      <c r="AO3655"/>
      <c r="AP3655"/>
      <c r="AQ3655"/>
      <c r="AR3655"/>
      <c r="AS3655"/>
      <c r="AT3655"/>
      <c r="AU3655"/>
      <c r="AV3655"/>
    </row>
    <row r="3656" spans="41:48" x14ac:dyDescent="0.35">
      <c r="AO3656"/>
      <c r="AP3656"/>
      <c r="AQ3656"/>
      <c r="AR3656"/>
      <c r="AS3656"/>
      <c r="AT3656"/>
      <c r="AU3656"/>
      <c r="AV3656"/>
    </row>
    <row r="3657" spans="41:48" x14ac:dyDescent="0.35">
      <c r="AO3657"/>
      <c r="AP3657"/>
      <c r="AQ3657"/>
      <c r="AR3657"/>
      <c r="AS3657"/>
      <c r="AT3657"/>
      <c r="AU3657"/>
      <c r="AV3657"/>
    </row>
    <row r="3658" spans="41:48" x14ac:dyDescent="0.35">
      <c r="AO3658"/>
      <c r="AP3658"/>
      <c r="AQ3658"/>
      <c r="AR3658"/>
      <c r="AS3658"/>
      <c r="AT3658"/>
      <c r="AU3658"/>
      <c r="AV3658"/>
    </row>
    <row r="3659" spans="41:48" x14ac:dyDescent="0.35">
      <c r="AO3659"/>
      <c r="AP3659"/>
      <c r="AQ3659"/>
      <c r="AR3659"/>
      <c r="AS3659"/>
      <c r="AT3659"/>
      <c r="AU3659"/>
      <c r="AV3659"/>
    </row>
    <row r="3660" spans="41:48" x14ac:dyDescent="0.35">
      <c r="AO3660"/>
      <c r="AP3660"/>
      <c r="AQ3660"/>
      <c r="AR3660"/>
      <c r="AS3660"/>
      <c r="AT3660"/>
      <c r="AU3660"/>
      <c r="AV3660"/>
    </row>
    <row r="3661" spans="41:48" x14ac:dyDescent="0.35">
      <c r="AO3661"/>
      <c r="AP3661"/>
      <c r="AQ3661"/>
      <c r="AR3661"/>
      <c r="AS3661"/>
      <c r="AT3661"/>
      <c r="AU3661"/>
      <c r="AV3661"/>
    </row>
    <row r="3662" spans="41:48" x14ac:dyDescent="0.35">
      <c r="AO3662"/>
      <c r="AP3662"/>
      <c r="AQ3662"/>
      <c r="AR3662"/>
      <c r="AS3662"/>
      <c r="AT3662"/>
      <c r="AU3662"/>
      <c r="AV3662"/>
    </row>
    <row r="3663" spans="41:48" x14ac:dyDescent="0.35">
      <c r="AO3663"/>
      <c r="AP3663"/>
      <c r="AQ3663"/>
      <c r="AR3663"/>
      <c r="AS3663"/>
      <c r="AT3663"/>
      <c r="AU3663"/>
      <c r="AV3663"/>
    </row>
    <row r="3664" spans="41:48" x14ac:dyDescent="0.35">
      <c r="AO3664"/>
      <c r="AP3664"/>
      <c r="AQ3664"/>
      <c r="AR3664"/>
      <c r="AS3664"/>
      <c r="AT3664"/>
      <c r="AU3664"/>
      <c r="AV3664"/>
    </row>
    <row r="3665" spans="41:48" x14ac:dyDescent="0.35">
      <c r="AO3665"/>
      <c r="AP3665"/>
      <c r="AQ3665"/>
      <c r="AR3665"/>
      <c r="AS3665"/>
      <c r="AT3665"/>
      <c r="AU3665"/>
      <c r="AV3665"/>
    </row>
    <row r="3666" spans="41:48" x14ac:dyDescent="0.35">
      <c r="AO3666"/>
      <c r="AP3666"/>
      <c r="AQ3666"/>
      <c r="AR3666"/>
      <c r="AS3666"/>
      <c r="AT3666"/>
      <c r="AU3666"/>
      <c r="AV3666"/>
    </row>
    <row r="3667" spans="41:48" x14ac:dyDescent="0.35">
      <c r="AO3667"/>
      <c r="AP3667"/>
      <c r="AQ3667"/>
      <c r="AR3667"/>
      <c r="AS3667"/>
      <c r="AT3667"/>
      <c r="AU3667"/>
      <c r="AV3667"/>
    </row>
    <row r="3668" spans="41:48" x14ac:dyDescent="0.35">
      <c r="AO3668"/>
      <c r="AP3668"/>
      <c r="AQ3668"/>
      <c r="AR3668"/>
      <c r="AS3668"/>
      <c r="AT3668"/>
      <c r="AU3668"/>
      <c r="AV3668"/>
    </row>
    <row r="3669" spans="41:48" x14ac:dyDescent="0.35">
      <c r="AO3669"/>
      <c r="AP3669"/>
      <c r="AQ3669"/>
      <c r="AR3669"/>
      <c r="AS3669"/>
      <c r="AT3669"/>
      <c r="AU3669"/>
      <c r="AV3669"/>
    </row>
    <row r="3670" spans="41:48" x14ac:dyDescent="0.35">
      <c r="AO3670"/>
      <c r="AP3670"/>
      <c r="AQ3670"/>
      <c r="AR3670"/>
      <c r="AS3670"/>
      <c r="AT3670"/>
      <c r="AU3670"/>
      <c r="AV3670"/>
    </row>
    <row r="3671" spans="41:48" x14ac:dyDescent="0.35">
      <c r="AO3671"/>
      <c r="AP3671"/>
      <c r="AQ3671"/>
      <c r="AR3671"/>
      <c r="AS3671"/>
      <c r="AT3671"/>
      <c r="AU3671"/>
      <c r="AV3671"/>
    </row>
    <row r="3672" spans="41:48" x14ac:dyDescent="0.35">
      <c r="AO3672"/>
      <c r="AP3672"/>
      <c r="AQ3672"/>
      <c r="AR3672"/>
      <c r="AS3672"/>
      <c r="AT3672"/>
      <c r="AU3672"/>
      <c r="AV3672"/>
    </row>
    <row r="3673" spans="41:48" x14ac:dyDescent="0.35">
      <c r="AO3673"/>
      <c r="AP3673"/>
      <c r="AQ3673"/>
      <c r="AR3673"/>
      <c r="AS3673"/>
      <c r="AT3673"/>
      <c r="AU3673"/>
      <c r="AV3673"/>
    </row>
    <row r="3674" spans="41:48" x14ac:dyDescent="0.35">
      <c r="AO3674"/>
      <c r="AP3674"/>
      <c r="AQ3674"/>
      <c r="AR3674"/>
      <c r="AS3674"/>
      <c r="AT3674"/>
      <c r="AU3674"/>
      <c r="AV3674"/>
    </row>
    <row r="3675" spans="41:48" x14ac:dyDescent="0.35">
      <c r="AO3675"/>
      <c r="AP3675"/>
      <c r="AQ3675"/>
      <c r="AR3675"/>
      <c r="AS3675"/>
      <c r="AT3675"/>
      <c r="AU3675"/>
      <c r="AV3675"/>
    </row>
    <row r="3676" spans="41:48" x14ac:dyDescent="0.35">
      <c r="AO3676"/>
      <c r="AP3676"/>
      <c r="AQ3676"/>
      <c r="AR3676"/>
      <c r="AS3676"/>
      <c r="AT3676"/>
      <c r="AU3676"/>
      <c r="AV3676"/>
    </row>
    <row r="3677" spans="41:48" x14ac:dyDescent="0.35">
      <c r="AO3677"/>
      <c r="AP3677"/>
      <c r="AQ3677"/>
      <c r="AR3677"/>
      <c r="AS3677"/>
      <c r="AT3677"/>
      <c r="AU3677"/>
      <c r="AV3677"/>
    </row>
    <row r="3678" spans="41:48" x14ac:dyDescent="0.35">
      <c r="AO3678"/>
      <c r="AP3678"/>
      <c r="AQ3678"/>
      <c r="AR3678"/>
      <c r="AS3678"/>
      <c r="AT3678"/>
      <c r="AU3678"/>
      <c r="AV3678"/>
    </row>
    <row r="3679" spans="41:48" x14ac:dyDescent="0.35">
      <c r="AO3679"/>
      <c r="AP3679"/>
      <c r="AQ3679"/>
      <c r="AR3679"/>
      <c r="AS3679"/>
      <c r="AT3679"/>
      <c r="AU3679"/>
      <c r="AV3679"/>
    </row>
    <row r="3680" spans="41:48" x14ac:dyDescent="0.35">
      <c r="AO3680"/>
      <c r="AP3680"/>
      <c r="AQ3680"/>
      <c r="AR3680"/>
      <c r="AS3680"/>
      <c r="AT3680"/>
      <c r="AU3680"/>
      <c r="AV3680"/>
    </row>
    <row r="3681" spans="41:48" x14ac:dyDescent="0.35">
      <c r="AO3681"/>
      <c r="AP3681"/>
      <c r="AQ3681"/>
      <c r="AR3681"/>
      <c r="AS3681"/>
      <c r="AT3681"/>
      <c r="AU3681"/>
      <c r="AV3681"/>
    </row>
    <row r="3682" spans="41:48" x14ac:dyDescent="0.35">
      <c r="AO3682"/>
      <c r="AP3682"/>
      <c r="AQ3682"/>
      <c r="AR3682"/>
      <c r="AS3682"/>
      <c r="AT3682"/>
      <c r="AU3682"/>
      <c r="AV3682"/>
    </row>
    <row r="3683" spans="41:48" x14ac:dyDescent="0.35">
      <c r="AO3683"/>
      <c r="AP3683"/>
      <c r="AQ3683"/>
      <c r="AR3683"/>
      <c r="AS3683"/>
      <c r="AT3683"/>
      <c r="AU3683"/>
      <c r="AV3683"/>
    </row>
    <row r="3684" spans="41:48" x14ac:dyDescent="0.35">
      <c r="AO3684"/>
      <c r="AP3684"/>
      <c r="AQ3684"/>
      <c r="AR3684"/>
      <c r="AS3684"/>
      <c r="AT3684"/>
      <c r="AU3684"/>
      <c r="AV3684"/>
    </row>
    <row r="3685" spans="41:48" x14ac:dyDescent="0.35">
      <c r="AO3685"/>
      <c r="AP3685"/>
      <c r="AQ3685"/>
      <c r="AR3685"/>
      <c r="AS3685"/>
      <c r="AT3685"/>
      <c r="AU3685"/>
      <c r="AV3685"/>
    </row>
    <row r="3686" spans="41:48" x14ac:dyDescent="0.35">
      <c r="AO3686"/>
      <c r="AP3686"/>
      <c r="AQ3686"/>
      <c r="AR3686"/>
      <c r="AS3686"/>
      <c r="AT3686"/>
      <c r="AU3686"/>
      <c r="AV3686"/>
    </row>
    <row r="3687" spans="41:48" x14ac:dyDescent="0.35">
      <c r="AO3687"/>
      <c r="AP3687"/>
      <c r="AQ3687"/>
      <c r="AR3687"/>
      <c r="AS3687"/>
      <c r="AT3687"/>
      <c r="AU3687"/>
      <c r="AV3687"/>
    </row>
    <row r="3688" spans="41:48" x14ac:dyDescent="0.35">
      <c r="AO3688"/>
      <c r="AP3688"/>
      <c r="AQ3688"/>
      <c r="AR3688"/>
      <c r="AS3688"/>
      <c r="AT3688"/>
      <c r="AU3688"/>
      <c r="AV3688"/>
    </row>
    <row r="3689" spans="41:48" x14ac:dyDescent="0.35">
      <c r="AO3689"/>
      <c r="AP3689"/>
      <c r="AQ3689"/>
      <c r="AR3689"/>
      <c r="AS3689"/>
      <c r="AT3689"/>
      <c r="AU3689"/>
      <c r="AV3689"/>
    </row>
    <row r="3690" spans="41:48" x14ac:dyDescent="0.35">
      <c r="AO3690"/>
      <c r="AP3690"/>
      <c r="AQ3690"/>
      <c r="AR3690"/>
      <c r="AS3690"/>
      <c r="AT3690"/>
      <c r="AU3690"/>
      <c r="AV3690"/>
    </row>
    <row r="3691" spans="41:48" x14ac:dyDescent="0.35">
      <c r="AO3691"/>
      <c r="AP3691"/>
      <c r="AQ3691"/>
      <c r="AR3691"/>
      <c r="AS3691"/>
      <c r="AT3691"/>
      <c r="AU3691"/>
      <c r="AV3691"/>
    </row>
    <row r="3692" spans="41:48" x14ac:dyDescent="0.35">
      <c r="AO3692"/>
      <c r="AP3692"/>
      <c r="AQ3692"/>
      <c r="AR3692"/>
      <c r="AS3692"/>
      <c r="AT3692"/>
      <c r="AU3692"/>
      <c r="AV3692"/>
    </row>
    <row r="3693" spans="41:48" x14ac:dyDescent="0.35">
      <c r="AO3693"/>
      <c r="AP3693"/>
      <c r="AQ3693"/>
      <c r="AR3693"/>
      <c r="AS3693"/>
      <c r="AT3693"/>
      <c r="AU3693"/>
      <c r="AV3693"/>
    </row>
    <row r="3694" spans="41:48" x14ac:dyDescent="0.35">
      <c r="AO3694"/>
      <c r="AP3694"/>
      <c r="AQ3694"/>
      <c r="AR3694"/>
      <c r="AS3694"/>
      <c r="AT3694"/>
      <c r="AU3694"/>
      <c r="AV3694"/>
    </row>
    <row r="3695" spans="41:48" x14ac:dyDescent="0.35">
      <c r="AO3695"/>
      <c r="AP3695"/>
      <c r="AQ3695"/>
      <c r="AR3695"/>
      <c r="AS3695"/>
      <c r="AT3695"/>
      <c r="AU3695"/>
      <c r="AV3695"/>
    </row>
    <row r="3696" spans="41:48" x14ac:dyDescent="0.35">
      <c r="AO3696"/>
      <c r="AP3696"/>
      <c r="AQ3696"/>
      <c r="AR3696"/>
      <c r="AS3696"/>
      <c r="AT3696"/>
      <c r="AU3696"/>
      <c r="AV3696"/>
    </row>
    <row r="3697" spans="41:48" x14ac:dyDescent="0.35">
      <c r="AO3697"/>
      <c r="AP3697"/>
      <c r="AQ3697"/>
      <c r="AR3697"/>
      <c r="AS3697"/>
      <c r="AT3697"/>
      <c r="AU3697"/>
      <c r="AV3697"/>
    </row>
    <row r="3698" spans="41:48" x14ac:dyDescent="0.35">
      <c r="AO3698"/>
      <c r="AP3698"/>
      <c r="AQ3698"/>
      <c r="AR3698"/>
      <c r="AS3698"/>
      <c r="AT3698"/>
      <c r="AU3698"/>
      <c r="AV3698"/>
    </row>
    <row r="3699" spans="41:48" x14ac:dyDescent="0.35">
      <c r="AO3699"/>
      <c r="AP3699"/>
      <c r="AQ3699"/>
      <c r="AR3699"/>
      <c r="AS3699"/>
      <c r="AT3699"/>
      <c r="AU3699"/>
      <c r="AV3699"/>
    </row>
    <row r="3700" spans="41:48" x14ac:dyDescent="0.35">
      <c r="AO3700"/>
      <c r="AP3700"/>
      <c r="AQ3700"/>
      <c r="AR3700"/>
      <c r="AS3700"/>
      <c r="AT3700"/>
      <c r="AU3700"/>
      <c r="AV3700"/>
    </row>
    <row r="3701" spans="41:48" x14ac:dyDescent="0.35">
      <c r="AO3701"/>
      <c r="AP3701"/>
      <c r="AQ3701"/>
      <c r="AR3701"/>
      <c r="AS3701"/>
      <c r="AT3701"/>
      <c r="AU3701"/>
      <c r="AV3701"/>
    </row>
    <row r="3702" spans="41:48" x14ac:dyDescent="0.35">
      <c r="AO3702"/>
      <c r="AP3702"/>
      <c r="AQ3702"/>
      <c r="AR3702"/>
      <c r="AS3702"/>
      <c r="AT3702"/>
      <c r="AU3702"/>
      <c r="AV3702"/>
    </row>
    <row r="3703" spans="41:48" x14ac:dyDescent="0.35">
      <c r="AO3703"/>
      <c r="AP3703"/>
      <c r="AQ3703"/>
      <c r="AR3703"/>
      <c r="AS3703"/>
      <c r="AT3703"/>
      <c r="AU3703"/>
      <c r="AV3703"/>
    </row>
    <row r="3704" spans="41:48" x14ac:dyDescent="0.35">
      <c r="AO3704"/>
      <c r="AP3704"/>
      <c r="AQ3704"/>
      <c r="AR3704"/>
      <c r="AS3704"/>
      <c r="AT3704"/>
      <c r="AU3704"/>
      <c r="AV3704"/>
    </row>
    <row r="3705" spans="41:48" x14ac:dyDescent="0.35">
      <c r="AO3705"/>
      <c r="AP3705"/>
      <c r="AQ3705"/>
      <c r="AR3705"/>
      <c r="AS3705"/>
      <c r="AT3705"/>
      <c r="AU3705"/>
      <c r="AV3705"/>
    </row>
    <row r="3706" spans="41:48" x14ac:dyDescent="0.35">
      <c r="AO3706"/>
      <c r="AP3706"/>
      <c r="AQ3706"/>
      <c r="AR3706"/>
      <c r="AS3706"/>
      <c r="AT3706"/>
      <c r="AU3706"/>
      <c r="AV3706"/>
    </row>
    <row r="3707" spans="41:48" x14ac:dyDescent="0.35">
      <c r="AO3707"/>
      <c r="AP3707"/>
      <c r="AQ3707"/>
      <c r="AR3707"/>
      <c r="AS3707"/>
      <c r="AT3707"/>
      <c r="AU3707"/>
      <c r="AV3707"/>
    </row>
    <row r="3708" spans="41:48" x14ac:dyDescent="0.35">
      <c r="AO3708"/>
      <c r="AP3708"/>
      <c r="AQ3708"/>
      <c r="AR3708"/>
      <c r="AS3708"/>
      <c r="AT3708"/>
      <c r="AU3708"/>
      <c r="AV3708"/>
    </row>
    <row r="3709" spans="41:48" x14ac:dyDescent="0.35">
      <c r="AO3709"/>
      <c r="AP3709"/>
      <c r="AQ3709"/>
      <c r="AR3709"/>
      <c r="AS3709"/>
      <c r="AT3709"/>
      <c r="AU3709"/>
      <c r="AV3709"/>
    </row>
    <row r="3710" spans="41:48" x14ac:dyDescent="0.35">
      <c r="AO3710"/>
      <c r="AP3710"/>
      <c r="AQ3710"/>
      <c r="AR3710"/>
      <c r="AS3710"/>
      <c r="AT3710"/>
      <c r="AU3710"/>
      <c r="AV3710"/>
    </row>
    <row r="3711" spans="41:48" x14ac:dyDescent="0.35">
      <c r="AO3711"/>
      <c r="AP3711"/>
      <c r="AQ3711"/>
      <c r="AR3711"/>
      <c r="AS3711"/>
      <c r="AT3711"/>
      <c r="AU3711"/>
      <c r="AV3711"/>
    </row>
    <row r="3712" spans="41:48" x14ac:dyDescent="0.35">
      <c r="AO3712"/>
      <c r="AP3712"/>
      <c r="AQ3712"/>
      <c r="AR3712"/>
      <c r="AS3712"/>
      <c r="AT3712"/>
      <c r="AU3712"/>
      <c r="AV3712"/>
    </row>
    <row r="3713" spans="41:48" x14ac:dyDescent="0.35">
      <c r="AO3713"/>
      <c r="AP3713"/>
      <c r="AQ3713"/>
      <c r="AR3713"/>
      <c r="AS3713"/>
      <c r="AT3713"/>
      <c r="AU3713"/>
      <c r="AV3713"/>
    </row>
    <row r="3714" spans="41:48" x14ac:dyDescent="0.35">
      <c r="AO3714"/>
      <c r="AP3714"/>
      <c r="AQ3714"/>
      <c r="AR3714"/>
      <c r="AS3714"/>
      <c r="AT3714"/>
      <c r="AU3714"/>
      <c r="AV3714"/>
    </row>
    <row r="3715" spans="41:48" x14ac:dyDescent="0.35">
      <c r="AO3715"/>
      <c r="AP3715"/>
      <c r="AQ3715"/>
      <c r="AR3715"/>
      <c r="AS3715"/>
      <c r="AT3715"/>
      <c r="AU3715"/>
      <c r="AV3715"/>
    </row>
    <row r="3716" spans="41:48" x14ac:dyDescent="0.35">
      <c r="AO3716"/>
      <c r="AP3716"/>
      <c r="AQ3716"/>
      <c r="AR3716"/>
      <c r="AS3716"/>
      <c r="AT3716"/>
      <c r="AU3716"/>
      <c r="AV3716"/>
    </row>
    <row r="3717" spans="41:48" x14ac:dyDescent="0.35">
      <c r="AO3717"/>
      <c r="AP3717"/>
      <c r="AQ3717"/>
      <c r="AR3717"/>
      <c r="AS3717"/>
      <c r="AT3717"/>
      <c r="AU3717"/>
      <c r="AV3717"/>
    </row>
    <row r="3718" spans="41:48" x14ac:dyDescent="0.35">
      <c r="AO3718"/>
      <c r="AP3718"/>
      <c r="AQ3718"/>
      <c r="AR3718"/>
      <c r="AS3718"/>
      <c r="AT3718"/>
      <c r="AU3718"/>
      <c r="AV3718"/>
    </row>
    <row r="3719" spans="41:48" x14ac:dyDescent="0.35">
      <c r="AO3719"/>
      <c r="AP3719"/>
      <c r="AQ3719"/>
      <c r="AR3719"/>
      <c r="AS3719"/>
      <c r="AT3719"/>
      <c r="AU3719"/>
      <c r="AV3719"/>
    </row>
    <row r="3720" spans="41:48" x14ac:dyDescent="0.35">
      <c r="AO3720"/>
      <c r="AP3720"/>
      <c r="AQ3720"/>
      <c r="AR3720"/>
      <c r="AS3720"/>
      <c r="AT3720"/>
      <c r="AU3720"/>
      <c r="AV3720"/>
    </row>
    <row r="3721" spans="41:48" x14ac:dyDescent="0.35">
      <c r="AO3721"/>
      <c r="AP3721"/>
      <c r="AQ3721"/>
      <c r="AR3721"/>
      <c r="AS3721"/>
      <c r="AT3721"/>
      <c r="AU3721"/>
      <c r="AV3721"/>
    </row>
    <row r="3722" spans="41:48" x14ac:dyDescent="0.35">
      <c r="AO3722"/>
      <c r="AP3722"/>
      <c r="AQ3722"/>
      <c r="AR3722"/>
      <c r="AS3722"/>
      <c r="AT3722"/>
      <c r="AU3722"/>
      <c r="AV3722"/>
    </row>
    <row r="3723" spans="41:48" x14ac:dyDescent="0.35">
      <c r="AO3723"/>
      <c r="AP3723"/>
      <c r="AQ3723"/>
      <c r="AR3723"/>
      <c r="AS3723"/>
      <c r="AT3723"/>
      <c r="AU3723"/>
      <c r="AV3723"/>
    </row>
    <row r="3724" spans="41:48" x14ac:dyDescent="0.35">
      <c r="AO3724"/>
      <c r="AP3724"/>
      <c r="AQ3724"/>
      <c r="AR3724"/>
      <c r="AS3724"/>
      <c r="AT3724"/>
      <c r="AU3724"/>
      <c r="AV3724"/>
    </row>
    <row r="3725" spans="41:48" x14ac:dyDescent="0.35">
      <c r="AO3725"/>
      <c r="AP3725"/>
      <c r="AQ3725"/>
      <c r="AR3725"/>
      <c r="AS3725"/>
      <c r="AT3725"/>
      <c r="AU3725"/>
      <c r="AV3725"/>
    </row>
    <row r="3726" spans="41:48" x14ac:dyDescent="0.35">
      <c r="AO3726"/>
      <c r="AP3726"/>
      <c r="AQ3726"/>
      <c r="AR3726"/>
      <c r="AS3726"/>
      <c r="AT3726"/>
      <c r="AU3726"/>
      <c r="AV3726"/>
    </row>
    <row r="3727" spans="41:48" x14ac:dyDescent="0.35">
      <c r="AO3727"/>
      <c r="AP3727"/>
      <c r="AQ3727"/>
      <c r="AR3727"/>
      <c r="AS3727"/>
      <c r="AT3727"/>
      <c r="AU3727"/>
      <c r="AV3727"/>
    </row>
    <row r="3728" spans="41:48" x14ac:dyDescent="0.35">
      <c r="AO3728"/>
      <c r="AP3728"/>
      <c r="AQ3728"/>
      <c r="AR3728"/>
      <c r="AS3728"/>
      <c r="AT3728"/>
      <c r="AU3728"/>
      <c r="AV3728"/>
    </row>
    <row r="3729" spans="41:48" x14ac:dyDescent="0.35">
      <c r="AO3729"/>
      <c r="AP3729"/>
      <c r="AQ3729"/>
      <c r="AR3729"/>
      <c r="AS3729"/>
      <c r="AT3729"/>
      <c r="AU3729"/>
      <c r="AV3729"/>
    </row>
    <row r="3730" spans="41:48" x14ac:dyDescent="0.35">
      <c r="AO3730"/>
      <c r="AP3730"/>
      <c r="AQ3730"/>
      <c r="AR3730"/>
      <c r="AS3730"/>
      <c r="AT3730"/>
      <c r="AU3730"/>
      <c r="AV3730"/>
    </row>
    <row r="3731" spans="41:48" x14ac:dyDescent="0.35">
      <c r="AO3731"/>
      <c r="AP3731"/>
      <c r="AQ3731"/>
      <c r="AR3731"/>
      <c r="AS3731"/>
      <c r="AT3731"/>
      <c r="AU3731"/>
      <c r="AV3731"/>
    </row>
    <row r="3732" spans="41:48" x14ac:dyDescent="0.35">
      <c r="AO3732"/>
      <c r="AP3732"/>
      <c r="AQ3732"/>
      <c r="AR3732"/>
      <c r="AS3732"/>
      <c r="AT3732"/>
      <c r="AU3732"/>
      <c r="AV3732"/>
    </row>
    <row r="3733" spans="41:48" x14ac:dyDescent="0.35">
      <c r="AO3733"/>
      <c r="AP3733"/>
      <c r="AQ3733"/>
      <c r="AR3733"/>
      <c r="AS3733"/>
      <c r="AT3733"/>
      <c r="AU3733"/>
      <c r="AV3733"/>
    </row>
    <row r="3734" spans="41:48" x14ac:dyDescent="0.35">
      <c r="AO3734"/>
      <c r="AP3734"/>
      <c r="AQ3734"/>
      <c r="AR3734"/>
      <c r="AS3734"/>
      <c r="AT3734"/>
      <c r="AU3734"/>
      <c r="AV3734"/>
    </row>
    <row r="3735" spans="41:48" x14ac:dyDescent="0.35">
      <c r="AO3735"/>
      <c r="AP3735"/>
      <c r="AQ3735"/>
      <c r="AR3735"/>
      <c r="AS3735"/>
      <c r="AT3735"/>
      <c r="AU3735"/>
      <c r="AV3735"/>
    </row>
    <row r="3736" spans="41:48" x14ac:dyDescent="0.35">
      <c r="AO3736"/>
      <c r="AP3736"/>
      <c r="AQ3736"/>
      <c r="AR3736"/>
      <c r="AS3736"/>
      <c r="AT3736"/>
      <c r="AU3736"/>
      <c r="AV3736"/>
    </row>
    <row r="3737" spans="41:48" x14ac:dyDescent="0.35">
      <c r="AO3737"/>
      <c r="AP3737"/>
      <c r="AQ3737"/>
      <c r="AR3737"/>
      <c r="AS3737"/>
      <c r="AT3737"/>
      <c r="AU3737"/>
      <c r="AV3737"/>
    </row>
    <row r="3738" spans="41:48" x14ac:dyDescent="0.35">
      <c r="AO3738"/>
      <c r="AP3738"/>
      <c r="AQ3738"/>
      <c r="AR3738"/>
      <c r="AS3738"/>
      <c r="AT3738"/>
      <c r="AU3738"/>
      <c r="AV3738"/>
    </row>
    <row r="3739" spans="41:48" x14ac:dyDescent="0.35">
      <c r="AO3739"/>
      <c r="AP3739"/>
      <c r="AQ3739"/>
      <c r="AR3739"/>
      <c r="AS3739"/>
      <c r="AT3739"/>
      <c r="AU3739"/>
      <c r="AV3739"/>
    </row>
    <row r="3740" spans="41:48" x14ac:dyDescent="0.35">
      <c r="AO3740"/>
      <c r="AP3740"/>
      <c r="AQ3740"/>
      <c r="AR3740"/>
      <c r="AS3740"/>
      <c r="AT3740"/>
      <c r="AU3740"/>
      <c r="AV3740"/>
    </row>
    <row r="3741" spans="41:48" x14ac:dyDescent="0.35">
      <c r="AO3741"/>
      <c r="AP3741"/>
      <c r="AQ3741"/>
      <c r="AR3741"/>
      <c r="AS3741"/>
      <c r="AT3741"/>
      <c r="AU3741"/>
      <c r="AV3741"/>
    </row>
    <row r="3742" spans="41:48" x14ac:dyDescent="0.35">
      <c r="AO3742"/>
      <c r="AP3742"/>
      <c r="AQ3742"/>
      <c r="AR3742"/>
      <c r="AS3742"/>
      <c r="AT3742"/>
      <c r="AU3742"/>
      <c r="AV3742"/>
    </row>
    <row r="3743" spans="41:48" x14ac:dyDescent="0.35">
      <c r="AO3743"/>
      <c r="AP3743"/>
      <c r="AQ3743"/>
      <c r="AR3743"/>
      <c r="AS3743"/>
      <c r="AT3743"/>
      <c r="AU3743"/>
      <c r="AV3743"/>
    </row>
    <row r="3744" spans="41:48" x14ac:dyDescent="0.35">
      <c r="AO3744"/>
      <c r="AP3744"/>
      <c r="AQ3744"/>
      <c r="AR3744"/>
      <c r="AS3744"/>
      <c r="AT3744"/>
      <c r="AU3744"/>
      <c r="AV3744"/>
    </row>
    <row r="3745" spans="41:48" x14ac:dyDescent="0.35">
      <c r="AO3745"/>
      <c r="AP3745"/>
      <c r="AQ3745"/>
      <c r="AR3745"/>
      <c r="AS3745"/>
      <c r="AT3745"/>
      <c r="AU3745"/>
      <c r="AV3745"/>
    </row>
    <row r="3746" spans="41:48" x14ac:dyDescent="0.35">
      <c r="AO3746"/>
      <c r="AP3746"/>
      <c r="AQ3746"/>
      <c r="AR3746"/>
      <c r="AS3746"/>
      <c r="AT3746"/>
      <c r="AU3746"/>
      <c r="AV3746"/>
    </row>
    <row r="3747" spans="41:48" x14ac:dyDescent="0.35">
      <c r="AO3747"/>
      <c r="AP3747"/>
      <c r="AQ3747"/>
      <c r="AR3747"/>
      <c r="AS3747"/>
      <c r="AT3747"/>
      <c r="AU3747"/>
      <c r="AV3747"/>
    </row>
    <row r="3748" spans="41:48" x14ac:dyDescent="0.35">
      <c r="AO3748"/>
      <c r="AP3748"/>
      <c r="AQ3748"/>
      <c r="AR3748"/>
      <c r="AS3748"/>
      <c r="AT3748"/>
      <c r="AU3748"/>
      <c r="AV3748"/>
    </row>
    <row r="3749" spans="41:48" x14ac:dyDescent="0.35">
      <c r="AO3749"/>
      <c r="AP3749"/>
      <c r="AQ3749"/>
      <c r="AR3749"/>
      <c r="AS3749"/>
      <c r="AT3749"/>
      <c r="AU3749"/>
      <c r="AV3749"/>
    </row>
    <row r="3750" spans="41:48" x14ac:dyDescent="0.35">
      <c r="AO3750"/>
      <c r="AP3750"/>
      <c r="AQ3750"/>
      <c r="AR3750"/>
      <c r="AS3750"/>
      <c r="AT3750"/>
      <c r="AU3750"/>
      <c r="AV3750"/>
    </row>
    <row r="3751" spans="41:48" x14ac:dyDescent="0.35">
      <c r="AO3751"/>
      <c r="AP3751"/>
      <c r="AQ3751"/>
      <c r="AR3751"/>
      <c r="AS3751"/>
      <c r="AT3751"/>
      <c r="AU3751"/>
      <c r="AV3751"/>
    </row>
    <row r="3752" spans="41:48" x14ac:dyDescent="0.35">
      <c r="AO3752"/>
      <c r="AP3752"/>
      <c r="AQ3752"/>
      <c r="AR3752"/>
      <c r="AS3752"/>
      <c r="AT3752"/>
      <c r="AU3752"/>
      <c r="AV3752"/>
    </row>
    <row r="3753" spans="41:48" x14ac:dyDescent="0.35">
      <c r="AO3753"/>
      <c r="AP3753"/>
      <c r="AQ3753"/>
      <c r="AR3753"/>
      <c r="AS3753"/>
      <c r="AT3753"/>
      <c r="AU3753"/>
      <c r="AV3753"/>
    </row>
    <row r="3754" spans="41:48" x14ac:dyDescent="0.35">
      <c r="AO3754"/>
      <c r="AP3754"/>
      <c r="AQ3754"/>
      <c r="AR3754"/>
      <c r="AS3754"/>
      <c r="AT3754"/>
      <c r="AU3754"/>
      <c r="AV3754"/>
    </row>
    <row r="3755" spans="41:48" x14ac:dyDescent="0.35">
      <c r="AO3755"/>
      <c r="AP3755"/>
      <c r="AQ3755"/>
      <c r="AR3755"/>
      <c r="AS3755"/>
      <c r="AT3755"/>
      <c r="AU3755"/>
      <c r="AV3755"/>
    </row>
    <row r="3756" spans="41:48" x14ac:dyDescent="0.35">
      <c r="AO3756"/>
      <c r="AP3756"/>
      <c r="AQ3756"/>
      <c r="AR3756"/>
      <c r="AS3756"/>
      <c r="AT3756"/>
      <c r="AU3756"/>
      <c r="AV3756"/>
    </row>
    <row r="3757" spans="41:48" x14ac:dyDescent="0.35">
      <c r="AO3757"/>
      <c r="AP3757"/>
      <c r="AQ3757"/>
      <c r="AR3757"/>
      <c r="AS3757"/>
      <c r="AT3757"/>
      <c r="AU3757"/>
      <c r="AV3757"/>
    </row>
    <row r="3758" spans="41:48" x14ac:dyDescent="0.35">
      <c r="AO3758"/>
      <c r="AP3758"/>
      <c r="AQ3758"/>
      <c r="AR3758"/>
      <c r="AS3758"/>
      <c r="AT3758"/>
      <c r="AU3758"/>
      <c r="AV3758"/>
    </row>
    <row r="3759" spans="41:48" x14ac:dyDescent="0.35">
      <c r="AO3759"/>
      <c r="AP3759"/>
      <c r="AQ3759"/>
      <c r="AR3759"/>
      <c r="AS3759"/>
      <c r="AT3759"/>
      <c r="AU3759"/>
      <c r="AV3759"/>
    </row>
    <row r="3760" spans="41:48" x14ac:dyDescent="0.35">
      <c r="AO3760"/>
      <c r="AP3760"/>
      <c r="AQ3760"/>
      <c r="AR3760"/>
      <c r="AS3760"/>
      <c r="AT3760"/>
      <c r="AU3760"/>
      <c r="AV3760"/>
    </row>
    <row r="3761" spans="41:48" x14ac:dyDescent="0.35">
      <c r="AO3761"/>
      <c r="AP3761"/>
      <c r="AQ3761"/>
      <c r="AR3761"/>
      <c r="AS3761"/>
      <c r="AT3761"/>
      <c r="AU3761"/>
      <c r="AV3761"/>
    </row>
    <row r="3762" spans="41:48" x14ac:dyDescent="0.35">
      <c r="AO3762"/>
      <c r="AP3762"/>
      <c r="AQ3762"/>
      <c r="AR3762"/>
      <c r="AS3762"/>
      <c r="AT3762"/>
      <c r="AU3762"/>
      <c r="AV3762"/>
    </row>
    <row r="3763" spans="41:48" x14ac:dyDescent="0.35">
      <c r="AO3763"/>
      <c r="AP3763"/>
      <c r="AQ3763"/>
      <c r="AR3763"/>
      <c r="AS3763"/>
      <c r="AT3763"/>
      <c r="AU3763"/>
      <c r="AV3763"/>
    </row>
    <row r="3764" spans="41:48" x14ac:dyDescent="0.35">
      <c r="AO3764"/>
      <c r="AP3764"/>
      <c r="AQ3764"/>
      <c r="AR3764"/>
      <c r="AS3764"/>
      <c r="AT3764"/>
      <c r="AU3764"/>
      <c r="AV3764"/>
    </row>
    <row r="3765" spans="41:48" x14ac:dyDescent="0.35">
      <c r="AO3765"/>
      <c r="AP3765"/>
      <c r="AQ3765"/>
      <c r="AR3765"/>
      <c r="AS3765"/>
      <c r="AT3765"/>
      <c r="AU3765"/>
      <c r="AV3765"/>
    </row>
    <row r="3766" spans="41:48" x14ac:dyDescent="0.35">
      <c r="AO3766"/>
      <c r="AP3766"/>
      <c r="AQ3766"/>
      <c r="AR3766"/>
      <c r="AS3766"/>
      <c r="AT3766"/>
      <c r="AU3766"/>
      <c r="AV3766"/>
    </row>
    <row r="3767" spans="41:48" x14ac:dyDescent="0.35">
      <c r="AO3767"/>
      <c r="AP3767"/>
      <c r="AQ3767"/>
      <c r="AR3767"/>
      <c r="AS3767"/>
      <c r="AT3767"/>
      <c r="AU3767"/>
      <c r="AV3767"/>
    </row>
    <row r="3768" spans="41:48" x14ac:dyDescent="0.35">
      <c r="AO3768"/>
      <c r="AP3768"/>
      <c r="AQ3768"/>
      <c r="AR3768"/>
      <c r="AS3768"/>
      <c r="AT3768"/>
      <c r="AU3768"/>
      <c r="AV3768"/>
    </row>
    <row r="3769" spans="41:48" x14ac:dyDescent="0.35">
      <c r="AO3769"/>
      <c r="AP3769"/>
      <c r="AQ3769"/>
      <c r="AR3769"/>
      <c r="AS3769"/>
      <c r="AT3769"/>
      <c r="AU3769"/>
      <c r="AV3769"/>
    </row>
    <row r="3770" spans="41:48" x14ac:dyDescent="0.35">
      <c r="AO3770"/>
      <c r="AP3770"/>
      <c r="AQ3770"/>
      <c r="AR3770"/>
      <c r="AS3770"/>
      <c r="AT3770"/>
      <c r="AU3770"/>
      <c r="AV3770"/>
    </row>
    <row r="3771" spans="41:48" x14ac:dyDescent="0.35">
      <c r="AO3771"/>
      <c r="AP3771"/>
      <c r="AQ3771"/>
      <c r="AR3771"/>
      <c r="AS3771"/>
      <c r="AT3771"/>
      <c r="AU3771"/>
      <c r="AV3771"/>
    </row>
    <row r="3772" spans="41:48" x14ac:dyDescent="0.35">
      <c r="AO3772"/>
      <c r="AP3772"/>
      <c r="AQ3772"/>
      <c r="AR3772"/>
      <c r="AS3772"/>
      <c r="AT3772"/>
      <c r="AU3772"/>
      <c r="AV3772"/>
    </row>
    <row r="3773" spans="41:48" x14ac:dyDescent="0.35">
      <c r="AO3773"/>
      <c r="AP3773"/>
      <c r="AQ3773"/>
      <c r="AR3773"/>
      <c r="AS3773"/>
      <c r="AT3773"/>
      <c r="AU3773"/>
      <c r="AV3773"/>
    </row>
    <row r="3774" spans="41:48" x14ac:dyDescent="0.35">
      <c r="AO3774"/>
      <c r="AP3774"/>
      <c r="AQ3774"/>
      <c r="AR3774"/>
      <c r="AS3774"/>
      <c r="AT3774"/>
      <c r="AU3774"/>
      <c r="AV3774"/>
    </row>
    <row r="3775" spans="41:48" x14ac:dyDescent="0.35">
      <c r="AO3775"/>
      <c r="AP3775"/>
      <c r="AQ3775"/>
      <c r="AR3775"/>
      <c r="AS3775"/>
      <c r="AT3775"/>
      <c r="AU3775"/>
      <c r="AV3775"/>
    </row>
    <row r="3776" spans="41:48" x14ac:dyDescent="0.35">
      <c r="AO3776"/>
      <c r="AP3776"/>
      <c r="AQ3776"/>
      <c r="AR3776"/>
      <c r="AS3776"/>
      <c r="AT3776"/>
      <c r="AU3776"/>
      <c r="AV3776"/>
    </row>
    <row r="3777" spans="41:48" x14ac:dyDescent="0.35">
      <c r="AO3777"/>
      <c r="AP3777"/>
      <c r="AQ3777"/>
      <c r="AR3777"/>
      <c r="AS3777"/>
      <c r="AT3777"/>
      <c r="AU3777"/>
      <c r="AV3777"/>
    </row>
    <row r="3778" spans="41:48" x14ac:dyDescent="0.35">
      <c r="AO3778"/>
      <c r="AP3778"/>
      <c r="AQ3778"/>
      <c r="AR3778"/>
      <c r="AS3778"/>
      <c r="AT3778"/>
      <c r="AU3778"/>
      <c r="AV3778"/>
    </row>
    <row r="3779" spans="41:48" x14ac:dyDescent="0.35">
      <c r="AO3779"/>
      <c r="AP3779"/>
      <c r="AQ3779"/>
      <c r="AR3779"/>
      <c r="AS3779"/>
      <c r="AT3779"/>
      <c r="AU3779"/>
      <c r="AV3779"/>
    </row>
    <row r="3780" spans="41:48" x14ac:dyDescent="0.35">
      <c r="AO3780"/>
      <c r="AP3780"/>
      <c r="AQ3780"/>
      <c r="AR3780"/>
      <c r="AS3780"/>
      <c r="AT3780"/>
      <c r="AU3780"/>
      <c r="AV3780"/>
    </row>
    <row r="3781" spans="41:48" x14ac:dyDescent="0.35">
      <c r="AO3781"/>
      <c r="AP3781"/>
      <c r="AQ3781"/>
      <c r="AR3781"/>
      <c r="AS3781"/>
      <c r="AT3781"/>
      <c r="AU3781"/>
      <c r="AV3781"/>
    </row>
    <row r="3782" spans="41:48" x14ac:dyDescent="0.35">
      <c r="AO3782"/>
      <c r="AP3782"/>
      <c r="AQ3782"/>
      <c r="AR3782"/>
      <c r="AS3782"/>
      <c r="AT3782"/>
      <c r="AU3782"/>
      <c r="AV3782"/>
    </row>
    <row r="3783" spans="41:48" x14ac:dyDescent="0.35">
      <c r="AO3783"/>
      <c r="AP3783"/>
      <c r="AQ3783"/>
      <c r="AR3783"/>
      <c r="AS3783"/>
      <c r="AT3783"/>
      <c r="AU3783"/>
      <c r="AV3783"/>
    </row>
    <row r="3784" spans="41:48" x14ac:dyDescent="0.35">
      <c r="AO3784"/>
      <c r="AP3784"/>
      <c r="AQ3784"/>
      <c r="AR3784"/>
      <c r="AS3784"/>
      <c r="AT3784"/>
      <c r="AU3784"/>
      <c r="AV3784"/>
    </row>
    <row r="3785" spans="41:48" x14ac:dyDescent="0.35">
      <c r="AO3785"/>
      <c r="AP3785"/>
      <c r="AQ3785"/>
      <c r="AR3785"/>
      <c r="AS3785"/>
      <c r="AT3785"/>
      <c r="AU3785"/>
      <c r="AV3785"/>
    </row>
    <row r="3786" spans="41:48" x14ac:dyDescent="0.35">
      <c r="AO3786"/>
      <c r="AP3786"/>
      <c r="AQ3786"/>
      <c r="AR3786"/>
      <c r="AS3786"/>
      <c r="AT3786"/>
      <c r="AU3786"/>
      <c r="AV3786"/>
    </row>
    <row r="3787" spans="41:48" x14ac:dyDescent="0.35">
      <c r="AO3787"/>
      <c r="AP3787"/>
      <c r="AQ3787"/>
      <c r="AR3787"/>
      <c r="AS3787"/>
      <c r="AT3787"/>
      <c r="AU3787"/>
      <c r="AV3787"/>
    </row>
    <row r="3788" spans="41:48" x14ac:dyDescent="0.35">
      <c r="AO3788"/>
      <c r="AP3788"/>
      <c r="AQ3788"/>
      <c r="AR3788"/>
      <c r="AS3788"/>
      <c r="AT3788"/>
      <c r="AU3788"/>
      <c r="AV3788"/>
    </row>
    <row r="3789" spans="41:48" x14ac:dyDescent="0.35">
      <c r="AO3789"/>
      <c r="AP3789"/>
      <c r="AQ3789"/>
      <c r="AR3789"/>
      <c r="AS3789"/>
      <c r="AT3789"/>
      <c r="AU3789"/>
      <c r="AV3789"/>
    </row>
    <row r="3790" spans="41:48" x14ac:dyDescent="0.35">
      <c r="AO3790"/>
      <c r="AP3790"/>
      <c r="AQ3790"/>
      <c r="AR3790"/>
      <c r="AS3790"/>
      <c r="AT3790"/>
      <c r="AU3790"/>
      <c r="AV3790"/>
    </row>
    <row r="3791" spans="41:48" x14ac:dyDescent="0.35">
      <c r="AO3791"/>
      <c r="AP3791"/>
      <c r="AQ3791"/>
      <c r="AR3791"/>
      <c r="AS3791"/>
      <c r="AT3791"/>
      <c r="AU3791"/>
      <c r="AV3791"/>
    </row>
    <row r="3792" spans="41:48" x14ac:dyDescent="0.35">
      <c r="AO3792"/>
      <c r="AP3792"/>
      <c r="AQ3792"/>
      <c r="AR3792"/>
      <c r="AS3792"/>
      <c r="AT3792"/>
      <c r="AU3792"/>
      <c r="AV3792"/>
    </row>
    <row r="3793" spans="41:48" x14ac:dyDescent="0.35">
      <c r="AO3793"/>
      <c r="AP3793"/>
      <c r="AQ3793"/>
      <c r="AR3793"/>
      <c r="AS3793"/>
      <c r="AT3793"/>
      <c r="AU3793"/>
      <c r="AV3793"/>
    </row>
    <row r="3794" spans="41:48" x14ac:dyDescent="0.35">
      <c r="AO3794"/>
      <c r="AP3794"/>
      <c r="AQ3794"/>
      <c r="AR3794"/>
      <c r="AS3794"/>
      <c r="AT3794"/>
      <c r="AU3794"/>
      <c r="AV3794"/>
    </row>
    <row r="3795" spans="41:48" x14ac:dyDescent="0.35">
      <c r="AO3795"/>
      <c r="AP3795"/>
      <c r="AQ3795"/>
      <c r="AR3795"/>
      <c r="AS3795"/>
      <c r="AT3795"/>
      <c r="AU3795"/>
      <c r="AV3795"/>
    </row>
    <row r="3796" spans="41:48" x14ac:dyDescent="0.35">
      <c r="AO3796"/>
      <c r="AP3796"/>
      <c r="AQ3796"/>
      <c r="AR3796"/>
      <c r="AS3796"/>
      <c r="AT3796"/>
      <c r="AU3796"/>
      <c r="AV3796"/>
    </row>
    <row r="3797" spans="41:48" x14ac:dyDescent="0.35">
      <c r="AO3797"/>
      <c r="AP3797"/>
      <c r="AQ3797"/>
      <c r="AR3797"/>
      <c r="AS3797"/>
      <c r="AT3797"/>
      <c r="AU3797"/>
      <c r="AV3797"/>
    </row>
    <row r="3798" spans="41:48" x14ac:dyDescent="0.35">
      <c r="AO3798"/>
      <c r="AP3798"/>
      <c r="AQ3798"/>
      <c r="AR3798"/>
      <c r="AS3798"/>
      <c r="AT3798"/>
      <c r="AU3798"/>
      <c r="AV3798"/>
    </row>
    <row r="3799" spans="41:48" x14ac:dyDescent="0.35">
      <c r="AO3799"/>
      <c r="AP3799"/>
      <c r="AQ3799"/>
      <c r="AR3799"/>
      <c r="AS3799"/>
      <c r="AT3799"/>
      <c r="AU3799"/>
      <c r="AV3799"/>
    </row>
    <row r="3800" spans="41:48" x14ac:dyDescent="0.35">
      <c r="AO3800"/>
      <c r="AP3800"/>
      <c r="AQ3800"/>
      <c r="AR3800"/>
      <c r="AS3800"/>
      <c r="AT3800"/>
      <c r="AU3800"/>
      <c r="AV3800"/>
    </row>
    <row r="3801" spans="41:48" x14ac:dyDescent="0.35">
      <c r="AO3801"/>
      <c r="AP3801"/>
      <c r="AQ3801"/>
      <c r="AR3801"/>
      <c r="AS3801"/>
      <c r="AT3801"/>
      <c r="AU3801"/>
      <c r="AV3801"/>
    </row>
    <row r="3802" spans="41:48" x14ac:dyDescent="0.35">
      <c r="AO3802"/>
      <c r="AP3802"/>
      <c r="AQ3802"/>
      <c r="AR3802"/>
      <c r="AS3802"/>
      <c r="AT3802"/>
      <c r="AU3802"/>
      <c r="AV3802"/>
    </row>
    <row r="3803" spans="41:48" x14ac:dyDescent="0.35">
      <c r="AO3803"/>
      <c r="AP3803"/>
      <c r="AQ3803"/>
      <c r="AR3803"/>
      <c r="AS3803"/>
      <c r="AT3803"/>
      <c r="AU3803"/>
      <c r="AV3803"/>
    </row>
    <row r="3804" spans="41:48" x14ac:dyDescent="0.35">
      <c r="AO3804"/>
      <c r="AP3804"/>
      <c r="AQ3804"/>
      <c r="AR3804"/>
      <c r="AS3804"/>
      <c r="AT3804"/>
      <c r="AU3804"/>
      <c r="AV3804"/>
    </row>
    <row r="3805" spans="41:48" x14ac:dyDescent="0.35">
      <c r="AO3805"/>
      <c r="AP3805"/>
      <c r="AQ3805"/>
      <c r="AR3805"/>
      <c r="AS3805"/>
      <c r="AT3805"/>
      <c r="AU3805"/>
      <c r="AV3805"/>
    </row>
    <row r="3806" spans="41:48" x14ac:dyDescent="0.35">
      <c r="AO3806"/>
      <c r="AP3806"/>
      <c r="AQ3806"/>
      <c r="AR3806"/>
      <c r="AS3806"/>
      <c r="AT3806"/>
      <c r="AU3806"/>
      <c r="AV3806"/>
    </row>
    <row r="3807" spans="41:48" x14ac:dyDescent="0.35">
      <c r="AO3807"/>
      <c r="AP3807"/>
      <c r="AQ3807"/>
      <c r="AR3807"/>
      <c r="AS3807"/>
      <c r="AT3807"/>
      <c r="AU3807"/>
      <c r="AV3807"/>
    </row>
    <row r="3808" spans="41:48" x14ac:dyDescent="0.35">
      <c r="AO3808"/>
      <c r="AP3808"/>
      <c r="AQ3808"/>
      <c r="AR3808"/>
      <c r="AS3808"/>
      <c r="AT3808"/>
      <c r="AU3808"/>
      <c r="AV3808"/>
    </row>
    <row r="3809" spans="41:48" x14ac:dyDescent="0.35">
      <c r="AO3809"/>
      <c r="AP3809"/>
      <c r="AQ3809"/>
      <c r="AR3809"/>
      <c r="AS3809"/>
      <c r="AT3809"/>
      <c r="AU3809"/>
      <c r="AV3809"/>
    </row>
    <row r="3810" spans="41:48" x14ac:dyDescent="0.35">
      <c r="AO3810"/>
      <c r="AP3810"/>
      <c r="AQ3810"/>
      <c r="AR3810"/>
      <c r="AS3810"/>
      <c r="AT3810"/>
      <c r="AU3810"/>
      <c r="AV3810"/>
    </row>
    <row r="3811" spans="41:48" x14ac:dyDescent="0.35">
      <c r="AO3811"/>
      <c r="AP3811"/>
      <c r="AQ3811"/>
      <c r="AR3811"/>
      <c r="AS3811"/>
      <c r="AT3811"/>
      <c r="AU3811"/>
      <c r="AV3811"/>
    </row>
    <row r="3812" spans="41:48" x14ac:dyDescent="0.35">
      <c r="AO3812"/>
      <c r="AP3812"/>
      <c r="AQ3812"/>
      <c r="AR3812"/>
      <c r="AS3812"/>
      <c r="AT3812"/>
      <c r="AU3812"/>
      <c r="AV3812"/>
    </row>
    <row r="3813" spans="41:48" x14ac:dyDescent="0.35">
      <c r="AO3813"/>
      <c r="AP3813"/>
      <c r="AQ3813"/>
      <c r="AR3813"/>
      <c r="AS3813"/>
      <c r="AT3813"/>
      <c r="AU3813"/>
      <c r="AV3813"/>
    </row>
    <row r="3814" spans="41:48" x14ac:dyDescent="0.35">
      <c r="AO3814"/>
      <c r="AP3814"/>
      <c r="AQ3814"/>
      <c r="AR3814"/>
      <c r="AS3814"/>
      <c r="AT3814"/>
      <c r="AU3814"/>
      <c r="AV3814"/>
    </row>
    <row r="3815" spans="41:48" x14ac:dyDescent="0.35">
      <c r="AO3815"/>
      <c r="AP3815"/>
      <c r="AQ3815"/>
      <c r="AR3815"/>
      <c r="AS3815"/>
      <c r="AT3815"/>
      <c r="AU3815"/>
      <c r="AV3815"/>
    </row>
    <row r="3816" spans="41:48" x14ac:dyDescent="0.35">
      <c r="AO3816"/>
      <c r="AP3816"/>
      <c r="AQ3816"/>
      <c r="AR3816"/>
      <c r="AS3816"/>
      <c r="AT3816"/>
      <c r="AU3816"/>
      <c r="AV3816"/>
    </row>
    <row r="3817" spans="41:48" x14ac:dyDescent="0.35">
      <c r="AO3817"/>
      <c r="AP3817"/>
      <c r="AQ3817"/>
      <c r="AR3817"/>
      <c r="AS3817"/>
      <c r="AT3817"/>
      <c r="AU3817"/>
      <c r="AV3817"/>
    </row>
    <row r="3818" spans="41:48" x14ac:dyDescent="0.35">
      <c r="AO3818"/>
      <c r="AP3818"/>
      <c r="AQ3818"/>
      <c r="AR3818"/>
      <c r="AS3818"/>
      <c r="AT3818"/>
      <c r="AU3818"/>
      <c r="AV3818"/>
    </row>
    <row r="3819" spans="41:48" x14ac:dyDescent="0.35">
      <c r="AO3819"/>
      <c r="AP3819"/>
      <c r="AQ3819"/>
      <c r="AR3819"/>
      <c r="AS3819"/>
      <c r="AT3819"/>
      <c r="AU3819"/>
      <c r="AV3819"/>
    </row>
    <row r="3820" spans="41:48" x14ac:dyDescent="0.35">
      <c r="AO3820"/>
      <c r="AP3820"/>
      <c r="AQ3820"/>
      <c r="AR3820"/>
      <c r="AS3820"/>
      <c r="AT3820"/>
      <c r="AU3820"/>
      <c r="AV3820"/>
    </row>
    <row r="3821" spans="41:48" x14ac:dyDescent="0.35">
      <c r="AO3821"/>
      <c r="AP3821"/>
      <c r="AQ3821"/>
      <c r="AR3821"/>
      <c r="AS3821"/>
      <c r="AT3821"/>
      <c r="AU3821"/>
      <c r="AV3821"/>
    </row>
    <row r="3822" spans="41:48" x14ac:dyDescent="0.35">
      <c r="AO3822"/>
      <c r="AP3822"/>
      <c r="AQ3822"/>
      <c r="AR3822"/>
      <c r="AS3822"/>
      <c r="AT3822"/>
      <c r="AU3822"/>
      <c r="AV3822"/>
    </row>
    <row r="3823" spans="41:48" x14ac:dyDescent="0.35">
      <c r="AO3823"/>
      <c r="AP3823"/>
      <c r="AQ3823"/>
      <c r="AR3823"/>
      <c r="AS3823"/>
      <c r="AT3823"/>
      <c r="AU3823"/>
      <c r="AV3823"/>
    </row>
    <row r="3824" spans="41:48" x14ac:dyDescent="0.35">
      <c r="AO3824"/>
      <c r="AP3824"/>
      <c r="AQ3824"/>
      <c r="AR3824"/>
      <c r="AS3824"/>
      <c r="AT3824"/>
      <c r="AU3824"/>
      <c r="AV3824"/>
    </row>
    <row r="3825" spans="41:48" x14ac:dyDescent="0.35">
      <c r="AO3825"/>
      <c r="AP3825"/>
      <c r="AQ3825"/>
      <c r="AR3825"/>
      <c r="AS3825"/>
      <c r="AT3825"/>
      <c r="AU3825"/>
      <c r="AV3825"/>
    </row>
    <row r="3826" spans="41:48" x14ac:dyDescent="0.35">
      <c r="AO3826"/>
      <c r="AP3826"/>
      <c r="AQ3826"/>
      <c r="AR3826"/>
      <c r="AS3826"/>
      <c r="AT3826"/>
      <c r="AU3826"/>
      <c r="AV3826"/>
    </row>
    <row r="3827" spans="41:48" x14ac:dyDescent="0.35">
      <c r="AO3827"/>
      <c r="AP3827"/>
      <c r="AQ3827"/>
      <c r="AR3827"/>
      <c r="AS3827"/>
      <c r="AT3827"/>
      <c r="AU3827"/>
      <c r="AV3827"/>
    </row>
    <row r="3828" spans="41:48" x14ac:dyDescent="0.35">
      <c r="AO3828"/>
      <c r="AP3828"/>
      <c r="AQ3828"/>
      <c r="AR3828"/>
      <c r="AS3828"/>
      <c r="AT3828"/>
      <c r="AU3828"/>
      <c r="AV3828"/>
    </row>
    <row r="3829" spans="41:48" x14ac:dyDescent="0.35">
      <c r="AO3829"/>
      <c r="AP3829"/>
      <c r="AQ3829"/>
      <c r="AR3829"/>
      <c r="AS3829"/>
      <c r="AT3829"/>
      <c r="AU3829"/>
      <c r="AV3829"/>
    </row>
    <row r="3830" spans="41:48" x14ac:dyDescent="0.35">
      <c r="AO3830"/>
      <c r="AP3830"/>
      <c r="AQ3830"/>
      <c r="AR3830"/>
      <c r="AS3830"/>
      <c r="AT3830"/>
      <c r="AU3830"/>
      <c r="AV3830"/>
    </row>
    <row r="3831" spans="41:48" x14ac:dyDescent="0.35">
      <c r="AO3831"/>
      <c r="AP3831"/>
      <c r="AQ3831"/>
      <c r="AR3831"/>
      <c r="AS3831"/>
      <c r="AT3831"/>
      <c r="AU3831"/>
      <c r="AV3831"/>
    </row>
    <row r="3832" spans="41:48" x14ac:dyDescent="0.35">
      <c r="AO3832"/>
      <c r="AP3832"/>
      <c r="AQ3832"/>
      <c r="AR3832"/>
      <c r="AS3832"/>
      <c r="AT3832"/>
      <c r="AU3832"/>
      <c r="AV3832"/>
    </row>
    <row r="3833" spans="41:48" x14ac:dyDescent="0.35">
      <c r="AO3833"/>
      <c r="AP3833"/>
      <c r="AQ3833"/>
      <c r="AR3833"/>
      <c r="AS3833"/>
      <c r="AT3833"/>
      <c r="AU3833"/>
      <c r="AV3833"/>
    </row>
    <row r="3834" spans="41:48" x14ac:dyDescent="0.35">
      <c r="AO3834"/>
      <c r="AP3834"/>
      <c r="AQ3834"/>
      <c r="AR3834"/>
      <c r="AS3834"/>
      <c r="AT3834"/>
      <c r="AU3834"/>
      <c r="AV3834"/>
    </row>
    <row r="3835" spans="41:48" x14ac:dyDescent="0.35">
      <c r="AO3835"/>
      <c r="AP3835"/>
      <c r="AQ3835"/>
      <c r="AR3835"/>
      <c r="AS3835"/>
      <c r="AT3835"/>
      <c r="AU3835"/>
      <c r="AV3835"/>
    </row>
    <row r="3836" spans="41:48" x14ac:dyDescent="0.35">
      <c r="AO3836"/>
      <c r="AP3836"/>
      <c r="AQ3836"/>
      <c r="AR3836"/>
      <c r="AS3836"/>
      <c r="AT3836"/>
      <c r="AU3836"/>
      <c r="AV3836"/>
    </row>
    <row r="3837" spans="41:48" x14ac:dyDescent="0.35">
      <c r="AO3837"/>
      <c r="AP3837"/>
      <c r="AQ3837"/>
      <c r="AR3837"/>
      <c r="AS3837"/>
      <c r="AT3837"/>
      <c r="AU3837"/>
      <c r="AV3837"/>
    </row>
    <row r="3838" spans="41:48" x14ac:dyDescent="0.35">
      <c r="AO3838"/>
      <c r="AP3838"/>
      <c r="AQ3838"/>
      <c r="AR3838"/>
      <c r="AS3838"/>
      <c r="AT3838"/>
      <c r="AU3838"/>
      <c r="AV3838"/>
    </row>
    <row r="3839" spans="41:48" x14ac:dyDescent="0.35">
      <c r="AO3839"/>
      <c r="AP3839"/>
      <c r="AQ3839"/>
      <c r="AR3839"/>
      <c r="AS3839"/>
      <c r="AT3839"/>
      <c r="AU3839"/>
      <c r="AV3839"/>
    </row>
    <row r="3840" spans="41:48" x14ac:dyDescent="0.35">
      <c r="AO3840"/>
      <c r="AP3840"/>
      <c r="AQ3840"/>
      <c r="AR3840"/>
      <c r="AS3840"/>
      <c r="AT3840"/>
      <c r="AU3840"/>
      <c r="AV3840"/>
    </row>
    <row r="3841" spans="41:48" x14ac:dyDescent="0.35">
      <c r="AO3841"/>
      <c r="AP3841"/>
      <c r="AQ3841"/>
      <c r="AR3841"/>
      <c r="AS3841"/>
      <c r="AT3841"/>
      <c r="AU3841"/>
      <c r="AV3841"/>
    </row>
    <row r="3842" spans="41:48" x14ac:dyDescent="0.35">
      <c r="AO3842"/>
      <c r="AP3842"/>
      <c r="AQ3842"/>
      <c r="AR3842"/>
      <c r="AS3842"/>
      <c r="AT3842"/>
      <c r="AU3842"/>
      <c r="AV3842"/>
    </row>
    <row r="3843" spans="41:48" x14ac:dyDescent="0.35">
      <c r="AO3843"/>
      <c r="AP3843"/>
      <c r="AQ3843"/>
      <c r="AR3843"/>
      <c r="AS3843"/>
      <c r="AT3843"/>
      <c r="AU3843"/>
      <c r="AV3843"/>
    </row>
    <row r="3844" spans="41:48" x14ac:dyDescent="0.35">
      <c r="AO3844"/>
      <c r="AP3844"/>
      <c r="AQ3844"/>
      <c r="AR3844"/>
      <c r="AS3844"/>
      <c r="AT3844"/>
      <c r="AU3844"/>
      <c r="AV3844"/>
    </row>
    <row r="3845" spans="41:48" x14ac:dyDescent="0.35">
      <c r="AO3845"/>
      <c r="AP3845"/>
      <c r="AQ3845"/>
      <c r="AR3845"/>
      <c r="AS3845"/>
      <c r="AT3845"/>
      <c r="AU3845"/>
      <c r="AV3845"/>
    </row>
    <row r="3846" spans="41:48" x14ac:dyDescent="0.35">
      <c r="AO3846"/>
      <c r="AP3846"/>
      <c r="AQ3846"/>
      <c r="AR3846"/>
      <c r="AS3846"/>
      <c r="AT3846"/>
      <c r="AU3846"/>
      <c r="AV3846"/>
    </row>
    <row r="3847" spans="41:48" x14ac:dyDescent="0.35">
      <c r="AO3847"/>
      <c r="AP3847"/>
      <c r="AQ3847"/>
      <c r="AR3847"/>
      <c r="AS3847"/>
      <c r="AT3847"/>
      <c r="AU3847"/>
      <c r="AV3847"/>
    </row>
    <row r="3848" spans="41:48" x14ac:dyDescent="0.35">
      <c r="AO3848"/>
      <c r="AP3848"/>
      <c r="AQ3848"/>
      <c r="AR3848"/>
      <c r="AS3848"/>
      <c r="AT3848"/>
      <c r="AU3848"/>
      <c r="AV3848"/>
    </row>
    <row r="3849" spans="41:48" x14ac:dyDescent="0.35">
      <c r="AO3849"/>
      <c r="AP3849"/>
      <c r="AQ3849"/>
      <c r="AR3849"/>
      <c r="AS3849"/>
      <c r="AT3849"/>
      <c r="AU3849"/>
      <c r="AV3849"/>
    </row>
    <row r="3850" spans="41:48" x14ac:dyDescent="0.35">
      <c r="AO3850"/>
      <c r="AP3850"/>
      <c r="AQ3850"/>
      <c r="AR3850"/>
      <c r="AS3850"/>
      <c r="AT3850"/>
      <c r="AU3850"/>
      <c r="AV3850"/>
    </row>
    <row r="3851" spans="41:48" x14ac:dyDescent="0.35">
      <c r="AO3851"/>
      <c r="AP3851"/>
      <c r="AQ3851"/>
      <c r="AR3851"/>
      <c r="AS3851"/>
      <c r="AT3851"/>
      <c r="AU3851"/>
      <c r="AV3851"/>
    </row>
    <row r="3852" spans="41:48" x14ac:dyDescent="0.35">
      <c r="AO3852"/>
      <c r="AP3852"/>
      <c r="AQ3852"/>
      <c r="AR3852"/>
      <c r="AS3852"/>
      <c r="AT3852"/>
      <c r="AU3852"/>
      <c r="AV3852"/>
    </row>
    <row r="3853" spans="41:48" x14ac:dyDescent="0.35">
      <c r="AO3853"/>
      <c r="AP3853"/>
      <c r="AQ3853"/>
      <c r="AR3853"/>
      <c r="AS3853"/>
      <c r="AT3853"/>
      <c r="AU3853"/>
      <c r="AV3853"/>
    </row>
    <row r="3854" spans="41:48" x14ac:dyDescent="0.35">
      <c r="AO3854"/>
      <c r="AP3854"/>
      <c r="AQ3854"/>
      <c r="AR3854"/>
      <c r="AS3854"/>
      <c r="AT3854"/>
      <c r="AU3854"/>
      <c r="AV3854"/>
    </row>
    <row r="3855" spans="41:48" x14ac:dyDescent="0.35">
      <c r="AO3855"/>
      <c r="AP3855"/>
      <c r="AQ3855"/>
      <c r="AR3855"/>
      <c r="AS3855"/>
      <c r="AT3855"/>
      <c r="AU3855"/>
      <c r="AV3855"/>
    </row>
    <row r="3856" spans="41:48" x14ac:dyDescent="0.35">
      <c r="AO3856"/>
      <c r="AP3856"/>
      <c r="AQ3856"/>
      <c r="AR3856"/>
      <c r="AS3856"/>
      <c r="AT3856"/>
      <c r="AU3856"/>
      <c r="AV3856"/>
    </row>
    <row r="3857" spans="41:48" x14ac:dyDescent="0.35">
      <c r="AO3857"/>
      <c r="AP3857"/>
      <c r="AQ3857"/>
      <c r="AR3857"/>
      <c r="AS3857"/>
      <c r="AT3857"/>
      <c r="AU3857"/>
      <c r="AV3857"/>
    </row>
    <row r="3858" spans="41:48" x14ac:dyDescent="0.35">
      <c r="AO3858"/>
      <c r="AP3858"/>
      <c r="AQ3858"/>
      <c r="AR3858"/>
      <c r="AS3858"/>
      <c r="AT3858"/>
      <c r="AU3858"/>
      <c r="AV3858"/>
    </row>
    <row r="3859" spans="41:48" x14ac:dyDescent="0.35">
      <c r="AO3859"/>
      <c r="AP3859"/>
      <c r="AQ3859"/>
      <c r="AR3859"/>
      <c r="AS3859"/>
      <c r="AT3859"/>
      <c r="AU3859"/>
      <c r="AV3859"/>
    </row>
    <row r="3860" spans="41:48" x14ac:dyDescent="0.35">
      <c r="AO3860"/>
      <c r="AP3860"/>
      <c r="AQ3860"/>
      <c r="AR3860"/>
      <c r="AS3860"/>
      <c r="AT3860"/>
      <c r="AU3860"/>
      <c r="AV3860"/>
    </row>
    <row r="3861" spans="41:48" x14ac:dyDescent="0.35">
      <c r="AO3861"/>
      <c r="AP3861"/>
      <c r="AQ3861"/>
      <c r="AR3861"/>
      <c r="AS3861"/>
      <c r="AT3861"/>
      <c r="AU3861"/>
      <c r="AV3861"/>
    </row>
    <row r="3862" spans="41:48" x14ac:dyDescent="0.35">
      <c r="AO3862"/>
      <c r="AP3862"/>
      <c r="AQ3862"/>
      <c r="AR3862"/>
      <c r="AS3862"/>
      <c r="AT3862"/>
      <c r="AU3862"/>
      <c r="AV3862"/>
    </row>
    <row r="3863" spans="41:48" x14ac:dyDescent="0.35">
      <c r="AO3863"/>
      <c r="AP3863"/>
      <c r="AQ3863"/>
      <c r="AR3863"/>
      <c r="AS3863"/>
      <c r="AT3863"/>
      <c r="AU3863"/>
      <c r="AV3863"/>
    </row>
    <row r="3864" spans="41:48" x14ac:dyDescent="0.35">
      <c r="AO3864"/>
      <c r="AP3864"/>
      <c r="AQ3864"/>
      <c r="AR3864"/>
      <c r="AS3864"/>
      <c r="AT3864"/>
      <c r="AU3864"/>
      <c r="AV3864"/>
    </row>
    <row r="3865" spans="41:48" x14ac:dyDescent="0.35">
      <c r="AO3865"/>
      <c r="AP3865"/>
      <c r="AQ3865"/>
      <c r="AR3865"/>
      <c r="AS3865"/>
      <c r="AT3865"/>
      <c r="AU3865"/>
      <c r="AV3865"/>
    </row>
    <row r="3866" spans="41:48" x14ac:dyDescent="0.35">
      <c r="AO3866"/>
      <c r="AP3866"/>
      <c r="AQ3866"/>
      <c r="AR3866"/>
      <c r="AS3866"/>
      <c r="AT3866"/>
      <c r="AU3866"/>
      <c r="AV3866"/>
    </row>
    <row r="3867" spans="41:48" x14ac:dyDescent="0.35">
      <c r="AO3867"/>
      <c r="AP3867"/>
      <c r="AQ3867"/>
      <c r="AR3867"/>
      <c r="AS3867"/>
      <c r="AT3867"/>
      <c r="AU3867"/>
      <c r="AV3867"/>
    </row>
    <row r="3868" spans="41:48" x14ac:dyDescent="0.35">
      <c r="AO3868"/>
      <c r="AP3868"/>
      <c r="AQ3868"/>
      <c r="AR3868"/>
      <c r="AS3868"/>
      <c r="AT3868"/>
      <c r="AU3868"/>
      <c r="AV3868"/>
    </row>
    <row r="3869" spans="41:48" x14ac:dyDescent="0.35">
      <c r="AO3869"/>
      <c r="AP3869"/>
      <c r="AQ3869"/>
      <c r="AR3869"/>
      <c r="AS3869"/>
      <c r="AT3869"/>
      <c r="AU3869"/>
      <c r="AV3869"/>
    </row>
    <row r="3870" spans="41:48" x14ac:dyDescent="0.35">
      <c r="AO3870"/>
      <c r="AP3870"/>
      <c r="AQ3870"/>
      <c r="AR3870"/>
      <c r="AS3870"/>
      <c r="AT3870"/>
      <c r="AU3870"/>
      <c r="AV3870"/>
    </row>
    <row r="3871" spans="41:48" x14ac:dyDescent="0.35">
      <c r="AO3871"/>
      <c r="AP3871"/>
      <c r="AQ3871"/>
      <c r="AR3871"/>
      <c r="AS3871"/>
      <c r="AT3871"/>
      <c r="AU3871"/>
      <c r="AV3871"/>
    </row>
    <row r="3872" spans="41:48" x14ac:dyDescent="0.35">
      <c r="AO3872"/>
      <c r="AP3872"/>
      <c r="AQ3872"/>
      <c r="AR3872"/>
      <c r="AS3872"/>
      <c r="AT3872"/>
      <c r="AU3872"/>
      <c r="AV3872"/>
    </row>
    <row r="3873" spans="41:48" x14ac:dyDescent="0.35">
      <c r="AO3873"/>
      <c r="AP3873"/>
      <c r="AQ3873"/>
      <c r="AR3873"/>
      <c r="AS3873"/>
      <c r="AT3873"/>
      <c r="AU3873"/>
      <c r="AV3873"/>
    </row>
    <row r="3874" spans="41:48" x14ac:dyDescent="0.35">
      <c r="AO3874"/>
      <c r="AP3874"/>
      <c r="AQ3874"/>
      <c r="AR3874"/>
      <c r="AS3874"/>
      <c r="AT3874"/>
      <c r="AU3874"/>
      <c r="AV3874"/>
    </row>
    <row r="3875" spans="41:48" x14ac:dyDescent="0.35">
      <c r="AO3875"/>
      <c r="AP3875"/>
      <c r="AQ3875"/>
      <c r="AR3875"/>
      <c r="AS3875"/>
      <c r="AT3875"/>
      <c r="AU3875"/>
      <c r="AV3875"/>
    </row>
    <row r="3876" spans="41:48" x14ac:dyDescent="0.35">
      <c r="AO3876"/>
      <c r="AP3876"/>
      <c r="AQ3876"/>
      <c r="AR3876"/>
      <c r="AS3876"/>
      <c r="AT3876"/>
      <c r="AU3876"/>
      <c r="AV3876"/>
    </row>
    <row r="3877" spans="41:48" x14ac:dyDescent="0.35">
      <c r="AO3877"/>
      <c r="AP3877"/>
      <c r="AQ3877"/>
      <c r="AR3877"/>
      <c r="AS3877"/>
      <c r="AT3877"/>
      <c r="AU3877"/>
      <c r="AV3877"/>
    </row>
    <row r="3878" spans="41:48" x14ac:dyDescent="0.35">
      <c r="AO3878"/>
      <c r="AP3878"/>
      <c r="AQ3878"/>
      <c r="AR3878"/>
      <c r="AS3878"/>
      <c r="AT3878"/>
      <c r="AU3878"/>
      <c r="AV3878"/>
    </row>
    <row r="3879" spans="41:48" x14ac:dyDescent="0.35">
      <c r="AO3879"/>
      <c r="AP3879"/>
      <c r="AQ3879"/>
      <c r="AR3879"/>
      <c r="AS3879"/>
      <c r="AT3879"/>
      <c r="AU3879"/>
      <c r="AV3879"/>
    </row>
    <row r="3880" spans="41:48" x14ac:dyDescent="0.35">
      <c r="AO3880"/>
      <c r="AP3880"/>
      <c r="AQ3880"/>
      <c r="AR3880"/>
      <c r="AS3880"/>
      <c r="AT3880"/>
      <c r="AU3880"/>
      <c r="AV3880"/>
    </row>
    <row r="3881" spans="41:48" x14ac:dyDescent="0.35">
      <c r="AO3881"/>
      <c r="AP3881"/>
      <c r="AQ3881"/>
      <c r="AR3881"/>
      <c r="AS3881"/>
      <c r="AT3881"/>
      <c r="AU3881"/>
      <c r="AV3881"/>
    </row>
    <row r="3882" spans="41:48" x14ac:dyDescent="0.35">
      <c r="AO3882"/>
      <c r="AP3882"/>
      <c r="AQ3882"/>
      <c r="AR3882"/>
      <c r="AS3882"/>
      <c r="AT3882"/>
      <c r="AU3882"/>
      <c r="AV3882"/>
    </row>
    <row r="3883" spans="41:48" x14ac:dyDescent="0.35">
      <c r="AO3883"/>
      <c r="AP3883"/>
      <c r="AQ3883"/>
      <c r="AR3883"/>
      <c r="AS3883"/>
      <c r="AT3883"/>
      <c r="AU3883"/>
      <c r="AV3883"/>
    </row>
    <row r="3884" spans="41:48" x14ac:dyDescent="0.35">
      <c r="AO3884"/>
      <c r="AP3884"/>
      <c r="AQ3884"/>
      <c r="AR3884"/>
      <c r="AS3884"/>
      <c r="AT3884"/>
      <c r="AU3884"/>
      <c r="AV3884"/>
    </row>
    <row r="3885" spans="41:48" x14ac:dyDescent="0.35">
      <c r="AO3885"/>
      <c r="AP3885"/>
      <c r="AQ3885"/>
      <c r="AR3885"/>
      <c r="AS3885"/>
      <c r="AT3885"/>
      <c r="AU3885"/>
      <c r="AV3885"/>
    </row>
    <row r="3886" spans="41:48" x14ac:dyDescent="0.35">
      <c r="AO3886"/>
      <c r="AP3886"/>
      <c r="AQ3886"/>
      <c r="AR3886"/>
      <c r="AS3886"/>
      <c r="AT3886"/>
      <c r="AU3886"/>
      <c r="AV3886"/>
    </row>
    <row r="3887" spans="41:48" x14ac:dyDescent="0.35">
      <c r="AO3887"/>
      <c r="AP3887"/>
      <c r="AQ3887"/>
      <c r="AR3887"/>
      <c r="AS3887"/>
      <c r="AT3887"/>
      <c r="AU3887"/>
      <c r="AV3887"/>
    </row>
    <row r="3888" spans="41:48" x14ac:dyDescent="0.35">
      <c r="AO3888"/>
      <c r="AP3888"/>
      <c r="AQ3888"/>
      <c r="AR3888"/>
      <c r="AS3888"/>
      <c r="AT3888"/>
      <c r="AU3888"/>
      <c r="AV3888"/>
    </row>
    <row r="3889" spans="41:48" x14ac:dyDescent="0.35">
      <c r="AO3889"/>
      <c r="AP3889"/>
      <c r="AQ3889"/>
      <c r="AR3889"/>
      <c r="AS3889"/>
      <c r="AT3889"/>
      <c r="AU3889"/>
      <c r="AV3889"/>
    </row>
    <row r="3890" spans="41:48" x14ac:dyDescent="0.35">
      <c r="AO3890"/>
      <c r="AP3890"/>
      <c r="AQ3890"/>
      <c r="AR3890"/>
      <c r="AS3890"/>
      <c r="AT3890"/>
      <c r="AU3890"/>
      <c r="AV3890"/>
    </row>
    <row r="3891" spans="41:48" x14ac:dyDescent="0.35">
      <c r="AO3891"/>
      <c r="AP3891"/>
      <c r="AQ3891"/>
      <c r="AR3891"/>
      <c r="AS3891"/>
      <c r="AT3891"/>
      <c r="AU3891"/>
      <c r="AV3891"/>
    </row>
    <row r="3892" spans="41:48" x14ac:dyDescent="0.35">
      <c r="AO3892"/>
      <c r="AP3892"/>
      <c r="AQ3892"/>
      <c r="AR3892"/>
      <c r="AS3892"/>
      <c r="AT3892"/>
      <c r="AU3892"/>
      <c r="AV3892"/>
    </row>
    <row r="3893" spans="41:48" x14ac:dyDescent="0.35">
      <c r="AO3893"/>
      <c r="AP3893"/>
      <c r="AQ3893"/>
      <c r="AR3893"/>
      <c r="AS3893"/>
      <c r="AT3893"/>
      <c r="AU3893"/>
      <c r="AV3893"/>
    </row>
    <row r="3894" spans="41:48" x14ac:dyDescent="0.35">
      <c r="AO3894"/>
      <c r="AP3894"/>
      <c r="AQ3894"/>
      <c r="AR3894"/>
      <c r="AS3894"/>
      <c r="AT3894"/>
      <c r="AU3894"/>
      <c r="AV3894"/>
    </row>
    <row r="3895" spans="41:48" x14ac:dyDescent="0.35">
      <c r="AO3895"/>
      <c r="AP3895"/>
      <c r="AQ3895"/>
      <c r="AR3895"/>
      <c r="AS3895"/>
      <c r="AT3895"/>
      <c r="AU3895"/>
      <c r="AV3895"/>
    </row>
    <row r="3896" spans="41:48" x14ac:dyDescent="0.35">
      <c r="AO3896"/>
      <c r="AP3896"/>
      <c r="AQ3896"/>
      <c r="AR3896"/>
      <c r="AS3896"/>
      <c r="AT3896"/>
      <c r="AU3896"/>
      <c r="AV3896"/>
    </row>
    <row r="3897" spans="41:48" x14ac:dyDescent="0.35">
      <c r="AO3897"/>
      <c r="AP3897"/>
      <c r="AQ3897"/>
      <c r="AR3897"/>
      <c r="AS3897"/>
      <c r="AT3897"/>
      <c r="AU3897"/>
      <c r="AV3897"/>
    </row>
    <row r="3898" spans="41:48" x14ac:dyDescent="0.35">
      <c r="AO3898"/>
      <c r="AP3898"/>
      <c r="AQ3898"/>
      <c r="AR3898"/>
      <c r="AS3898"/>
      <c r="AT3898"/>
      <c r="AU3898"/>
      <c r="AV3898"/>
    </row>
    <row r="3899" spans="41:48" x14ac:dyDescent="0.35">
      <c r="AO3899"/>
      <c r="AP3899"/>
      <c r="AQ3899"/>
      <c r="AR3899"/>
      <c r="AS3899"/>
      <c r="AT3899"/>
      <c r="AU3899"/>
      <c r="AV3899"/>
    </row>
    <row r="3900" spans="41:48" x14ac:dyDescent="0.35">
      <c r="AO3900"/>
      <c r="AP3900"/>
      <c r="AQ3900"/>
      <c r="AR3900"/>
      <c r="AS3900"/>
      <c r="AT3900"/>
      <c r="AU3900"/>
      <c r="AV3900"/>
    </row>
    <row r="3901" spans="41:48" x14ac:dyDescent="0.35">
      <c r="AO3901"/>
      <c r="AP3901"/>
      <c r="AQ3901"/>
      <c r="AR3901"/>
      <c r="AS3901"/>
      <c r="AT3901"/>
      <c r="AU3901"/>
      <c r="AV3901"/>
    </row>
    <row r="3902" spans="41:48" x14ac:dyDescent="0.35">
      <c r="AO3902"/>
      <c r="AP3902"/>
      <c r="AQ3902"/>
      <c r="AR3902"/>
      <c r="AS3902"/>
      <c r="AT3902"/>
      <c r="AU3902"/>
      <c r="AV3902"/>
    </row>
    <row r="3903" spans="41:48" x14ac:dyDescent="0.35">
      <c r="AO3903"/>
      <c r="AP3903"/>
      <c r="AQ3903"/>
      <c r="AR3903"/>
      <c r="AS3903"/>
      <c r="AT3903"/>
      <c r="AU3903"/>
      <c r="AV3903"/>
    </row>
    <row r="3904" spans="41:48" x14ac:dyDescent="0.35">
      <c r="AO3904"/>
      <c r="AP3904"/>
      <c r="AQ3904"/>
      <c r="AR3904"/>
      <c r="AS3904"/>
      <c r="AT3904"/>
      <c r="AU3904"/>
      <c r="AV3904"/>
    </row>
    <row r="3905" spans="41:48" x14ac:dyDescent="0.35">
      <c r="AO3905"/>
      <c r="AP3905"/>
      <c r="AQ3905"/>
      <c r="AR3905"/>
      <c r="AS3905"/>
      <c r="AT3905"/>
      <c r="AU3905"/>
      <c r="AV3905"/>
    </row>
    <row r="3906" spans="41:48" x14ac:dyDescent="0.35">
      <c r="AO3906"/>
      <c r="AP3906"/>
      <c r="AQ3906"/>
      <c r="AR3906"/>
      <c r="AS3906"/>
      <c r="AT3906"/>
      <c r="AU3906"/>
      <c r="AV3906"/>
    </row>
    <row r="3907" spans="41:48" x14ac:dyDescent="0.35">
      <c r="AO3907"/>
      <c r="AP3907"/>
      <c r="AQ3907"/>
      <c r="AR3907"/>
      <c r="AS3907"/>
      <c r="AT3907"/>
      <c r="AU3907"/>
      <c r="AV3907"/>
    </row>
    <row r="3908" spans="41:48" x14ac:dyDescent="0.35">
      <c r="AO3908"/>
      <c r="AP3908"/>
      <c r="AQ3908"/>
      <c r="AR3908"/>
      <c r="AS3908"/>
      <c r="AT3908"/>
      <c r="AU3908"/>
      <c r="AV3908"/>
    </row>
    <row r="3909" spans="41:48" x14ac:dyDescent="0.35">
      <c r="AO3909"/>
      <c r="AP3909"/>
      <c r="AQ3909"/>
      <c r="AR3909"/>
      <c r="AS3909"/>
      <c r="AT3909"/>
      <c r="AU3909"/>
      <c r="AV3909"/>
    </row>
    <row r="3910" spans="41:48" x14ac:dyDescent="0.35">
      <c r="AO3910"/>
      <c r="AP3910"/>
      <c r="AQ3910"/>
      <c r="AR3910"/>
      <c r="AS3910"/>
      <c r="AT3910"/>
      <c r="AU3910"/>
      <c r="AV3910"/>
    </row>
    <row r="3911" spans="41:48" x14ac:dyDescent="0.35">
      <c r="AO3911"/>
      <c r="AP3911"/>
      <c r="AQ3911"/>
      <c r="AR3911"/>
      <c r="AS3911"/>
      <c r="AT3911"/>
      <c r="AU3911"/>
      <c r="AV3911"/>
    </row>
    <row r="3912" spans="41:48" x14ac:dyDescent="0.35">
      <c r="AO3912"/>
      <c r="AP3912"/>
      <c r="AQ3912"/>
      <c r="AR3912"/>
      <c r="AS3912"/>
      <c r="AT3912"/>
      <c r="AU3912"/>
      <c r="AV3912"/>
    </row>
    <row r="3913" spans="41:48" x14ac:dyDescent="0.35">
      <c r="AO3913"/>
      <c r="AP3913"/>
      <c r="AQ3913"/>
      <c r="AR3913"/>
      <c r="AS3913"/>
      <c r="AT3913"/>
      <c r="AU3913"/>
      <c r="AV3913"/>
    </row>
    <row r="3914" spans="41:48" x14ac:dyDescent="0.35">
      <c r="AO3914"/>
      <c r="AP3914"/>
      <c r="AQ3914"/>
      <c r="AR3914"/>
      <c r="AS3914"/>
      <c r="AT3914"/>
      <c r="AU3914"/>
      <c r="AV3914"/>
    </row>
    <row r="3915" spans="41:48" x14ac:dyDescent="0.35">
      <c r="AO3915"/>
      <c r="AP3915"/>
      <c r="AQ3915"/>
      <c r="AR3915"/>
      <c r="AS3915"/>
      <c r="AT3915"/>
      <c r="AU3915"/>
      <c r="AV3915"/>
    </row>
    <row r="3916" spans="41:48" x14ac:dyDescent="0.35">
      <c r="AO3916"/>
      <c r="AP3916"/>
      <c r="AQ3916"/>
      <c r="AR3916"/>
      <c r="AS3916"/>
      <c r="AT3916"/>
      <c r="AU3916"/>
      <c r="AV3916"/>
    </row>
    <row r="3917" spans="41:48" x14ac:dyDescent="0.35">
      <c r="AO3917"/>
      <c r="AP3917"/>
      <c r="AQ3917"/>
      <c r="AR3917"/>
      <c r="AS3917"/>
      <c r="AT3917"/>
      <c r="AU3917"/>
      <c r="AV3917"/>
    </row>
    <row r="3918" spans="41:48" x14ac:dyDescent="0.35">
      <c r="AO3918"/>
      <c r="AP3918"/>
      <c r="AQ3918"/>
      <c r="AR3918"/>
      <c r="AS3918"/>
      <c r="AT3918"/>
      <c r="AU3918"/>
      <c r="AV3918"/>
    </row>
    <row r="3919" spans="41:48" x14ac:dyDescent="0.35">
      <c r="AO3919"/>
      <c r="AP3919"/>
      <c r="AQ3919"/>
      <c r="AR3919"/>
      <c r="AS3919"/>
      <c r="AT3919"/>
      <c r="AU3919"/>
      <c r="AV3919"/>
    </row>
    <row r="3920" spans="41:48" x14ac:dyDescent="0.35">
      <c r="AO3920"/>
      <c r="AP3920"/>
      <c r="AQ3920"/>
      <c r="AR3920"/>
      <c r="AS3920"/>
      <c r="AT3920"/>
      <c r="AU3920"/>
      <c r="AV3920"/>
    </row>
    <row r="3921" spans="41:48" x14ac:dyDescent="0.35">
      <c r="AO3921"/>
      <c r="AP3921"/>
      <c r="AQ3921"/>
      <c r="AR3921"/>
      <c r="AS3921"/>
      <c r="AT3921"/>
      <c r="AU3921"/>
      <c r="AV3921"/>
    </row>
    <row r="3922" spans="41:48" x14ac:dyDescent="0.35">
      <c r="AO3922"/>
      <c r="AP3922"/>
      <c r="AQ3922"/>
      <c r="AR3922"/>
      <c r="AS3922"/>
      <c r="AT3922"/>
      <c r="AU3922"/>
      <c r="AV3922"/>
    </row>
    <row r="3923" spans="41:48" x14ac:dyDescent="0.35">
      <c r="AO3923"/>
      <c r="AP3923"/>
      <c r="AQ3923"/>
      <c r="AR3923"/>
      <c r="AS3923"/>
      <c r="AT3923"/>
      <c r="AU3923"/>
      <c r="AV3923"/>
    </row>
    <row r="3924" spans="41:48" x14ac:dyDescent="0.35">
      <c r="AO3924"/>
      <c r="AP3924"/>
      <c r="AQ3924"/>
      <c r="AR3924"/>
      <c r="AS3924"/>
      <c r="AT3924"/>
      <c r="AU3924"/>
      <c r="AV3924"/>
    </row>
    <row r="3925" spans="41:48" x14ac:dyDescent="0.35">
      <c r="AO3925"/>
      <c r="AP3925"/>
      <c r="AQ3925"/>
      <c r="AR3925"/>
      <c r="AS3925"/>
      <c r="AT3925"/>
      <c r="AU3925"/>
      <c r="AV3925"/>
    </row>
    <row r="3926" spans="41:48" x14ac:dyDescent="0.35">
      <c r="AO3926"/>
      <c r="AP3926"/>
      <c r="AQ3926"/>
      <c r="AR3926"/>
      <c r="AS3926"/>
      <c r="AT3926"/>
      <c r="AU3926"/>
      <c r="AV3926"/>
    </row>
    <row r="3927" spans="41:48" x14ac:dyDescent="0.35">
      <c r="AO3927"/>
      <c r="AP3927"/>
      <c r="AQ3927"/>
      <c r="AR3927"/>
      <c r="AS3927"/>
      <c r="AT3927"/>
      <c r="AU3927"/>
      <c r="AV3927"/>
    </row>
    <row r="3928" spans="41:48" x14ac:dyDescent="0.35">
      <c r="AO3928"/>
      <c r="AP3928"/>
      <c r="AQ3928"/>
      <c r="AR3928"/>
      <c r="AS3928"/>
      <c r="AT3928"/>
      <c r="AU3928"/>
      <c r="AV3928"/>
    </row>
    <row r="3929" spans="41:48" x14ac:dyDescent="0.35">
      <c r="AO3929"/>
      <c r="AP3929"/>
      <c r="AQ3929"/>
      <c r="AR3929"/>
      <c r="AS3929"/>
      <c r="AT3929"/>
      <c r="AU3929"/>
      <c r="AV3929"/>
    </row>
    <row r="3930" spans="41:48" x14ac:dyDescent="0.35">
      <c r="AO3930"/>
      <c r="AP3930"/>
      <c r="AQ3930"/>
      <c r="AR3930"/>
      <c r="AS3930"/>
      <c r="AT3930"/>
      <c r="AU3930"/>
      <c r="AV3930"/>
    </row>
    <row r="3931" spans="41:48" x14ac:dyDescent="0.35">
      <c r="AO3931"/>
      <c r="AP3931"/>
      <c r="AQ3931"/>
      <c r="AR3931"/>
      <c r="AS3931"/>
      <c r="AT3931"/>
      <c r="AU3931"/>
      <c r="AV3931"/>
    </row>
    <row r="3932" spans="41:48" x14ac:dyDescent="0.35">
      <c r="AO3932"/>
      <c r="AP3932"/>
      <c r="AQ3932"/>
      <c r="AR3932"/>
      <c r="AS3932"/>
      <c r="AT3932"/>
      <c r="AU3932"/>
      <c r="AV3932"/>
    </row>
    <row r="3933" spans="41:48" x14ac:dyDescent="0.35">
      <c r="AO3933"/>
      <c r="AP3933"/>
      <c r="AQ3933"/>
      <c r="AR3933"/>
      <c r="AS3933"/>
      <c r="AT3933"/>
      <c r="AU3933"/>
      <c r="AV3933"/>
    </row>
    <row r="3934" spans="41:48" x14ac:dyDescent="0.35">
      <c r="AO3934"/>
      <c r="AP3934"/>
      <c r="AQ3934"/>
      <c r="AR3934"/>
      <c r="AS3934"/>
      <c r="AT3934"/>
      <c r="AU3934"/>
      <c r="AV3934"/>
    </row>
    <row r="3935" spans="41:48" x14ac:dyDescent="0.35">
      <c r="AO3935"/>
      <c r="AP3935"/>
      <c r="AQ3935"/>
      <c r="AR3935"/>
      <c r="AS3935"/>
      <c r="AT3935"/>
      <c r="AU3935"/>
      <c r="AV3935"/>
    </row>
    <row r="3936" spans="41:48" x14ac:dyDescent="0.35">
      <c r="AO3936"/>
      <c r="AP3936"/>
      <c r="AQ3936"/>
      <c r="AR3936"/>
      <c r="AS3936"/>
      <c r="AT3936"/>
      <c r="AU3936"/>
      <c r="AV3936"/>
    </row>
    <row r="3937" spans="41:48" x14ac:dyDescent="0.35">
      <c r="AO3937"/>
      <c r="AP3937"/>
      <c r="AQ3937"/>
      <c r="AR3937"/>
      <c r="AS3937"/>
      <c r="AT3937"/>
      <c r="AU3937"/>
      <c r="AV3937"/>
    </row>
    <row r="3938" spans="41:48" x14ac:dyDescent="0.35">
      <c r="AO3938"/>
      <c r="AP3938"/>
      <c r="AQ3938"/>
      <c r="AR3938"/>
      <c r="AS3938"/>
      <c r="AT3938"/>
      <c r="AU3938"/>
      <c r="AV3938"/>
    </row>
    <row r="3939" spans="41:48" x14ac:dyDescent="0.35">
      <c r="AO3939"/>
      <c r="AP3939"/>
      <c r="AQ3939"/>
      <c r="AR3939"/>
      <c r="AS3939"/>
      <c r="AT3939"/>
      <c r="AU3939"/>
      <c r="AV3939"/>
    </row>
    <row r="3940" spans="41:48" x14ac:dyDescent="0.35">
      <c r="AO3940"/>
      <c r="AP3940"/>
      <c r="AQ3940"/>
      <c r="AR3940"/>
      <c r="AS3940"/>
      <c r="AT3940"/>
      <c r="AU3940"/>
      <c r="AV3940"/>
    </row>
    <row r="3941" spans="41:48" x14ac:dyDescent="0.35">
      <c r="AO3941"/>
      <c r="AP3941"/>
      <c r="AQ3941"/>
      <c r="AR3941"/>
      <c r="AS3941"/>
      <c r="AT3941"/>
      <c r="AU3941"/>
      <c r="AV3941"/>
    </row>
    <row r="3942" spans="41:48" x14ac:dyDescent="0.35">
      <c r="AO3942"/>
      <c r="AP3942"/>
      <c r="AQ3942"/>
      <c r="AR3942"/>
      <c r="AS3942"/>
      <c r="AT3942"/>
      <c r="AU3942"/>
      <c r="AV3942"/>
    </row>
    <row r="3943" spans="41:48" x14ac:dyDescent="0.35">
      <c r="AO3943"/>
      <c r="AP3943"/>
      <c r="AQ3943"/>
      <c r="AR3943"/>
      <c r="AS3943"/>
      <c r="AT3943"/>
      <c r="AU3943"/>
      <c r="AV3943"/>
    </row>
    <row r="3944" spans="41:48" x14ac:dyDescent="0.35">
      <c r="AO3944"/>
      <c r="AP3944"/>
      <c r="AQ3944"/>
      <c r="AR3944"/>
      <c r="AS3944"/>
      <c r="AT3944"/>
      <c r="AU3944"/>
      <c r="AV3944"/>
    </row>
    <row r="3945" spans="41:48" x14ac:dyDescent="0.35">
      <c r="AO3945"/>
      <c r="AP3945"/>
      <c r="AQ3945"/>
      <c r="AR3945"/>
      <c r="AS3945"/>
      <c r="AT3945"/>
      <c r="AU3945"/>
      <c r="AV3945"/>
    </row>
    <row r="3946" spans="41:48" x14ac:dyDescent="0.35">
      <c r="AO3946"/>
      <c r="AP3946"/>
      <c r="AQ3946"/>
      <c r="AR3946"/>
      <c r="AS3946"/>
      <c r="AT3946"/>
      <c r="AU3946"/>
      <c r="AV3946"/>
    </row>
    <row r="3947" spans="41:48" x14ac:dyDescent="0.35">
      <c r="AO3947"/>
      <c r="AP3947"/>
      <c r="AQ3947"/>
      <c r="AR3947"/>
      <c r="AS3947"/>
      <c r="AT3947"/>
      <c r="AU3947"/>
      <c r="AV3947"/>
    </row>
    <row r="3948" spans="41:48" x14ac:dyDescent="0.35">
      <c r="AO3948"/>
      <c r="AP3948"/>
      <c r="AQ3948"/>
      <c r="AR3948"/>
      <c r="AS3948"/>
      <c r="AT3948"/>
      <c r="AU3948"/>
      <c r="AV3948"/>
    </row>
    <row r="3949" spans="41:48" x14ac:dyDescent="0.35">
      <c r="AO3949"/>
      <c r="AP3949"/>
      <c r="AQ3949"/>
      <c r="AR3949"/>
      <c r="AS3949"/>
      <c r="AT3949"/>
      <c r="AU3949"/>
      <c r="AV3949"/>
    </row>
    <row r="3950" spans="41:48" x14ac:dyDescent="0.35">
      <c r="AO3950"/>
      <c r="AP3950"/>
      <c r="AQ3950"/>
      <c r="AR3950"/>
      <c r="AS3950"/>
      <c r="AT3950"/>
      <c r="AU3950"/>
      <c r="AV3950"/>
    </row>
    <row r="3951" spans="41:48" x14ac:dyDescent="0.35">
      <c r="AO3951"/>
      <c r="AP3951"/>
      <c r="AQ3951"/>
      <c r="AR3951"/>
      <c r="AS3951"/>
      <c r="AT3951"/>
      <c r="AU3951"/>
      <c r="AV3951"/>
    </row>
    <row r="3952" spans="41:48" x14ac:dyDescent="0.35">
      <c r="AO3952"/>
      <c r="AP3952"/>
      <c r="AQ3952"/>
      <c r="AR3952"/>
      <c r="AS3952"/>
      <c r="AT3952"/>
      <c r="AU3952"/>
      <c r="AV3952"/>
    </row>
    <row r="3953" spans="41:48" x14ac:dyDescent="0.35">
      <c r="AO3953"/>
      <c r="AP3953"/>
      <c r="AQ3953"/>
      <c r="AR3953"/>
      <c r="AS3953"/>
      <c r="AT3953"/>
      <c r="AU3953"/>
      <c r="AV3953"/>
    </row>
    <row r="3954" spans="41:48" x14ac:dyDescent="0.35">
      <c r="AO3954"/>
      <c r="AP3954"/>
      <c r="AQ3954"/>
      <c r="AR3954"/>
      <c r="AS3954"/>
      <c r="AT3954"/>
      <c r="AU3954"/>
      <c r="AV3954"/>
    </row>
    <row r="3955" spans="41:48" x14ac:dyDescent="0.35">
      <c r="AO3955"/>
      <c r="AP3955"/>
      <c r="AQ3955"/>
      <c r="AR3955"/>
      <c r="AS3955"/>
      <c r="AT3955"/>
      <c r="AU3955"/>
      <c r="AV3955"/>
    </row>
    <row r="3956" spans="41:48" x14ac:dyDescent="0.35">
      <c r="AO3956"/>
      <c r="AP3956"/>
      <c r="AQ3956"/>
      <c r="AR3956"/>
      <c r="AS3956"/>
      <c r="AT3956"/>
      <c r="AU3956"/>
      <c r="AV3956"/>
    </row>
    <row r="3957" spans="41:48" x14ac:dyDescent="0.35">
      <c r="AO3957"/>
      <c r="AP3957"/>
      <c r="AQ3957"/>
      <c r="AR3957"/>
      <c r="AS3957"/>
      <c r="AT3957"/>
      <c r="AU3957"/>
      <c r="AV3957"/>
    </row>
    <row r="3958" spans="41:48" x14ac:dyDescent="0.35">
      <c r="AO3958"/>
      <c r="AP3958"/>
      <c r="AQ3958"/>
      <c r="AR3958"/>
      <c r="AS3958"/>
      <c r="AT3958"/>
      <c r="AU3958"/>
      <c r="AV3958"/>
    </row>
    <row r="3959" spans="41:48" x14ac:dyDescent="0.35">
      <c r="AO3959"/>
      <c r="AP3959"/>
      <c r="AQ3959"/>
      <c r="AR3959"/>
      <c r="AS3959"/>
      <c r="AT3959"/>
      <c r="AU3959"/>
      <c r="AV3959"/>
    </row>
    <row r="3960" spans="41:48" x14ac:dyDescent="0.35">
      <c r="AO3960"/>
      <c r="AP3960"/>
      <c r="AQ3960"/>
      <c r="AR3960"/>
      <c r="AS3960"/>
      <c r="AT3960"/>
      <c r="AU3960"/>
      <c r="AV3960"/>
    </row>
    <row r="3961" spans="41:48" x14ac:dyDescent="0.35">
      <c r="AO3961"/>
      <c r="AP3961"/>
      <c r="AQ3961"/>
      <c r="AR3961"/>
      <c r="AS3961"/>
      <c r="AT3961"/>
      <c r="AU3961"/>
      <c r="AV3961"/>
    </row>
    <row r="3962" spans="41:48" x14ac:dyDescent="0.35">
      <c r="AO3962"/>
      <c r="AP3962"/>
      <c r="AQ3962"/>
      <c r="AR3962"/>
      <c r="AS3962"/>
      <c r="AT3962"/>
      <c r="AU3962"/>
      <c r="AV3962"/>
    </row>
    <row r="3963" spans="41:48" x14ac:dyDescent="0.35">
      <c r="AO3963"/>
      <c r="AP3963"/>
      <c r="AQ3963"/>
      <c r="AR3963"/>
      <c r="AS3963"/>
      <c r="AT3963"/>
      <c r="AU3963"/>
      <c r="AV3963"/>
    </row>
    <row r="3964" spans="41:48" x14ac:dyDescent="0.35">
      <c r="AO3964"/>
      <c r="AP3964"/>
      <c r="AQ3964"/>
      <c r="AR3964"/>
      <c r="AS3964"/>
      <c r="AT3964"/>
      <c r="AU3964"/>
      <c r="AV3964"/>
    </row>
    <row r="3965" spans="41:48" x14ac:dyDescent="0.35">
      <c r="AO3965"/>
      <c r="AP3965"/>
      <c r="AQ3965"/>
      <c r="AR3965"/>
      <c r="AS3965"/>
      <c r="AT3965"/>
      <c r="AU3965"/>
      <c r="AV3965"/>
    </row>
    <row r="3966" spans="41:48" x14ac:dyDescent="0.35">
      <c r="AO3966"/>
      <c r="AP3966"/>
      <c r="AQ3966"/>
      <c r="AR3966"/>
      <c r="AS3966"/>
      <c r="AT3966"/>
      <c r="AU3966"/>
      <c r="AV3966"/>
    </row>
    <row r="3967" spans="41:48" x14ac:dyDescent="0.35">
      <c r="AO3967"/>
      <c r="AP3967"/>
      <c r="AQ3967"/>
      <c r="AR3967"/>
      <c r="AS3967"/>
      <c r="AT3967"/>
      <c r="AU3967"/>
      <c r="AV3967"/>
    </row>
    <row r="3968" spans="41:48" x14ac:dyDescent="0.35">
      <c r="AO3968"/>
      <c r="AP3968"/>
      <c r="AQ3968"/>
      <c r="AR3968"/>
      <c r="AS3968"/>
      <c r="AT3968"/>
      <c r="AU3968"/>
      <c r="AV3968"/>
    </row>
    <row r="3969" spans="41:48" x14ac:dyDescent="0.35">
      <c r="AO3969"/>
      <c r="AP3969"/>
      <c r="AQ3969"/>
      <c r="AR3969"/>
      <c r="AS3969"/>
      <c r="AT3969"/>
      <c r="AU3969"/>
      <c r="AV3969"/>
    </row>
    <row r="3970" spans="41:48" x14ac:dyDescent="0.35">
      <c r="AO3970"/>
      <c r="AP3970"/>
      <c r="AQ3970"/>
      <c r="AR3970"/>
      <c r="AS3970"/>
      <c r="AT3970"/>
      <c r="AU3970"/>
      <c r="AV3970"/>
    </row>
    <row r="3971" spans="41:48" x14ac:dyDescent="0.35">
      <c r="AO3971"/>
      <c r="AP3971"/>
      <c r="AQ3971"/>
      <c r="AR3971"/>
      <c r="AS3971"/>
      <c r="AT3971"/>
      <c r="AU3971"/>
      <c r="AV3971"/>
    </row>
    <row r="3972" spans="41:48" x14ac:dyDescent="0.35">
      <c r="AO3972"/>
      <c r="AP3972"/>
      <c r="AQ3972"/>
      <c r="AR3972"/>
      <c r="AS3972"/>
      <c r="AT3972"/>
      <c r="AU3972"/>
      <c r="AV3972"/>
    </row>
    <row r="3973" spans="41:48" x14ac:dyDescent="0.35">
      <c r="AO3973"/>
      <c r="AP3973"/>
      <c r="AQ3973"/>
      <c r="AR3973"/>
      <c r="AS3973"/>
      <c r="AT3973"/>
      <c r="AU3973"/>
      <c r="AV3973"/>
    </row>
    <row r="3974" spans="41:48" x14ac:dyDescent="0.35">
      <c r="AO3974"/>
      <c r="AP3974"/>
      <c r="AQ3974"/>
      <c r="AR3974"/>
      <c r="AS3974"/>
      <c r="AT3974"/>
      <c r="AU3974"/>
      <c r="AV3974"/>
    </row>
    <row r="3975" spans="41:48" x14ac:dyDescent="0.35">
      <c r="AO3975"/>
      <c r="AP3975"/>
      <c r="AQ3975"/>
      <c r="AR3975"/>
      <c r="AS3975"/>
      <c r="AT3975"/>
      <c r="AU3975"/>
      <c r="AV3975"/>
    </row>
    <row r="3976" spans="41:48" x14ac:dyDescent="0.35">
      <c r="AO3976"/>
      <c r="AP3976"/>
      <c r="AQ3976"/>
      <c r="AR3976"/>
      <c r="AS3976"/>
      <c r="AT3976"/>
      <c r="AU3976"/>
      <c r="AV3976"/>
    </row>
    <row r="3977" spans="41:48" x14ac:dyDescent="0.35">
      <c r="AO3977"/>
      <c r="AP3977"/>
      <c r="AQ3977"/>
      <c r="AR3977"/>
      <c r="AS3977"/>
      <c r="AT3977"/>
      <c r="AU3977"/>
      <c r="AV3977"/>
    </row>
    <row r="3978" spans="41:48" x14ac:dyDescent="0.35">
      <c r="AO3978"/>
      <c r="AP3978"/>
      <c r="AQ3978"/>
      <c r="AR3978"/>
      <c r="AS3978"/>
      <c r="AT3978"/>
      <c r="AU3978"/>
      <c r="AV3978"/>
    </row>
    <row r="3979" spans="41:48" x14ac:dyDescent="0.35">
      <c r="AO3979"/>
      <c r="AP3979"/>
      <c r="AQ3979"/>
      <c r="AR3979"/>
      <c r="AS3979"/>
      <c r="AT3979"/>
      <c r="AU3979"/>
      <c r="AV3979"/>
    </row>
    <row r="3980" spans="41:48" x14ac:dyDescent="0.35">
      <c r="AO3980"/>
      <c r="AP3980"/>
      <c r="AQ3980"/>
      <c r="AR3980"/>
      <c r="AS3980"/>
      <c r="AT3980"/>
      <c r="AU3980"/>
      <c r="AV3980"/>
    </row>
    <row r="3981" spans="41:48" x14ac:dyDescent="0.35">
      <c r="AO3981"/>
      <c r="AP3981"/>
      <c r="AQ3981"/>
      <c r="AR3981"/>
      <c r="AS3981"/>
      <c r="AT3981"/>
      <c r="AU3981"/>
      <c r="AV3981"/>
    </row>
    <row r="3982" spans="41:48" x14ac:dyDescent="0.35">
      <c r="AO3982"/>
      <c r="AP3982"/>
      <c r="AQ3982"/>
      <c r="AR3982"/>
      <c r="AS3982"/>
      <c r="AT3982"/>
      <c r="AU3982"/>
      <c r="AV3982"/>
    </row>
    <row r="3983" spans="41:48" x14ac:dyDescent="0.35">
      <c r="AO3983"/>
      <c r="AP3983"/>
      <c r="AQ3983"/>
      <c r="AR3983"/>
      <c r="AS3983"/>
      <c r="AT3983"/>
      <c r="AU3983"/>
      <c r="AV3983"/>
    </row>
    <row r="3984" spans="41:48" x14ac:dyDescent="0.35">
      <c r="AO3984"/>
      <c r="AP3984"/>
      <c r="AQ3984"/>
      <c r="AR3984"/>
      <c r="AS3984"/>
      <c r="AT3984"/>
      <c r="AU3984"/>
      <c r="AV3984"/>
    </row>
    <row r="3985" spans="41:48" x14ac:dyDescent="0.35">
      <c r="AO3985"/>
      <c r="AP3985"/>
      <c r="AQ3985"/>
      <c r="AR3985"/>
      <c r="AS3985"/>
      <c r="AT3985"/>
      <c r="AU3985"/>
      <c r="AV3985"/>
    </row>
    <row r="3986" spans="41:48" x14ac:dyDescent="0.35">
      <c r="AO3986"/>
      <c r="AP3986"/>
      <c r="AQ3986"/>
      <c r="AR3986"/>
      <c r="AS3986"/>
      <c r="AT3986"/>
      <c r="AU3986"/>
      <c r="AV3986"/>
    </row>
    <row r="3987" spans="41:48" x14ac:dyDescent="0.35">
      <c r="AO3987"/>
      <c r="AP3987"/>
      <c r="AQ3987"/>
      <c r="AR3987"/>
      <c r="AS3987"/>
      <c r="AT3987"/>
      <c r="AU3987"/>
      <c r="AV3987"/>
    </row>
    <row r="3988" spans="41:48" x14ac:dyDescent="0.35">
      <c r="AO3988"/>
      <c r="AP3988"/>
      <c r="AQ3988"/>
      <c r="AR3988"/>
      <c r="AS3988"/>
      <c r="AT3988"/>
      <c r="AU3988"/>
      <c r="AV3988"/>
    </row>
    <row r="3989" spans="41:48" x14ac:dyDescent="0.35">
      <c r="AO3989"/>
      <c r="AP3989"/>
      <c r="AQ3989"/>
      <c r="AR3989"/>
      <c r="AS3989"/>
      <c r="AT3989"/>
      <c r="AU3989"/>
      <c r="AV3989"/>
    </row>
    <row r="3990" spans="41:48" x14ac:dyDescent="0.35">
      <c r="AO3990"/>
      <c r="AP3990"/>
      <c r="AQ3990"/>
      <c r="AR3990"/>
      <c r="AS3990"/>
      <c r="AT3990"/>
      <c r="AU3990"/>
      <c r="AV3990"/>
    </row>
    <row r="3991" spans="41:48" x14ac:dyDescent="0.35">
      <c r="AO3991"/>
      <c r="AP3991"/>
      <c r="AQ3991"/>
      <c r="AR3991"/>
      <c r="AS3991"/>
      <c r="AT3991"/>
      <c r="AU3991"/>
      <c r="AV3991"/>
    </row>
    <row r="3992" spans="41:48" x14ac:dyDescent="0.35">
      <c r="AO3992"/>
      <c r="AP3992"/>
      <c r="AQ3992"/>
      <c r="AR3992"/>
      <c r="AS3992"/>
      <c r="AT3992"/>
      <c r="AU3992"/>
      <c r="AV3992"/>
    </row>
    <row r="3993" spans="41:48" x14ac:dyDescent="0.35">
      <c r="AO3993"/>
      <c r="AP3993"/>
      <c r="AQ3993"/>
      <c r="AR3993"/>
      <c r="AS3993"/>
      <c r="AT3993"/>
      <c r="AU3993"/>
      <c r="AV3993"/>
    </row>
    <row r="3994" spans="41:48" x14ac:dyDescent="0.35">
      <c r="AO3994"/>
      <c r="AP3994"/>
      <c r="AQ3994"/>
      <c r="AR3994"/>
      <c r="AS3994"/>
      <c r="AT3994"/>
      <c r="AU3994"/>
      <c r="AV3994"/>
    </row>
    <row r="3995" spans="41:48" x14ac:dyDescent="0.35">
      <c r="AO3995"/>
      <c r="AP3995"/>
      <c r="AQ3995"/>
      <c r="AR3995"/>
      <c r="AS3995"/>
      <c r="AT3995"/>
      <c r="AU3995"/>
      <c r="AV3995"/>
    </row>
    <row r="3996" spans="41:48" x14ac:dyDescent="0.35">
      <c r="AO3996"/>
      <c r="AP3996"/>
      <c r="AQ3996"/>
      <c r="AR3996"/>
      <c r="AS3996"/>
      <c r="AT3996"/>
      <c r="AU3996"/>
      <c r="AV3996"/>
    </row>
    <row r="3997" spans="41:48" x14ac:dyDescent="0.35">
      <c r="AO3997"/>
      <c r="AP3997"/>
      <c r="AQ3997"/>
      <c r="AR3997"/>
      <c r="AS3997"/>
      <c r="AT3997"/>
      <c r="AU3997"/>
      <c r="AV3997"/>
    </row>
    <row r="3998" spans="41:48" x14ac:dyDescent="0.35">
      <c r="AO3998"/>
      <c r="AP3998"/>
      <c r="AQ3998"/>
      <c r="AR3998"/>
      <c r="AS3998"/>
      <c r="AT3998"/>
      <c r="AU3998"/>
      <c r="AV3998"/>
    </row>
    <row r="3999" spans="41:48" x14ac:dyDescent="0.35">
      <c r="AO3999"/>
      <c r="AP3999"/>
      <c r="AQ3999"/>
      <c r="AR3999"/>
      <c r="AS3999"/>
      <c r="AT3999"/>
      <c r="AU3999"/>
      <c r="AV3999"/>
    </row>
    <row r="4000" spans="41:48" x14ac:dyDescent="0.35">
      <c r="AO4000"/>
      <c r="AP4000"/>
      <c r="AQ4000"/>
      <c r="AR4000"/>
      <c r="AS4000"/>
      <c r="AT4000"/>
      <c r="AU4000"/>
      <c r="AV4000"/>
    </row>
    <row r="4001" spans="41:48" x14ac:dyDescent="0.35">
      <c r="AO4001"/>
      <c r="AP4001"/>
      <c r="AQ4001"/>
      <c r="AR4001"/>
      <c r="AS4001"/>
      <c r="AT4001"/>
      <c r="AU4001"/>
      <c r="AV4001"/>
    </row>
    <row r="4002" spans="41:48" x14ac:dyDescent="0.35">
      <c r="AO4002"/>
      <c r="AP4002"/>
      <c r="AQ4002"/>
      <c r="AR4002"/>
      <c r="AS4002"/>
      <c r="AT4002"/>
      <c r="AU4002"/>
      <c r="AV4002"/>
    </row>
    <row r="4003" spans="41:48" x14ac:dyDescent="0.35">
      <c r="AO4003"/>
      <c r="AP4003"/>
      <c r="AQ4003"/>
      <c r="AR4003"/>
      <c r="AS4003"/>
      <c r="AT4003"/>
      <c r="AU4003"/>
      <c r="AV4003"/>
    </row>
    <row r="4004" spans="41:48" x14ac:dyDescent="0.35">
      <c r="AO4004"/>
      <c r="AP4004"/>
      <c r="AQ4004"/>
      <c r="AR4004"/>
      <c r="AS4004"/>
      <c r="AT4004"/>
      <c r="AU4004"/>
      <c r="AV4004"/>
    </row>
    <row r="4005" spans="41:48" x14ac:dyDescent="0.35">
      <c r="AO4005"/>
      <c r="AP4005"/>
      <c r="AQ4005"/>
      <c r="AR4005"/>
      <c r="AS4005"/>
      <c r="AT4005"/>
      <c r="AU4005"/>
      <c r="AV4005"/>
    </row>
    <row r="4006" spans="41:48" x14ac:dyDescent="0.35">
      <c r="AO4006"/>
      <c r="AP4006"/>
      <c r="AQ4006"/>
      <c r="AR4006"/>
      <c r="AS4006"/>
      <c r="AT4006"/>
      <c r="AU4006"/>
      <c r="AV4006"/>
    </row>
    <row r="4007" spans="41:48" x14ac:dyDescent="0.35">
      <c r="AO4007"/>
      <c r="AP4007"/>
      <c r="AQ4007"/>
      <c r="AR4007"/>
      <c r="AS4007"/>
      <c r="AT4007"/>
      <c r="AU4007"/>
      <c r="AV4007"/>
    </row>
    <row r="4008" spans="41:48" x14ac:dyDescent="0.35">
      <c r="AO4008"/>
      <c r="AP4008"/>
      <c r="AQ4008"/>
      <c r="AR4008"/>
      <c r="AS4008"/>
      <c r="AT4008"/>
      <c r="AU4008"/>
      <c r="AV4008"/>
    </row>
    <row r="4009" spans="41:48" x14ac:dyDescent="0.35">
      <c r="AO4009"/>
      <c r="AP4009"/>
      <c r="AQ4009"/>
      <c r="AR4009"/>
      <c r="AS4009"/>
      <c r="AT4009"/>
      <c r="AU4009"/>
      <c r="AV4009"/>
    </row>
    <row r="4010" spans="41:48" x14ac:dyDescent="0.35">
      <c r="AO4010"/>
      <c r="AP4010"/>
      <c r="AQ4010"/>
      <c r="AR4010"/>
      <c r="AS4010"/>
      <c r="AT4010"/>
      <c r="AU4010"/>
      <c r="AV4010"/>
    </row>
    <row r="4011" spans="41:48" x14ac:dyDescent="0.35">
      <c r="AO4011"/>
      <c r="AP4011"/>
      <c r="AQ4011"/>
      <c r="AR4011"/>
      <c r="AS4011"/>
      <c r="AT4011"/>
      <c r="AU4011"/>
      <c r="AV4011"/>
    </row>
    <row r="4012" spans="41:48" x14ac:dyDescent="0.35">
      <c r="AO4012"/>
      <c r="AP4012"/>
      <c r="AQ4012"/>
      <c r="AR4012"/>
      <c r="AS4012"/>
      <c r="AT4012"/>
      <c r="AU4012"/>
      <c r="AV4012"/>
    </row>
    <row r="4013" spans="41:48" x14ac:dyDescent="0.35">
      <c r="AO4013"/>
      <c r="AP4013"/>
      <c r="AQ4013"/>
      <c r="AR4013"/>
      <c r="AS4013"/>
      <c r="AT4013"/>
      <c r="AU4013"/>
      <c r="AV4013"/>
    </row>
    <row r="4014" spans="41:48" x14ac:dyDescent="0.35">
      <c r="AO4014"/>
      <c r="AP4014"/>
      <c r="AQ4014"/>
      <c r="AR4014"/>
      <c r="AS4014"/>
      <c r="AT4014"/>
      <c r="AU4014"/>
      <c r="AV4014"/>
    </row>
    <row r="4015" spans="41:48" x14ac:dyDescent="0.35">
      <c r="AO4015"/>
      <c r="AP4015"/>
      <c r="AQ4015"/>
      <c r="AR4015"/>
      <c r="AS4015"/>
      <c r="AT4015"/>
      <c r="AU4015"/>
      <c r="AV4015"/>
    </row>
    <row r="4016" spans="41:48" x14ac:dyDescent="0.35">
      <c r="AO4016"/>
      <c r="AP4016"/>
      <c r="AQ4016"/>
      <c r="AR4016"/>
      <c r="AS4016"/>
      <c r="AT4016"/>
      <c r="AU4016"/>
      <c r="AV4016"/>
    </row>
    <row r="4017" spans="41:48" x14ac:dyDescent="0.35">
      <c r="AO4017"/>
      <c r="AP4017"/>
      <c r="AQ4017"/>
      <c r="AR4017"/>
      <c r="AS4017"/>
      <c r="AT4017"/>
      <c r="AU4017"/>
      <c r="AV4017"/>
    </row>
    <row r="4018" spans="41:48" x14ac:dyDescent="0.35">
      <c r="AO4018"/>
      <c r="AP4018"/>
      <c r="AQ4018"/>
      <c r="AR4018"/>
      <c r="AS4018"/>
      <c r="AT4018"/>
      <c r="AU4018"/>
      <c r="AV4018"/>
    </row>
    <row r="4019" spans="41:48" x14ac:dyDescent="0.35">
      <c r="AO4019"/>
      <c r="AP4019"/>
      <c r="AQ4019"/>
      <c r="AR4019"/>
      <c r="AS4019"/>
      <c r="AT4019"/>
      <c r="AU4019"/>
      <c r="AV4019"/>
    </row>
    <row r="4020" spans="41:48" x14ac:dyDescent="0.35">
      <c r="AO4020"/>
      <c r="AP4020"/>
      <c r="AQ4020"/>
      <c r="AR4020"/>
      <c r="AS4020"/>
      <c r="AT4020"/>
      <c r="AU4020"/>
      <c r="AV4020"/>
    </row>
    <row r="4021" spans="41:48" x14ac:dyDescent="0.35">
      <c r="AO4021"/>
      <c r="AP4021"/>
      <c r="AQ4021"/>
      <c r="AR4021"/>
      <c r="AS4021"/>
      <c r="AT4021"/>
      <c r="AU4021"/>
      <c r="AV4021"/>
    </row>
    <row r="4022" spans="41:48" x14ac:dyDescent="0.35">
      <c r="AO4022"/>
      <c r="AP4022"/>
      <c r="AQ4022"/>
      <c r="AR4022"/>
      <c r="AS4022"/>
      <c r="AT4022"/>
      <c r="AU4022"/>
      <c r="AV4022"/>
    </row>
    <row r="4023" spans="41:48" x14ac:dyDescent="0.35">
      <c r="AO4023"/>
      <c r="AP4023"/>
      <c r="AQ4023"/>
      <c r="AR4023"/>
      <c r="AS4023"/>
      <c r="AT4023"/>
      <c r="AU4023"/>
      <c r="AV4023"/>
    </row>
    <row r="4024" spans="41:48" x14ac:dyDescent="0.35">
      <c r="AO4024"/>
      <c r="AP4024"/>
      <c r="AQ4024"/>
      <c r="AR4024"/>
      <c r="AS4024"/>
      <c r="AT4024"/>
      <c r="AU4024"/>
      <c r="AV4024"/>
    </row>
    <row r="4025" spans="41:48" x14ac:dyDescent="0.35">
      <c r="AO4025"/>
      <c r="AP4025"/>
      <c r="AQ4025"/>
      <c r="AR4025"/>
      <c r="AS4025"/>
      <c r="AT4025"/>
      <c r="AU4025"/>
      <c r="AV4025"/>
    </row>
    <row r="4026" spans="41:48" x14ac:dyDescent="0.35">
      <c r="AO4026"/>
      <c r="AP4026"/>
      <c r="AQ4026"/>
      <c r="AR4026"/>
      <c r="AS4026"/>
      <c r="AT4026"/>
      <c r="AU4026"/>
      <c r="AV4026"/>
    </row>
    <row r="4027" spans="41:48" x14ac:dyDescent="0.35">
      <c r="AO4027"/>
      <c r="AP4027"/>
      <c r="AQ4027"/>
      <c r="AR4027"/>
      <c r="AS4027"/>
      <c r="AT4027"/>
      <c r="AU4027"/>
      <c r="AV4027"/>
    </row>
    <row r="4028" spans="41:48" x14ac:dyDescent="0.35">
      <c r="AO4028"/>
      <c r="AP4028"/>
      <c r="AQ4028"/>
      <c r="AR4028"/>
      <c r="AS4028"/>
      <c r="AT4028"/>
      <c r="AU4028"/>
      <c r="AV4028"/>
    </row>
    <row r="4029" spans="41:48" x14ac:dyDescent="0.35">
      <c r="AO4029"/>
      <c r="AP4029"/>
      <c r="AQ4029"/>
      <c r="AR4029"/>
      <c r="AS4029"/>
      <c r="AT4029"/>
      <c r="AU4029"/>
      <c r="AV4029"/>
    </row>
    <row r="4030" spans="41:48" x14ac:dyDescent="0.35">
      <c r="AO4030"/>
      <c r="AP4030"/>
      <c r="AQ4030"/>
      <c r="AR4030"/>
      <c r="AS4030"/>
      <c r="AT4030"/>
      <c r="AU4030"/>
      <c r="AV4030"/>
    </row>
    <row r="4031" spans="41:48" x14ac:dyDescent="0.35">
      <c r="AO4031"/>
      <c r="AP4031"/>
      <c r="AQ4031"/>
      <c r="AR4031"/>
      <c r="AS4031"/>
      <c r="AT4031"/>
      <c r="AU4031"/>
      <c r="AV4031"/>
    </row>
    <row r="4032" spans="41:48" x14ac:dyDescent="0.35">
      <c r="AO4032"/>
      <c r="AP4032"/>
      <c r="AQ4032"/>
      <c r="AR4032"/>
      <c r="AS4032"/>
      <c r="AT4032"/>
      <c r="AU4032"/>
      <c r="AV4032"/>
    </row>
    <row r="4033" spans="41:48" x14ac:dyDescent="0.35">
      <c r="AO4033"/>
      <c r="AP4033"/>
      <c r="AQ4033"/>
      <c r="AR4033"/>
      <c r="AS4033"/>
      <c r="AT4033"/>
      <c r="AU4033"/>
      <c r="AV4033"/>
    </row>
    <row r="4034" spans="41:48" x14ac:dyDescent="0.35">
      <c r="AO4034"/>
      <c r="AP4034"/>
      <c r="AQ4034"/>
      <c r="AR4034"/>
      <c r="AS4034"/>
      <c r="AT4034"/>
      <c r="AU4034"/>
      <c r="AV4034"/>
    </row>
    <row r="4035" spans="41:48" x14ac:dyDescent="0.35">
      <c r="AO4035"/>
      <c r="AP4035"/>
      <c r="AQ4035"/>
      <c r="AR4035"/>
      <c r="AS4035"/>
      <c r="AT4035"/>
      <c r="AU4035"/>
      <c r="AV4035"/>
    </row>
    <row r="4036" spans="41:48" x14ac:dyDescent="0.35">
      <c r="AO4036"/>
      <c r="AP4036"/>
      <c r="AQ4036"/>
      <c r="AR4036"/>
      <c r="AS4036"/>
      <c r="AT4036"/>
      <c r="AU4036"/>
      <c r="AV4036"/>
    </row>
    <row r="4037" spans="41:48" x14ac:dyDescent="0.35">
      <c r="AO4037"/>
      <c r="AP4037"/>
      <c r="AQ4037"/>
      <c r="AR4037"/>
      <c r="AS4037"/>
      <c r="AT4037"/>
      <c r="AU4037"/>
      <c r="AV4037"/>
    </row>
    <row r="4038" spans="41:48" x14ac:dyDescent="0.35">
      <c r="AO4038"/>
      <c r="AP4038"/>
      <c r="AQ4038"/>
      <c r="AR4038"/>
      <c r="AS4038"/>
      <c r="AT4038"/>
      <c r="AU4038"/>
      <c r="AV4038"/>
    </row>
    <row r="4039" spans="41:48" x14ac:dyDescent="0.35">
      <c r="AO4039"/>
      <c r="AP4039"/>
      <c r="AQ4039"/>
      <c r="AR4039"/>
      <c r="AS4039"/>
      <c r="AT4039"/>
      <c r="AU4039"/>
      <c r="AV4039"/>
    </row>
    <row r="4040" spans="41:48" x14ac:dyDescent="0.35">
      <c r="AO4040"/>
      <c r="AP4040"/>
      <c r="AQ4040"/>
      <c r="AR4040"/>
      <c r="AS4040"/>
      <c r="AT4040"/>
      <c r="AU4040"/>
      <c r="AV4040"/>
    </row>
    <row r="4041" spans="41:48" x14ac:dyDescent="0.35">
      <c r="AO4041"/>
      <c r="AP4041"/>
      <c r="AQ4041"/>
      <c r="AR4041"/>
      <c r="AS4041"/>
      <c r="AT4041"/>
      <c r="AU4041"/>
      <c r="AV4041"/>
    </row>
    <row r="4042" spans="41:48" x14ac:dyDescent="0.35">
      <c r="AO4042"/>
      <c r="AP4042"/>
      <c r="AQ4042"/>
      <c r="AR4042"/>
      <c r="AS4042"/>
      <c r="AT4042"/>
      <c r="AU4042"/>
      <c r="AV4042"/>
    </row>
    <row r="4043" spans="41:48" x14ac:dyDescent="0.35">
      <c r="AO4043"/>
      <c r="AP4043"/>
      <c r="AQ4043"/>
      <c r="AR4043"/>
      <c r="AS4043"/>
      <c r="AT4043"/>
      <c r="AU4043"/>
      <c r="AV4043"/>
    </row>
    <row r="4044" spans="41:48" x14ac:dyDescent="0.35">
      <c r="AO4044"/>
      <c r="AP4044"/>
      <c r="AQ4044"/>
      <c r="AR4044"/>
      <c r="AS4044"/>
      <c r="AT4044"/>
      <c r="AU4044"/>
      <c r="AV4044"/>
    </row>
    <row r="4045" spans="41:48" x14ac:dyDescent="0.35">
      <c r="AO4045"/>
      <c r="AP4045"/>
      <c r="AQ4045"/>
      <c r="AR4045"/>
      <c r="AS4045"/>
      <c r="AT4045"/>
      <c r="AU4045"/>
      <c r="AV4045"/>
    </row>
    <row r="4046" spans="41:48" x14ac:dyDescent="0.35">
      <c r="AO4046"/>
      <c r="AP4046"/>
      <c r="AQ4046"/>
      <c r="AR4046"/>
      <c r="AS4046"/>
      <c r="AT4046"/>
      <c r="AU4046"/>
      <c r="AV4046"/>
    </row>
    <row r="4047" spans="41:48" x14ac:dyDescent="0.35">
      <c r="AO4047"/>
      <c r="AP4047"/>
      <c r="AQ4047"/>
      <c r="AR4047"/>
      <c r="AS4047"/>
      <c r="AT4047"/>
      <c r="AU4047"/>
      <c r="AV4047"/>
    </row>
    <row r="4048" spans="41:48" x14ac:dyDescent="0.35">
      <c r="AO4048"/>
      <c r="AP4048"/>
      <c r="AQ4048"/>
      <c r="AR4048"/>
      <c r="AS4048"/>
      <c r="AT4048"/>
      <c r="AU4048"/>
      <c r="AV4048"/>
    </row>
    <row r="4049" spans="41:48" x14ac:dyDescent="0.35">
      <c r="AO4049"/>
      <c r="AP4049"/>
      <c r="AQ4049"/>
      <c r="AR4049"/>
      <c r="AS4049"/>
      <c r="AT4049"/>
      <c r="AU4049"/>
      <c r="AV4049"/>
    </row>
    <row r="4050" spans="41:48" x14ac:dyDescent="0.35">
      <c r="AO4050"/>
      <c r="AP4050"/>
      <c r="AQ4050"/>
      <c r="AR4050"/>
      <c r="AS4050"/>
      <c r="AT4050"/>
      <c r="AU4050"/>
      <c r="AV4050"/>
    </row>
    <row r="4051" spans="41:48" x14ac:dyDescent="0.35">
      <c r="AO4051"/>
      <c r="AP4051"/>
      <c r="AQ4051"/>
      <c r="AR4051"/>
      <c r="AS4051"/>
      <c r="AT4051"/>
      <c r="AU4051"/>
      <c r="AV4051"/>
    </row>
    <row r="4052" spans="41:48" x14ac:dyDescent="0.35">
      <c r="AO4052"/>
      <c r="AP4052"/>
      <c r="AQ4052"/>
      <c r="AR4052"/>
      <c r="AS4052"/>
      <c r="AT4052"/>
      <c r="AU4052"/>
      <c r="AV4052"/>
    </row>
    <row r="4053" spans="41:48" x14ac:dyDescent="0.35">
      <c r="AO4053"/>
      <c r="AP4053"/>
      <c r="AQ4053"/>
      <c r="AR4053"/>
      <c r="AS4053"/>
      <c r="AT4053"/>
      <c r="AU4053"/>
      <c r="AV4053"/>
    </row>
    <row r="4054" spans="41:48" x14ac:dyDescent="0.35">
      <c r="AO4054"/>
      <c r="AP4054"/>
      <c r="AQ4054"/>
      <c r="AR4054"/>
      <c r="AS4054"/>
      <c r="AT4054"/>
      <c r="AU4054"/>
      <c r="AV4054"/>
    </row>
    <row r="4055" spans="41:48" x14ac:dyDescent="0.35">
      <c r="AO4055"/>
      <c r="AP4055"/>
      <c r="AQ4055"/>
      <c r="AR4055"/>
      <c r="AS4055"/>
      <c r="AT4055"/>
      <c r="AU4055"/>
      <c r="AV4055"/>
    </row>
    <row r="4056" spans="41:48" x14ac:dyDescent="0.35">
      <c r="AO4056"/>
      <c r="AP4056"/>
      <c r="AQ4056"/>
      <c r="AR4056"/>
      <c r="AS4056"/>
      <c r="AT4056"/>
      <c r="AU4056"/>
      <c r="AV4056"/>
    </row>
    <row r="4057" spans="41:48" x14ac:dyDescent="0.35">
      <c r="AO4057"/>
      <c r="AP4057"/>
      <c r="AQ4057"/>
      <c r="AR4057"/>
      <c r="AS4057"/>
      <c r="AT4057"/>
      <c r="AU4057"/>
      <c r="AV4057"/>
    </row>
    <row r="4058" spans="41:48" x14ac:dyDescent="0.35">
      <c r="AO4058"/>
      <c r="AP4058"/>
      <c r="AQ4058"/>
      <c r="AR4058"/>
      <c r="AS4058"/>
      <c r="AT4058"/>
      <c r="AU4058"/>
      <c r="AV4058"/>
    </row>
    <row r="4059" spans="41:48" x14ac:dyDescent="0.35">
      <c r="AO4059"/>
      <c r="AP4059"/>
      <c r="AQ4059"/>
      <c r="AR4059"/>
      <c r="AS4059"/>
      <c r="AT4059"/>
      <c r="AU4059"/>
      <c r="AV4059"/>
    </row>
    <row r="4060" spans="41:48" x14ac:dyDescent="0.35">
      <c r="AO4060"/>
      <c r="AP4060"/>
      <c r="AQ4060"/>
      <c r="AR4060"/>
      <c r="AS4060"/>
      <c r="AT4060"/>
      <c r="AU4060"/>
      <c r="AV4060"/>
    </row>
    <row r="4061" spans="41:48" x14ac:dyDescent="0.35">
      <c r="AO4061"/>
      <c r="AP4061"/>
      <c r="AQ4061"/>
      <c r="AR4061"/>
      <c r="AS4061"/>
      <c r="AT4061"/>
      <c r="AU4061"/>
      <c r="AV4061"/>
    </row>
    <row r="4062" spans="41:48" x14ac:dyDescent="0.35">
      <c r="AO4062"/>
      <c r="AP4062"/>
      <c r="AQ4062"/>
      <c r="AR4062"/>
      <c r="AS4062"/>
      <c r="AT4062"/>
      <c r="AU4062"/>
      <c r="AV4062"/>
    </row>
    <row r="4063" spans="41:48" x14ac:dyDescent="0.35">
      <c r="AO4063"/>
      <c r="AP4063"/>
      <c r="AQ4063"/>
      <c r="AR4063"/>
      <c r="AS4063"/>
      <c r="AT4063"/>
      <c r="AU4063"/>
      <c r="AV4063"/>
    </row>
    <row r="4064" spans="41:48" x14ac:dyDescent="0.35">
      <c r="AO4064"/>
      <c r="AP4064"/>
      <c r="AQ4064"/>
      <c r="AR4064"/>
      <c r="AS4064"/>
      <c r="AT4064"/>
      <c r="AU4064"/>
      <c r="AV4064"/>
    </row>
    <row r="4065" spans="41:48" x14ac:dyDescent="0.35">
      <c r="AO4065"/>
      <c r="AP4065"/>
      <c r="AQ4065"/>
      <c r="AR4065"/>
      <c r="AS4065"/>
      <c r="AT4065"/>
      <c r="AU4065"/>
      <c r="AV4065"/>
    </row>
    <row r="4066" spans="41:48" x14ac:dyDescent="0.35">
      <c r="AO4066"/>
      <c r="AP4066"/>
      <c r="AQ4066"/>
      <c r="AR4066"/>
      <c r="AS4066"/>
      <c r="AT4066"/>
      <c r="AU4066"/>
      <c r="AV4066"/>
    </row>
    <row r="4067" spans="41:48" x14ac:dyDescent="0.35">
      <c r="AO4067"/>
      <c r="AP4067"/>
      <c r="AQ4067"/>
      <c r="AR4067"/>
      <c r="AS4067"/>
      <c r="AT4067"/>
      <c r="AU4067"/>
      <c r="AV4067"/>
    </row>
    <row r="4068" spans="41:48" x14ac:dyDescent="0.35">
      <c r="AO4068"/>
      <c r="AP4068"/>
      <c r="AQ4068"/>
      <c r="AR4068"/>
      <c r="AS4068"/>
      <c r="AT4068"/>
      <c r="AU4068"/>
      <c r="AV4068"/>
    </row>
    <row r="4069" spans="41:48" x14ac:dyDescent="0.35">
      <c r="AO4069"/>
      <c r="AP4069"/>
      <c r="AQ4069"/>
      <c r="AR4069"/>
      <c r="AS4069"/>
      <c r="AT4069"/>
      <c r="AU4069"/>
      <c r="AV4069"/>
    </row>
    <row r="4070" spans="41:48" x14ac:dyDescent="0.35">
      <c r="AO4070"/>
      <c r="AP4070"/>
      <c r="AQ4070"/>
      <c r="AR4070"/>
      <c r="AS4070"/>
      <c r="AT4070"/>
      <c r="AU4070"/>
      <c r="AV4070"/>
    </row>
    <row r="4071" spans="41:48" x14ac:dyDescent="0.35">
      <c r="AO4071"/>
      <c r="AP4071"/>
      <c r="AQ4071"/>
      <c r="AR4071"/>
      <c r="AS4071"/>
      <c r="AT4071"/>
      <c r="AU4071"/>
      <c r="AV4071"/>
    </row>
    <row r="4072" spans="41:48" x14ac:dyDescent="0.35">
      <c r="AO4072"/>
      <c r="AP4072"/>
      <c r="AQ4072"/>
      <c r="AR4072"/>
      <c r="AS4072"/>
      <c r="AT4072"/>
      <c r="AU4072"/>
      <c r="AV4072"/>
    </row>
    <row r="4073" spans="41:48" x14ac:dyDescent="0.35">
      <c r="AO4073"/>
      <c r="AP4073"/>
      <c r="AQ4073"/>
      <c r="AR4073"/>
      <c r="AS4073"/>
      <c r="AT4073"/>
      <c r="AU4073"/>
      <c r="AV4073"/>
    </row>
    <row r="4074" spans="41:48" x14ac:dyDescent="0.35">
      <c r="AO4074"/>
      <c r="AP4074"/>
      <c r="AQ4074"/>
      <c r="AR4074"/>
      <c r="AS4074"/>
      <c r="AT4074"/>
      <c r="AU4074"/>
      <c r="AV4074"/>
    </row>
    <row r="4075" spans="41:48" x14ac:dyDescent="0.35">
      <c r="AO4075"/>
      <c r="AP4075"/>
      <c r="AQ4075"/>
      <c r="AR4075"/>
      <c r="AS4075"/>
      <c r="AT4075"/>
      <c r="AU4075"/>
      <c r="AV4075"/>
    </row>
    <row r="4076" spans="41:48" x14ac:dyDescent="0.35">
      <c r="AO4076"/>
      <c r="AP4076"/>
      <c r="AQ4076"/>
      <c r="AR4076"/>
      <c r="AS4076"/>
      <c r="AT4076"/>
      <c r="AU4076"/>
      <c r="AV4076"/>
    </row>
    <row r="4077" spans="41:48" x14ac:dyDescent="0.35">
      <c r="AO4077"/>
      <c r="AP4077"/>
      <c r="AQ4077"/>
      <c r="AR4077"/>
      <c r="AS4077"/>
      <c r="AT4077"/>
      <c r="AU4077"/>
      <c r="AV4077"/>
    </row>
    <row r="4078" spans="41:48" x14ac:dyDescent="0.35">
      <c r="AO4078"/>
      <c r="AP4078"/>
      <c r="AQ4078"/>
      <c r="AR4078"/>
      <c r="AS4078"/>
      <c r="AT4078"/>
      <c r="AU4078"/>
      <c r="AV4078"/>
    </row>
    <row r="4079" spans="41:48" x14ac:dyDescent="0.35">
      <c r="AO4079"/>
      <c r="AP4079"/>
      <c r="AQ4079"/>
      <c r="AR4079"/>
      <c r="AS4079"/>
      <c r="AT4079"/>
      <c r="AU4079"/>
      <c r="AV4079"/>
    </row>
    <row r="4080" spans="41:48" x14ac:dyDescent="0.35">
      <c r="AO4080"/>
      <c r="AP4080"/>
      <c r="AQ4080"/>
      <c r="AR4080"/>
      <c r="AS4080"/>
      <c r="AT4080"/>
      <c r="AU4080"/>
      <c r="AV4080"/>
    </row>
    <row r="4081" spans="41:48" x14ac:dyDescent="0.35">
      <c r="AO4081"/>
      <c r="AP4081"/>
      <c r="AQ4081"/>
      <c r="AR4081"/>
      <c r="AS4081"/>
      <c r="AT4081"/>
      <c r="AU4081"/>
      <c r="AV4081"/>
    </row>
    <row r="4082" spans="41:48" x14ac:dyDescent="0.35">
      <c r="AO4082"/>
      <c r="AP4082"/>
      <c r="AQ4082"/>
      <c r="AR4082"/>
      <c r="AS4082"/>
      <c r="AT4082"/>
      <c r="AU4082"/>
      <c r="AV4082"/>
    </row>
    <row r="4083" spans="41:48" x14ac:dyDescent="0.35">
      <c r="AO4083"/>
      <c r="AP4083"/>
      <c r="AQ4083"/>
      <c r="AR4083"/>
      <c r="AS4083"/>
      <c r="AT4083"/>
      <c r="AU4083"/>
      <c r="AV4083"/>
    </row>
    <row r="4084" spans="41:48" x14ac:dyDescent="0.35">
      <c r="AO4084"/>
      <c r="AP4084"/>
      <c r="AQ4084"/>
      <c r="AR4084"/>
      <c r="AS4084"/>
      <c r="AT4084"/>
      <c r="AU4084"/>
      <c r="AV4084"/>
    </row>
    <row r="4085" spans="41:48" x14ac:dyDescent="0.35">
      <c r="AO4085"/>
      <c r="AP4085"/>
      <c r="AQ4085"/>
      <c r="AR4085"/>
      <c r="AS4085"/>
      <c r="AT4085"/>
      <c r="AU4085"/>
      <c r="AV4085"/>
    </row>
    <row r="4086" spans="41:48" x14ac:dyDescent="0.35">
      <c r="AO4086"/>
      <c r="AP4086"/>
      <c r="AQ4086"/>
      <c r="AR4086"/>
      <c r="AS4086"/>
      <c r="AT4086"/>
      <c r="AU4086"/>
      <c r="AV4086"/>
    </row>
    <row r="4087" spans="41:48" x14ac:dyDescent="0.35">
      <c r="AO4087"/>
      <c r="AP4087"/>
      <c r="AQ4087"/>
      <c r="AR4087"/>
      <c r="AS4087"/>
      <c r="AT4087"/>
      <c r="AU4087"/>
      <c r="AV4087"/>
    </row>
    <row r="4088" spans="41:48" x14ac:dyDescent="0.35">
      <c r="AO4088"/>
      <c r="AP4088"/>
      <c r="AQ4088"/>
      <c r="AR4088"/>
      <c r="AS4088"/>
      <c r="AT4088"/>
      <c r="AU4088"/>
      <c r="AV4088"/>
    </row>
    <row r="4089" spans="41:48" x14ac:dyDescent="0.35">
      <c r="AO4089"/>
      <c r="AP4089"/>
      <c r="AQ4089"/>
      <c r="AR4089"/>
      <c r="AS4089"/>
      <c r="AT4089"/>
      <c r="AU4089"/>
      <c r="AV4089"/>
    </row>
    <row r="4090" spans="41:48" x14ac:dyDescent="0.35">
      <c r="AO4090"/>
      <c r="AP4090"/>
      <c r="AQ4090"/>
      <c r="AR4090"/>
      <c r="AS4090"/>
      <c r="AT4090"/>
      <c r="AU4090"/>
      <c r="AV4090"/>
    </row>
    <row r="4091" spans="41:48" x14ac:dyDescent="0.35">
      <c r="AO4091"/>
      <c r="AP4091"/>
      <c r="AQ4091"/>
      <c r="AR4091"/>
      <c r="AS4091"/>
      <c r="AT4091"/>
      <c r="AU4091"/>
      <c r="AV4091"/>
    </row>
    <row r="4092" spans="41:48" x14ac:dyDescent="0.35">
      <c r="AO4092"/>
      <c r="AP4092"/>
      <c r="AQ4092"/>
      <c r="AR4092"/>
      <c r="AS4092"/>
      <c r="AT4092"/>
      <c r="AU4092"/>
      <c r="AV4092"/>
    </row>
    <row r="4093" spans="41:48" x14ac:dyDescent="0.35">
      <c r="AO4093"/>
      <c r="AP4093"/>
      <c r="AQ4093"/>
      <c r="AR4093"/>
      <c r="AS4093"/>
      <c r="AT4093"/>
      <c r="AU4093"/>
      <c r="AV4093"/>
    </row>
    <row r="4094" spans="41:48" x14ac:dyDescent="0.35">
      <c r="AO4094"/>
      <c r="AP4094"/>
      <c r="AQ4094"/>
      <c r="AR4094"/>
      <c r="AS4094"/>
      <c r="AT4094"/>
      <c r="AU4094"/>
      <c r="AV4094"/>
    </row>
    <row r="4095" spans="41:48" x14ac:dyDescent="0.35">
      <c r="AO4095"/>
      <c r="AP4095"/>
      <c r="AQ4095"/>
      <c r="AR4095"/>
      <c r="AS4095"/>
      <c r="AT4095"/>
      <c r="AU4095"/>
      <c r="AV4095"/>
    </row>
    <row r="4096" spans="41:48" x14ac:dyDescent="0.35">
      <c r="AO4096"/>
      <c r="AP4096"/>
      <c r="AQ4096"/>
      <c r="AR4096"/>
      <c r="AS4096"/>
      <c r="AT4096"/>
      <c r="AU4096"/>
      <c r="AV4096"/>
    </row>
    <row r="4097" spans="41:48" x14ac:dyDescent="0.35">
      <c r="AO4097"/>
      <c r="AP4097"/>
      <c r="AQ4097"/>
      <c r="AR4097"/>
      <c r="AS4097"/>
      <c r="AT4097"/>
      <c r="AU4097"/>
      <c r="AV4097"/>
    </row>
    <row r="4098" spans="41:48" x14ac:dyDescent="0.35">
      <c r="AO4098"/>
      <c r="AP4098"/>
      <c r="AQ4098"/>
      <c r="AR4098"/>
      <c r="AS4098"/>
      <c r="AT4098"/>
      <c r="AU4098"/>
      <c r="AV4098"/>
    </row>
    <row r="4099" spans="41:48" x14ac:dyDescent="0.35">
      <c r="AO4099"/>
      <c r="AP4099"/>
      <c r="AQ4099"/>
      <c r="AR4099"/>
      <c r="AS4099"/>
      <c r="AT4099"/>
      <c r="AU4099"/>
      <c r="AV4099"/>
    </row>
    <row r="4100" spans="41:48" x14ac:dyDescent="0.35">
      <c r="AO4100"/>
      <c r="AP4100"/>
      <c r="AQ4100"/>
      <c r="AR4100"/>
      <c r="AS4100"/>
      <c r="AT4100"/>
      <c r="AU4100"/>
      <c r="AV4100"/>
    </row>
    <row r="4101" spans="41:48" x14ac:dyDescent="0.35">
      <c r="AO4101"/>
      <c r="AP4101"/>
      <c r="AQ4101"/>
      <c r="AR4101"/>
      <c r="AS4101"/>
      <c r="AT4101"/>
      <c r="AU4101"/>
      <c r="AV4101"/>
    </row>
    <row r="4102" spans="41:48" x14ac:dyDescent="0.35">
      <c r="AO4102"/>
      <c r="AP4102"/>
      <c r="AQ4102"/>
      <c r="AR4102"/>
      <c r="AS4102"/>
      <c r="AT4102"/>
      <c r="AU4102"/>
      <c r="AV4102"/>
    </row>
    <row r="4103" spans="41:48" x14ac:dyDescent="0.35">
      <c r="AO4103"/>
      <c r="AP4103"/>
      <c r="AQ4103"/>
      <c r="AR4103"/>
      <c r="AS4103"/>
      <c r="AT4103"/>
      <c r="AU4103"/>
      <c r="AV4103"/>
    </row>
    <row r="4104" spans="41:48" x14ac:dyDescent="0.35">
      <c r="AO4104"/>
      <c r="AP4104"/>
      <c r="AQ4104"/>
      <c r="AR4104"/>
      <c r="AS4104"/>
      <c r="AT4104"/>
      <c r="AU4104"/>
      <c r="AV4104"/>
    </row>
    <row r="4105" spans="41:48" x14ac:dyDescent="0.35">
      <c r="AO4105"/>
      <c r="AP4105"/>
      <c r="AQ4105"/>
      <c r="AR4105"/>
      <c r="AS4105"/>
      <c r="AT4105"/>
      <c r="AU4105"/>
      <c r="AV4105"/>
    </row>
    <row r="4106" spans="41:48" x14ac:dyDescent="0.35">
      <c r="AO4106"/>
      <c r="AP4106"/>
      <c r="AQ4106"/>
      <c r="AR4106"/>
      <c r="AS4106"/>
      <c r="AT4106"/>
      <c r="AU4106"/>
      <c r="AV4106"/>
    </row>
    <row r="4107" spans="41:48" x14ac:dyDescent="0.35">
      <c r="AO4107"/>
      <c r="AP4107"/>
      <c r="AQ4107"/>
      <c r="AR4107"/>
      <c r="AS4107"/>
      <c r="AT4107"/>
      <c r="AU4107"/>
      <c r="AV4107"/>
    </row>
    <row r="4108" spans="41:48" x14ac:dyDescent="0.35">
      <c r="AO4108"/>
      <c r="AP4108"/>
      <c r="AQ4108"/>
      <c r="AR4108"/>
      <c r="AS4108"/>
      <c r="AT4108"/>
      <c r="AU4108"/>
      <c r="AV4108"/>
    </row>
    <row r="4109" spans="41:48" x14ac:dyDescent="0.35">
      <c r="AO4109"/>
      <c r="AP4109"/>
      <c r="AQ4109"/>
      <c r="AR4109"/>
      <c r="AS4109"/>
      <c r="AT4109"/>
      <c r="AU4109"/>
      <c r="AV4109"/>
    </row>
    <row r="4110" spans="41:48" x14ac:dyDescent="0.35">
      <c r="AO4110"/>
      <c r="AP4110"/>
      <c r="AQ4110"/>
      <c r="AR4110"/>
      <c r="AS4110"/>
      <c r="AT4110"/>
      <c r="AU4110"/>
      <c r="AV4110"/>
    </row>
    <row r="4111" spans="41:48" x14ac:dyDescent="0.35">
      <c r="AO4111"/>
      <c r="AP4111"/>
      <c r="AQ4111"/>
      <c r="AR4111"/>
      <c r="AS4111"/>
      <c r="AT4111"/>
      <c r="AU4111"/>
      <c r="AV4111"/>
    </row>
    <row r="4112" spans="41:48" x14ac:dyDescent="0.35">
      <c r="AO4112"/>
      <c r="AP4112"/>
      <c r="AQ4112"/>
      <c r="AR4112"/>
      <c r="AS4112"/>
      <c r="AT4112"/>
      <c r="AU4112"/>
      <c r="AV4112"/>
    </row>
    <row r="4113" spans="41:48" x14ac:dyDescent="0.35">
      <c r="AO4113"/>
      <c r="AP4113"/>
      <c r="AQ4113"/>
      <c r="AR4113"/>
      <c r="AS4113"/>
      <c r="AT4113"/>
      <c r="AU4113"/>
      <c r="AV4113"/>
    </row>
    <row r="4114" spans="41:48" x14ac:dyDescent="0.35">
      <c r="AO4114"/>
      <c r="AP4114"/>
      <c r="AQ4114"/>
      <c r="AR4114"/>
      <c r="AS4114"/>
      <c r="AT4114"/>
      <c r="AU4114"/>
      <c r="AV4114"/>
    </row>
    <row r="4115" spans="41:48" x14ac:dyDescent="0.35">
      <c r="AO4115"/>
      <c r="AP4115"/>
      <c r="AQ4115"/>
      <c r="AR4115"/>
      <c r="AS4115"/>
      <c r="AT4115"/>
      <c r="AU4115"/>
      <c r="AV4115"/>
    </row>
    <row r="4116" spans="41:48" x14ac:dyDescent="0.35">
      <c r="AO4116"/>
      <c r="AP4116"/>
      <c r="AQ4116"/>
      <c r="AR4116"/>
      <c r="AS4116"/>
      <c r="AT4116"/>
      <c r="AU4116"/>
      <c r="AV4116"/>
    </row>
    <row r="4117" spans="41:48" x14ac:dyDescent="0.35">
      <c r="AO4117"/>
      <c r="AP4117"/>
      <c r="AQ4117"/>
      <c r="AR4117"/>
      <c r="AS4117"/>
      <c r="AT4117"/>
      <c r="AU4117"/>
      <c r="AV4117"/>
    </row>
    <row r="4118" spans="41:48" x14ac:dyDescent="0.35">
      <c r="AO4118"/>
      <c r="AP4118"/>
      <c r="AQ4118"/>
      <c r="AR4118"/>
      <c r="AS4118"/>
      <c r="AT4118"/>
      <c r="AU4118"/>
      <c r="AV4118"/>
    </row>
    <row r="4119" spans="41:48" x14ac:dyDescent="0.35">
      <c r="AO4119"/>
      <c r="AP4119"/>
      <c r="AQ4119"/>
      <c r="AR4119"/>
      <c r="AS4119"/>
      <c r="AT4119"/>
      <c r="AU4119"/>
      <c r="AV4119"/>
    </row>
    <row r="4120" spans="41:48" x14ac:dyDescent="0.35">
      <c r="AO4120"/>
      <c r="AP4120"/>
      <c r="AQ4120"/>
      <c r="AR4120"/>
      <c r="AS4120"/>
      <c r="AT4120"/>
      <c r="AU4120"/>
      <c r="AV4120"/>
    </row>
    <row r="4121" spans="41:48" x14ac:dyDescent="0.35">
      <c r="AO4121"/>
      <c r="AP4121"/>
      <c r="AQ4121"/>
      <c r="AR4121"/>
      <c r="AS4121"/>
      <c r="AT4121"/>
      <c r="AU4121"/>
      <c r="AV4121"/>
    </row>
    <row r="4122" spans="41:48" x14ac:dyDescent="0.35">
      <c r="AO4122"/>
      <c r="AP4122"/>
      <c r="AQ4122"/>
      <c r="AR4122"/>
      <c r="AS4122"/>
      <c r="AT4122"/>
      <c r="AU4122"/>
      <c r="AV4122"/>
    </row>
    <row r="4123" spans="41:48" x14ac:dyDescent="0.35">
      <c r="AO4123"/>
      <c r="AP4123"/>
      <c r="AQ4123"/>
      <c r="AR4123"/>
      <c r="AS4123"/>
      <c r="AT4123"/>
      <c r="AU4123"/>
      <c r="AV4123"/>
    </row>
    <row r="4124" spans="41:48" x14ac:dyDescent="0.35">
      <c r="AO4124"/>
      <c r="AP4124"/>
      <c r="AQ4124"/>
      <c r="AR4124"/>
      <c r="AS4124"/>
      <c r="AT4124"/>
      <c r="AU4124"/>
      <c r="AV4124"/>
    </row>
    <row r="4125" spans="41:48" x14ac:dyDescent="0.35">
      <c r="AO4125"/>
      <c r="AP4125"/>
      <c r="AQ4125"/>
      <c r="AR4125"/>
      <c r="AS4125"/>
      <c r="AT4125"/>
      <c r="AU4125"/>
      <c r="AV4125"/>
    </row>
    <row r="4126" spans="41:48" x14ac:dyDescent="0.35">
      <c r="AO4126"/>
      <c r="AP4126"/>
      <c r="AQ4126"/>
      <c r="AR4126"/>
      <c r="AS4126"/>
      <c r="AT4126"/>
      <c r="AU4126"/>
      <c r="AV4126"/>
    </row>
    <row r="4127" spans="41:48" x14ac:dyDescent="0.35">
      <c r="AO4127"/>
      <c r="AP4127"/>
      <c r="AQ4127"/>
      <c r="AR4127"/>
      <c r="AS4127"/>
      <c r="AT4127"/>
      <c r="AU4127"/>
      <c r="AV4127"/>
    </row>
    <row r="4128" spans="41:48" x14ac:dyDescent="0.35">
      <c r="AO4128"/>
      <c r="AP4128"/>
      <c r="AQ4128"/>
      <c r="AR4128"/>
      <c r="AS4128"/>
      <c r="AT4128"/>
      <c r="AU4128"/>
      <c r="AV4128"/>
    </row>
    <row r="4129" spans="41:48" x14ac:dyDescent="0.35">
      <c r="AO4129"/>
      <c r="AP4129"/>
      <c r="AQ4129"/>
      <c r="AR4129"/>
      <c r="AS4129"/>
      <c r="AT4129"/>
      <c r="AU4129"/>
      <c r="AV4129"/>
    </row>
    <row r="4130" spans="41:48" x14ac:dyDescent="0.35">
      <c r="AO4130"/>
      <c r="AP4130"/>
      <c r="AQ4130"/>
      <c r="AR4130"/>
      <c r="AS4130"/>
      <c r="AT4130"/>
      <c r="AU4130"/>
      <c r="AV4130"/>
    </row>
    <row r="4131" spans="41:48" x14ac:dyDescent="0.35">
      <c r="AO4131"/>
      <c r="AP4131"/>
      <c r="AQ4131"/>
      <c r="AR4131"/>
      <c r="AS4131"/>
      <c r="AT4131"/>
      <c r="AU4131"/>
      <c r="AV4131"/>
    </row>
    <row r="4132" spans="41:48" x14ac:dyDescent="0.35">
      <c r="AO4132"/>
      <c r="AP4132"/>
      <c r="AQ4132"/>
      <c r="AR4132"/>
      <c r="AS4132"/>
      <c r="AT4132"/>
      <c r="AU4132"/>
      <c r="AV4132"/>
    </row>
    <row r="4133" spans="41:48" x14ac:dyDescent="0.35">
      <c r="AO4133"/>
      <c r="AP4133"/>
      <c r="AQ4133"/>
      <c r="AR4133"/>
      <c r="AS4133"/>
      <c r="AT4133"/>
      <c r="AU4133"/>
      <c r="AV4133"/>
    </row>
    <row r="4134" spans="41:48" x14ac:dyDescent="0.35">
      <c r="AO4134"/>
      <c r="AP4134"/>
      <c r="AQ4134"/>
      <c r="AR4134"/>
      <c r="AS4134"/>
      <c r="AT4134"/>
      <c r="AU4134"/>
      <c r="AV4134"/>
    </row>
    <row r="4135" spans="41:48" x14ac:dyDescent="0.35">
      <c r="AO4135"/>
      <c r="AP4135"/>
      <c r="AQ4135"/>
      <c r="AR4135"/>
      <c r="AS4135"/>
      <c r="AT4135"/>
      <c r="AU4135"/>
      <c r="AV4135"/>
    </row>
    <row r="4136" spans="41:48" x14ac:dyDescent="0.35">
      <c r="AO4136"/>
      <c r="AP4136"/>
      <c r="AQ4136"/>
      <c r="AR4136"/>
      <c r="AS4136"/>
      <c r="AT4136"/>
      <c r="AU4136"/>
      <c r="AV4136"/>
    </row>
    <row r="4137" spans="41:48" x14ac:dyDescent="0.35">
      <c r="AO4137"/>
      <c r="AP4137"/>
      <c r="AQ4137"/>
      <c r="AR4137"/>
      <c r="AS4137"/>
      <c r="AT4137"/>
      <c r="AU4137"/>
      <c r="AV4137"/>
    </row>
    <row r="4138" spans="41:48" x14ac:dyDescent="0.35">
      <c r="AO4138"/>
      <c r="AP4138"/>
      <c r="AQ4138"/>
      <c r="AR4138"/>
      <c r="AS4138"/>
      <c r="AT4138"/>
      <c r="AU4138"/>
      <c r="AV4138"/>
    </row>
    <row r="4139" spans="41:48" x14ac:dyDescent="0.35">
      <c r="AO4139"/>
      <c r="AP4139"/>
      <c r="AQ4139"/>
      <c r="AR4139"/>
      <c r="AS4139"/>
      <c r="AT4139"/>
      <c r="AU4139"/>
      <c r="AV4139"/>
    </row>
    <row r="4140" spans="41:48" x14ac:dyDescent="0.35">
      <c r="AO4140"/>
      <c r="AP4140"/>
      <c r="AQ4140"/>
      <c r="AR4140"/>
      <c r="AS4140"/>
      <c r="AT4140"/>
      <c r="AU4140"/>
      <c r="AV4140"/>
    </row>
    <row r="4141" spans="41:48" x14ac:dyDescent="0.35">
      <c r="AO4141"/>
      <c r="AP4141"/>
      <c r="AQ4141"/>
      <c r="AR4141"/>
      <c r="AS4141"/>
      <c r="AT4141"/>
      <c r="AU4141"/>
      <c r="AV4141"/>
    </row>
    <row r="4142" spans="41:48" x14ac:dyDescent="0.35">
      <c r="AO4142"/>
      <c r="AP4142"/>
      <c r="AQ4142"/>
      <c r="AR4142"/>
      <c r="AS4142"/>
      <c r="AT4142"/>
      <c r="AU4142"/>
      <c r="AV4142"/>
    </row>
    <row r="4143" spans="41:48" x14ac:dyDescent="0.35">
      <c r="AO4143"/>
      <c r="AP4143"/>
      <c r="AQ4143"/>
      <c r="AR4143"/>
      <c r="AS4143"/>
      <c r="AT4143"/>
      <c r="AU4143"/>
      <c r="AV4143"/>
    </row>
    <row r="4144" spans="41:48" x14ac:dyDescent="0.35">
      <c r="AO4144"/>
      <c r="AP4144"/>
      <c r="AQ4144"/>
      <c r="AR4144"/>
      <c r="AS4144"/>
      <c r="AT4144"/>
      <c r="AU4144"/>
      <c r="AV4144"/>
    </row>
    <row r="4145" spans="41:48" x14ac:dyDescent="0.35">
      <c r="AO4145"/>
      <c r="AP4145"/>
      <c r="AQ4145"/>
      <c r="AR4145"/>
      <c r="AS4145"/>
      <c r="AT4145"/>
      <c r="AU4145"/>
      <c r="AV4145"/>
    </row>
    <row r="4146" spans="41:48" x14ac:dyDescent="0.35">
      <c r="AO4146"/>
      <c r="AP4146"/>
      <c r="AQ4146"/>
      <c r="AR4146"/>
      <c r="AS4146"/>
      <c r="AT4146"/>
      <c r="AU4146"/>
      <c r="AV4146"/>
    </row>
    <row r="4147" spans="41:48" x14ac:dyDescent="0.35">
      <c r="AO4147"/>
      <c r="AP4147"/>
      <c r="AQ4147"/>
      <c r="AR4147"/>
      <c r="AS4147"/>
      <c r="AT4147"/>
      <c r="AU4147"/>
      <c r="AV4147"/>
    </row>
    <row r="4148" spans="41:48" x14ac:dyDescent="0.35">
      <c r="AO4148"/>
      <c r="AP4148"/>
      <c r="AQ4148"/>
      <c r="AR4148"/>
      <c r="AS4148"/>
      <c r="AT4148"/>
      <c r="AU4148"/>
      <c r="AV4148"/>
    </row>
    <row r="4149" spans="41:48" x14ac:dyDescent="0.35">
      <c r="AO4149"/>
      <c r="AP4149"/>
      <c r="AQ4149"/>
      <c r="AR4149"/>
      <c r="AS4149"/>
      <c r="AT4149"/>
      <c r="AU4149"/>
      <c r="AV4149"/>
    </row>
    <row r="4150" spans="41:48" x14ac:dyDescent="0.35">
      <c r="AO4150"/>
      <c r="AP4150"/>
      <c r="AQ4150"/>
      <c r="AR4150"/>
      <c r="AS4150"/>
      <c r="AT4150"/>
      <c r="AU4150"/>
      <c r="AV4150"/>
    </row>
    <row r="4151" spans="41:48" x14ac:dyDescent="0.35">
      <c r="AO4151"/>
      <c r="AP4151"/>
      <c r="AQ4151"/>
      <c r="AR4151"/>
      <c r="AS4151"/>
      <c r="AT4151"/>
      <c r="AU4151"/>
      <c r="AV4151"/>
    </row>
    <row r="4152" spans="41:48" x14ac:dyDescent="0.35">
      <c r="AO4152"/>
      <c r="AP4152"/>
      <c r="AQ4152"/>
      <c r="AR4152"/>
      <c r="AS4152"/>
      <c r="AT4152"/>
      <c r="AU4152"/>
      <c r="AV4152"/>
    </row>
    <row r="4153" spans="41:48" x14ac:dyDescent="0.35">
      <c r="AO4153"/>
      <c r="AP4153"/>
      <c r="AQ4153"/>
      <c r="AR4153"/>
      <c r="AS4153"/>
      <c r="AT4153"/>
      <c r="AU4153"/>
      <c r="AV4153"/>
    </row>
    <row r="4154" spans="41:48" x14ac:dyDescent="0.35">
      <c r="AO4154"/>
      <c r="AP4154"/>
      <c r="AQ4154"/>
      <c r="AR4154"/>
      <c r="AS4154"/>
      <c r="AT4154"/>
      <c r="AU4154"/>
      <c r="AV4154"/>
    </row>
    <row r="4155" spans="41:48" x14ac:dyDescent="0.35">
      <c r="AO4155"/>
      <c r="AP4155"/>
      <c r="AQ4155"/>
      <c r="AR4155"/>
      <c r="AS4155"/>
      <c r="AT4155"/>
      <c r="AU4155"/>
      <c r="AV4155"/>
    </row>
    <row r="4156" spans="41:48" x14ac:dyDescent="0.35">
      <c r="AO4156"/>
      <c r="AP4156"/>
      <c r="AQ4156"/>
      <c r="AR4156"/>
      <c r="AS4156"/>
      <c r="AT4156"/>
      <c r="AU4156"/>
      <c r="AV4156"/>
    </row>
    <row r="4157" spans="41:48" x14ac:dyDescent="0.35">
      <c r="AO4157"/>
      <c r="AP4157"/>
      <c r="AQ4157"/>
      <c r="AR4157"/>
      <c r="AS4157"/>
      <c r="AT4157"/>
      <c r="AU4157"/>
      <c r="AV4157"/>
    </row>
    <row r="4158" spans="41:48" x14ac:dyDescent="0.35">
      <c r="AO4158"/>
      <c r="AP4158"/>
      <c r="AQ4158"/>
      <c r="AR4158"/>
      <c r="AS4158"/>
      <c r="AT4158"/>
      <c r="AU4158"/>
      <c r="AV4158"/>
    </row>
    <row r="4159" spans="41:48" x14ac:dyDescent="0.35">
      <c r="AO4159"/>
      <c r="AP4159"/>
      <c r="AQ4159"/>
      <c r="AR4159"/>
      <c r="AS4159"/>
      <c r="AT4159"/>
      <c r="AU4159"/>
      <c r="AV4159"/>
    </row>
    <row r="4160" spans="41:48" x14ac:dyDescent="0.35">
      <c r="AO4160"/>
      <c r="AP4160"/>
      <c r="AQ4160"/>
      <c r="AR4160"/>
      <c r="AS4160"/>
      <c r="AT4160"/>
      <c r="AU4160"/>
      <c r="AV4160"/>
    </row>
    <row r="4161" spans="41:48" x14ac:dyDescent="0.35">
      <c r="AO4161"/>
      <c r="AP4161"/>
      <c r="AQ4161"/>
      <c r="AR4161"/>
      <c r="AS4161"/>
      <c r="AT4161"/>
      <c r="AU4161"/>
      <c r="AV4161"/>
    </row>
    <row r="4162" spans="41:48" x14ac:dyDescent="0.35">
      <c r="AO4162"/>
      <c r="AP4162"/>
      <c r="AQ4162"/>
      <c r="AR4162"/>
      <c r="AS4162"/>
      <c r="AT4162"/>
      <c r="AU4162"/>
      <c r="AV4162"/>
    </row>
    <row r="4163" spans="41:48" x14ac:dyDescent="0.35">
      <c r="AO4163"/>
      <c r="AP4163"/>
      <c r="AQ4163"/>
      <c r="AR4163"/>
      <c r="AS4163"/>
      <c r="AT4163"/>
      <c r="AU4163"/>
      <c r="AV4163"/>
    </row>
    <row r="4164" spans="41:48" x14ac:dyDescent="0.35">
      <c r="AO4164"/>
      <c r="AP4164"/>
      <c r="AQ4164"/>
      <c r="AR4164"/>
      <c r="AS4164"/>
      <c r="AT4164"/>
      <c r="AU4164"/>
      <c r="AV4164"/>
    </row>
    <row r="4165" spans="41:48" x14ac:dyDescent="0.35">
      <c r="AO4165"/>
      <c r="AP4165"/>
      <c r="AQ4165"/>
      <c r="AR4165"/>
      <c r="AS4165"/>
      <c r="AT4165"/>
      <c r="AU4165"/>
      <c r="AV4165"/>
    </row>
    <row r="4166" spans="41:48" x14ac:dyDescent="0.35">
      <c r="AO4166"/>
      <c r="AP4166"/>
      <c r="AQ4166"/>
      <c r="AR4166"/>
      <c r="AS4166"/>
      <c r="AT4166"/>
      <c r="AU4166"/>
      <c r="AV4166"/>
    </row>
    <row r="4167" spans="41:48" x14ac:dyDescent="0.35">
      <c r="AO4167"/>
      <c r="AP4167"/>
      <c r="AQ4167"/>
      <c r="AR4167"/>
      <c r="AS4167"/>
      <c r="AT4167"/>
      <c r="AU4167"/>
      <c r="AV4167"/>
    </row>
    <row r="4168" spans="41:48" x14ac:dyDescent="0.35">
      <c r="AO4168"/>
      <c r="AP4168"/>
      <c r="AQ4168"/>
      <c r="AR4168"/>
      <c r="AS4168"/>
      <c r="AT4168"/>
      <c r="AU4168"/>
      <c r="AV4168"/>
    </row>
    <row r="4169" spans="41:48" x14ac:dyDescent="0.35">
      <c r="AO4169"/>
      <c r="AP4169"/>
      <c r="AQ4169"/>
      <c r="AR4169"/>
      <c r="AS4169"/>
      <c r="AT4169"/>
      <c r="AU4169"/>
      <c r="AV4169"/>
    </row>
    <row r="4170" spans="41:48" x14ac:dyDescent="0.35">
      <c r="AO4170"/>
      <c r="AP4170"/>
      <c r="AQ4170"/>
      <c r="AR4170"/>
      <c r="AS4170"/>
      <c r="AT4170"/>
      <c r="AU4170"/>
      <c r="AV4170"/>
    </row>
    <row r="4171" spans="41:48" x14ac:dyDescent="0.35">
      <c r="AO4171"/>
      <c r="AP4171"/>
      <c r="AQ4171"/>
      <c r="AR4171"/>
      <c r="AS4171"/>
      <c r="AT4171"/>
      <c r="AU4171"/>
      <c r="AV4171"/>
    </row>
    <row r="4172" spans="41:48" x14ac:dyDescent="0.35">
      <c r="AO4172"/>
      <c r="AP4172"/>
      <c r="AQ4172"/>
      <c r="AR4172"/>
      <c r="AS4172"/>
      <c r="AT4172"/>
      <c r="AU4172"/>
      <c r="AV4172"/>
    </row>
    <row r="4173" spans="41:48" x14ac:dyDescent="0.35">
      <c r="AO4173"/>
      <c r="AP4173"/>
      <c r="AQ4173"/>
      <c r="AR4173"/>
      <c r="AS4173"/>
      <c r="AT4173"/>
      <c r="AU4173"/>
      <c r="AV4173"/>
    </row>
    <row r="4174" spans="41:48" x14ac:dyDescent="0.35">
      <c r="AO4174"/>
      <c r="AP4174"/>
      <c r="AQ4174"/>
      <c r="AR4174"/>
      <c r="AS4174"/>
      <c r="AT4174"/>
      <c r="AU4174"/>
      <c r="AV4174"/>
    </row>
    <row r="4175" spans="41:48" x14ac:dyDescent="0.35">
      <c r="AO4175"/>
      <c r="AP4175"/>
      <c r="AQ4175"/>
      <c r="AR4175"/>
      <c r="AS4175"/>
      <c r="AT4175"/>
      <c r="AU4175"/>
      <c r="AV4175"/>
    </row>
    <row r="4176" spans="41:48" x14ac:dyDescent="0.35">
      <c r="AO4176"/>
      <c r="AP4176"/>
      <c r="AQ4176"/>
      <c r="AR4176"/>
      <c r="AS4176"/>
      <c r="AT4176"/>
      <c r="AU4176"/>
      <c r="AV4176"/>
    </row>
    <row r="4177" spans="41:48" x14ac:dyDescent="0.35">
      <c r="AO4177"/>
      <c r="AP4177"/>
      <c r="AQ4177"/>
      <c r="AR4177"/>
      <c r="AS4177"/>
      <c r="AT4177"/>
      <c r="AU4177"/>
      <c r="AV4177"/>
    </row>
    <row r="4178" spans="41:48" x14ac:dyDescent="0.35">
      <c r="AO4178"/>
      <c r="AP4178"/>
      <c r="AQ4178"/>
      <c r="AR4178"/>
      <c r="AS4178"/>
      <c r="AT4178"/>
      <c r="AU4178"/>
      <c r="AV4178"/>
    </row>
    <row r="4179" spans="41:48" x14ac:dyDescent="0.35">
      <c r="AO4179"/>
      <c r="AP4179"/>
      <c r="AQ4179"/>
      <c r="AR4179"/>
      <c r="AS4179"/>
      <c r="AT4179"/>
      <c r="AU4179"/>
      <c r="AV4179"/>
    </row>
    <row r="4180" spans="41:48" x14ac:dyDescent="0.35">
      <c r="AO4180"/>
      <c r="AP4180"/>
      <c r="AQ4180"/>
      <c r="AR4180"/>
      <c r="AS4180"/>
      <c r="AT4180"/>
      <c r="AU4180"/>
      <c r="AV4180"/>
    </row>
    <row r="4181" spans="41:48" x14ac:dyDescent="0.35">
      <c r="AO4181"/>
      <c r="AP4181"/>
      <c r="AQ4181"/>
      <c r="AR4181"/>
      <c r="AS4181"/>
      <c r="AT4181"/>
      <c r="AU4181"/>
      <c r="AV4181"/>
    </row>
    <row r="4182" spans="41:48" x14ac:dyDescent="0.35">
      <c r="AO4182"/>
      <c r="AP4182"/>
      <c r="AQ4182"/>
      <c r="AR4182"/>
      <c r="AS4182"/>
      <c r="AT4182"/>
      <c r="AU4182"/>
      <c r="AV4182"/>
    </row>
    <row r="4183" spans="41:48" x14ac:dyDescent="0.35">
      <c r="AO4183"/>
      <c r="AP4183"/>
      <c r="AQ4183"/>
      <c r="AR4183"/>
      <c r="AS4183"/>
      <c r="AT4183"/>
      <c r="AU4183"/>
      <c r="AV4183"/>
    </row>
    <row r="4184" spans="41:48" x14ac:dyDescent="0.35">
      <c r="AO4184"/>
      <c r="AP4184"/>
      <c r="AQ4184"/>
      <c r="AR4184"/>
      <c r="AS4184"/>
      <c r="AT4184"/>
      <c r="AU4184"/>
      <c r="AV4184"/>
    </row>
    <row r="4185" spans="41:48" x14ac:dyDescent="0.35">
      <c r="AO4185"/>
      <c r="AP4185"/>
      <c r="AQ4185"/>
      <c r="AR4185"/>
      <c r="AS4185"/>
      <c r="AT4185"/>
      <c r="AU4185"/>
      <c r="AV4185"/>
    </row>
    <row r="4186" spans="41:48" x14ac:dyDescent="0.35">
      <c r="AO4186"/>
      <c r="AP4186"/>
      <c r="AQ4186"/>
      <c r="AR4186"/>
      <c r="AS4186"/>
      <c r="AT4186"/>
      <c r="AU4186"/>
      <c r="AV4186"/>
    </row>
    <row r="4187" spans="41:48" x14ac:dyDescent="0.35">
      <c r="AO4187"/>
      <c r="AP4187"/>
      <c r="AQ4187"/>
      <c r="AR4187"/>
      <c r="AS4187"/>
      <c r="AT4187"/>
      <c r="AU4187"/>
      <c r="AV4187"/>
    </row>
    <row r="4188" spans="41:48" x14ac:dyDescent="0.35">
      <c r="AO4188"/>
      <c r="AP4188"/>
      <c r="AQ4188"/>
      <c r="AR4188"/>
      <c r="AS4188"/>
      <c r="AT4188"/>
      <c r="AU4188"/>
      <c r="AV4188"/>
    </row>
    <row r="4189" spans="41:48" x14ac:dyDescent="0.35">
      <c r="AO4189"/>
      <c r="AP4189"/>
      <c r="AQ4189"/>
      <c r="AR4189"/>
      <c r="AS4189"/>
      <c r="AT4189"/>
      <c r="AU4189"/>
      <c r="AV4189"/>
    </row>
    <row r="4190" spans="41:48" x14ac:dyDescent="0.35">
      <c r="AO4190"/>
      <c r="AP4190"/>
      <c r="AQ4190"/>
      <c r="AR4190"/>
      <c r="AS4190"/>
      <c r="AT4190"/>
      <c r="AU4190"/>
      <c r="AV4190"/>
    </row>
    <row r="4191" spans="41:48" x14ac:dyDescent="0.35">
      <c r="AO4191"/>
      <c r="AP4191"/>
      <c r="AQ4191"/>
      <c r="AR4191"/>
      <c r="AS4191"/>
      <c r="AT4191"/>
      <c r="AU4191"/>
      <c r="AV4191"/>
    </row>
    <row r="4192" spans="41:48" x14ac:dyDescent="0.35">
      <c r="AO4192"/>
      <c r="AP4192"/>
      <c r="AQ4192"/>
      <c r="AR4192"/>
      <c r="AS4192"/>
      <c r="AT4192"/>
      <c r="AU4192"/>
      <c r="AV4192"/>
    </row>
    <row r="4193" spans="41:48" x14ac:dyDescent="0.35">
      <c r="AO4193"/>
      <c r="AP4193"/>
      <c r="AQ4193"/>
      <c r="AR4193"/>
      <c r="AS4193"/>
      <c r="AT4193"/>
      <c r="AU4193"/>
      <c r="AV4193"/>
    </row>
    <row r="4194" spans="41:48" x14ac:dyDescent="0.35">
      <c r="AO4194"/>
      <c r="AP4194"/>
      <c r="AQ4194"/>
      <c r="AR4194"/>
      <c r="AS4194"/>
      <c r="AT4194"/>
      <c r="AU4194"/>
      <c r="AV4194"/>
    </row>
    <row r="4195" spans="41:48" x14ac:dyDescent="0.35">
      <c r="AO4195"/>
      <c r="AP4195"/>
      <c r="AQ4195"/>
      <c r="AR4195"/>
      <c r="AS4195"/>
      <c r="AT4195"/>
      <c r="AU4195"/>
      <c r="AV4195"/>
    </row>
    <row r="4196" spans="41:48" x14ac:dyDescent="0.35">
      <c r="AO4196"/>
      <c r="AP4196"/>
      <c r="AQ4196"/>
      <c r="AR4196"/>
      <c r="AS4196"/>
      <c r="AT4196"/>
      <c r="AU4196"/>
      <c r="AV4196"/>
    </row>
    <row r="4197" spans="41:48" x14ac:dyDescent="0.35">
      <c r="AO4197"/>
      <c r="AP4197"/>
      <c r="AQ4197"/>
      <c r="AR4197"/>
      <c r="AS4197"/>
      <c r="AT4197"/>
      <c r="AU4197"/>
      <c r="AV4197"/>
    </row>
    <row r="4198" spans="41:48" x14ac:dyDescent="0.35">
      <c r="AO4198"/>
      <c r="AP4198"/>
      <c r="AQ4198"/>
      <c r="AR4198"/>
      <c r="AS4198"/>
      <c r="AT4198"/>
      <c r="AU4198"/>
      <c r="AV4198"/>
    </row>
    <row r="4199" spans="41:48" x14ac:dyDescent="0.35">
      <c r="AO4199"/>
      <c r="AP4199"/>
      <c r="AQ4199"/>
      <c r="AR4199"/>
      <c r="AS4199"/>
      <c r="AT4199"/>
      <c r="AU4199"/>
      <c r="AV4199"/>
    </row>
    <row r="4200" spans="41:48" x14ac:dyDescent="0.35">
      <c r="AO4200"/>
      <c r="AP4200"/>
      <c r="AQ4200"/>
      <c r="AR4200"/>
      <c r="AS4200"/>
      <c r="AT4200"/>
      <c r="AU4200"/>
      <c r="AV4200"/>
    </row>
    <row r="4201" spans="41:48" x14ac:dyDescent="0.35">
      <c r="AO4201"/>
      <c r="AP4201"/>
      <c r="AQ4201"/>
      <c r="AR4201"/>
      <c r="AS4201"/>
      <c r="AT4201"/>
      <c r="AU4201"/>
      <c r="AV4201"/>
    </row>
    <row r="4202" spans="41:48" x14ac:dyDescent="0.35">
      <c r="AO4202"/>
      <c r="AP4202"/>
      <c r="AQ4202"/>
      <c r="AR4202"/>
      <c r="AS4202"/>
      <c r="AT4202"/>
      <c r="AU4202"/>
      <c r="AV4202"/>
    </row>
    <row r="4203" spans="41:48" x14ac:dyDescent="0.35">
      <c r="AO4203"/>
      <c r="AP4203"/>
      <c r="AQ4203"/>
      <c r="AR4203"/>
      <c r="AS4203"/>
      <c r="AT4203"/>
      <c r="AU4203"/>
      <c r="AV4203"/>
    </row>
    <row r="4204" spans="41:48" x14ac:dyDescent="0.35">
      <c r="AO4204"/>
      <c r="AP4204"/>
      <c r="AQ4204"/>
      <c r="AR4204"/>
      <c r="AS4204"/>
      <c r="AT4204"/>
      <c r="AU4204"/>
      <c r="AV4204"/>
    </row>
    <row r="4205" spans="41:48" x14ac:dyDescent="0.35">
      <c r="AO4205"/>
      <c r="AP4205"/>
      <c r="AQ4205"/>
      <c r="AR4205"/>
      <c r="AS4205"/>
      <c r="AT4205"/>
      <c r="AU4205"/>
      <c r="AV4205"/>
    </row>
    <row r="4206" spans="41:48" x14ac:dyDescent="0.35">
      <c r="AO4206"/>
      <c r="AP4206"/>
      <c r="AQ4206"/>
      <c r="AR4206"/>
      <c r="AS4206"/>
      <c r="AT4206"/>
      <c r="AU4206"/>
      <c r="AV4206"/>
    </row>
    <row r="4207" spans="41:48" x14ac:dyDescent="0.35">
      <c r="AO4207"/>
      <c r="AP4207"/>
      <c r="AQ4207"/>
      <c r="AR4207"/>
      <c r="AS4207"/>
      <c r="AT4207"/>
      <c r="AU4207"/>
      <c r="AV4207"/>
    </row>
    <row r="4208" spans="41:48" x14ac:dyDescent="0.35">
      <c r="AO4208"/>
      <c r="AP4208"/>
      <c r="AQ4208"/>
      <c r="AR4208"/>
      <c r="AS4208"/>
      <c r="AT4208"/>
      <c r="AU4208"/>
      <c r="AV4208"/>
    </row>
    <row r="4209" spans="41:48" x14ac:dyDescent="0.35">
      <c r="AO4209"/>
      <c r="AP4209"/>
      <c r="AQ4209"/>
      <c r="AR4209"/>
      <c r="AS4209"/>
      <c r="AT4209"/>
      <c r="AU4209"/>
      <c r="AV4209"/>
    </row>
    <row r="4210" spans="41:48" x14ac:dyDescent="0.35">
      <c r="AO4210"/>
      <c r="AP4210"/>
      <c r="AQ4210"/>
      <c r="AR4210"/>
      <c r="AS4210"/>
      <c r="AT4210"/>
      <c r="AU4210"/>
      <c r="AV4210"/>
    </row>
    <row r="4211" spans="41:48" x14ac:dyDescent="0.35">
      <c r="AO4211"/>
      <c r="AP4211"/>
      <c r="AQ4211"/>
      <c r="AR4211"/>
      <c r="AS4211"/>
      <c r="AT4211"/>
      <c r="AU4211"/>
      <c r="AV4211"/>
    </row>
    <row r="4212" spans="41:48" x14ac:dyDescent="0.35">
      <c r="AO4212"/>
      <c r="AP4212"/>
      <c r="AQ4212"/>
      <c r="AR4212"/>
      <c r="AS4212"/>
      <c r="AT4212"/>
      <c r="AU4212"/>
      <c r="AV4212"/>
    </row>
    <row r="4213" spans="41:48" x14ac:dyDescent="0.35">
      <c r="AO4213"/>
      <c r="AP4213"/>
      <c r="AQ4213"/>
      <c r="AR4213"/>
      <c r="AS4213"/>
      <c r="AT4213"/>
      <c r="AU4213"/>
      <c r="AV4213"/>
    </row>
    <row r="4214" spans="41:48" x14ac:dyDescent="0.35">
      <c r="AO4214"/>
      <c r="AP4214"/>
      <c r="AQ4214"/>
      <c r="AR4214"/>
      <c r="AS4214"/>
      <c r="AT4214"/>
      <c r="AU4214"/>
      <c r="AV4214"/>
    </row>
    <row r="4215" spans="41:48" x14ac:dyDescent="0.35">
      <c r="AO4215"/>
      <c r="AP4215"/>
      <c r="AQ4215"/>
      <c r="AR4215"/>
      <c r="AS4215"/>
      <c r="AT4215"/>
      <c r="AU4215"/>
      <c r="AV4215"/>
    </row>
    <row r="4216" spans="41:48" x14ac:dyDescent="0.35">
      <c r="AO4216"/>
      <c r="AP4216"/>
      <c r="AQ4216"/>
      <c r="AR4216"/>
      <c r="AS4216"/>
      <c r="AT4216"/>
      <c r="AU4216"/>
      <c r="AV4216"/>
    </row>
    <row r="4217" spans="41:48" x14ac:dyDescent="0.35">
      <c r="AO4217"/>
      <c r="AP4217"/>
      <c r="AQ4217"/>
      <c r="AR4217"/>
      <c r="AS4217"/>
      <c r="AT4217"/>
      <c r="AU4217"/>
      <c r="AV4217"/>
    </row>
    <row r="4218" spans="41:48" x14ac:dyDescent="0.35">
      <c r="AO4218"/>
      <c r="AP4218"/>
      <c r="AQ4218"/>
      <c r="AR4218"/>
      <c r="AS4218"/>
      <c r="AT4218"/>
      <c r="AU4218"/>
      <c r="AV4218"/>
    </row>
    <row r="4219" spans="41:48" x14ac:dyDescent="0.35">
      <c r="AO4219"/>
      <c r="AP4219"/>
      <c r="AQ4219"/>
      <c r="AR4219"/>
      <c r="AS4219"/>
      <c r="AT4219"/>
      <c r="AU4219"/>
      <c r="AV4219"/>
    </row>
    <row r="4220" spans="41:48" x14ac:dyDescent="0.35">
      <c r="AO4220"/>
      <c r="AP4220"/>
      <c r="AQ4220"/>
      <c r="AR4220"/>
      <c r="AS4220"/>
      <c r="AT4220"/>
      <c r="AU4220"/>
      <c r="AV4220"/>
    </row>
    <row r="4221" spans="41:48" x14ac:dyDescent="0.35">
      <c r="AO4221"/>
      <c r="AP4221"/>
      <c r="AQ4221"/>
      <c r="AR4221"/>
      <c r="AS4221"/>
      <c r="AT4221"/>
      <c r="AU4221"/>
      <c r="AV4221"/>
    </row>
    <row r="4222" spans="41:48" x14ac:dyDescent="0.35">
      <c r="AO4222"/>
      <c r="AP4222"/>
      <c r="AQ4222"/>
      <c r="AR4222"/>
      <c r="AS4222"/>
      <c r="AT4222"/>
      <c r="AU4222"/>
      <c r="AV4222"/>
    </row>
    <row r="4223" spans="41:48" x14ac:dyDescent="0.35">
      <c r="AO4223"/>
      <c r="AP4223"/>
      <c r="AQ4223"/>
      <c r="AR4223"/>
      <c r="AS4223"/>
      <c r="AT4223"/>
      <c r="AU4223"/>
      <c r="AV4223"/>
    </row>
    <row r="4224" spans="41:48" x14ac:dyDescent="0.35">
      <c r="AO4224"/>
      <c r="AP4224"/>
      <c r="AQ4224"/>
      <c r="AR4224"/>
      <c r="AS4224"/>
      <c r="AT4224"/>
      <c r="AU4224"/>
      <c r="AV4224"/>
    </row>
    <row r="4225" spans="41:48" x14ac:dyDescent="0.35">
      <c r="AO4225"/>
      <c r="AP4225"/>
      <c r="AQ4225"/>
      <c r="AR4225"/>
      <c r="AS4225"/>
      <c r="AT4225"/>
      <c r="AU4225"/>
      <c r="AV4225"/>
    </row>
    <row r="4226" spans="41:48" x14ac:dyDescent="0.35">
      <c r="AO4226"/>
      <c r="AP4226"/>
      <c r="AQ4226"/>
      <c r="AR4226"/>
      <c r="AS4226"/>
      <c r="AT4226"/>
      <c r="AU4226"/>
      <c r="AV4226"/>
    </row>
    <row r="4227" spans="41:48" x14ac:dyDescent="0.35">
      <c r="AO4227"/>
      <c r="AP4227"/>
      <c r="AQ4227"/>
      <c r="AR4227"/>
      <c r="AS4227"/>
      <c r="AT4227"/>
      <c r="AU4227"/>
      <c r="AV4227"/>
    </row>
    <row r="4228" spans="41:48" x14ac:dyDescent="0.35">
      <c r="AO4228"/>
      <c r="AP4228"/>
      <c r="AQ4228"/>
      <c r="AR4228"/>
      <c r="AS4228"/>
      <c r="AT4228"/>
      <c r="AU4228"/>
      <c r="AV4228"/>
    </row>
    <row r="4229" spans="41:48" x14ac:dyDescent="0.35">
      <c r="AO4229"/>
      <c r="AP4229"/>
      <c r="AQ4229"/>
      <c r="AR4229"/>
      <c r="AS4229"/>
      <c r="AT4229"/>
      <c r="AU4229"/>
      <c r="AV4229"/>
    </row>
    <row r="4230" spans="41:48" x14ac:dyDescent="0.35">
      <c r="AO4230"/>
      <c r="AP4230"/>
      <c r="AQ4230"/>
      <c r="AR4230"/>
      <c r="AS4230"/>
      <c r="AT4230"/>
      <c r="AU4230"/>
      <c r="AV4230"/>
    </row>
    <row r="4231" spans="41:48" x14ac:dyDescent="0.35">
      <c r="AO4231"/>
      <c r="AP4231"/>
      <c r="AQ4231"/>
      <c r="AR4231"/>
      <c r="AS4231"/>
      <c r="AT4231"/>
      <c r="AU4231"/>
      <c r="AV4231"/>
    </row>
    <row r="4232" spans="41:48" x14ac:dyDescent="0.35">
      <c r="AO4232"/>
      <c r="AP4232"/>
      <c r="AQ4232"/>
      <c r="AR4232"/>
      <c r="AS4232"/>
      <c r="AT4232"/>
      <c r="AU4232"/>
      <c r="AV4232"/>
    </row>
    <row r="4233" spans="41:48" x14ac:dyDescent="0.35">
      <c r="AO4233"/>
      <c r="AP4233"/>
      <c r="AQ4233"/>
      <c r="AR4233"/>
      <c r="AS4233"/>
      <c r="AT4233"/>
      <c r="AU4233"/>
      <c r="AV4233"/>
    </row>
    <row r="4234" spans="41:48" x14ac:dyDescent="0.35">
      <c r="AO4234"/>
      <c r="AP4234"/>
      <c r="AQ4234"/>
      <c r="AR4234"/>
      <c r="AS4234"/>
      <c r="AT4234"/>
      <c r="AU4234"/>
      <c r="AV4234"/>
    </row>
    <row r="4235" spans="41:48" x14ac:dyDescent="0.35">
      <c r="AO4235"/>
      <c r="AP4235"/>
      <c r="AQ4235"/>
      <c r="AR4235"/>
      <c r="AS4235"/>
      <c r="AT4235"/>
      <c r="AU4235"/>
      <c r="AV4235"/>
    </row>
    <row r="4236" spans="41:48" x14ac:dyDescent="0.35">
      <c r="AO4236"/>
      <c r="AP4236"/>
      <c r="AQ4236"/>
      <c r="AR4236"/>
      <c r="AS4236"/>
      <c r="AT4236"/>
      <c r="AU4236"/>
      <c r="AV4236"/>
    </row>
    <row r="4237" spans="41:48" x14ac:dyDescent="0.35">
      <c r="AO4237"/>
      <c r="AP4237"/>
      <c r="AQ4237"/>
      <c r="AR4237"/>
      <c r="AS4237"/>
      <c r="AT4237"/>
      <c r="AU4237"/>
      <c r="AV4237"/>
    </row>
    <row r="4238" spans="41:48" x14ac:dyDescent="0.35">
      <c r="AO4238"/>
      <c r="AP4238"/>
      <c r="AQ4238"/>
      <c r="AR4238"/>
      <c r="AS4238"/>
      <c r="AT4238"/>
      <c r="AU4238"/>
      <c r="AV4238"/>
    </row>
    <row r="4239" spans="41:48" x14ac:dyDescent="0.35">
      <c r="AO4239"/>
      <c r="AP4239"/>
      <c r="AQ4239"/>
      <c r="AR4239"/>
      <c r="AS4239"/>
      <c r="AT4239"/>
      <c r="AU4239"/>
      <c r="AV4239"/>
    </row>
    <row r="4240" spans="41:48" x14ac:dyDescent="0.35">
      <c r="AO4240"/>
      <c r="AP4240"/>
      <c r="AQ4240"/>
      <c r="AR4240"/>
      <c r="AS4240"/>
      <c r="AT4240"/>
      <c r="AU4240"/>
      <c r="AV4240"/>
    </row>
    <row r="4241" spans="41:48" x14ac:dyDescent="0.35">
      <c r="AO4241"/>
      <c r="AP4241"/>
      <c r="AQ4241"/>
      <c r="AR4241"/>
      <c r="AS4241"/>
      <c r="AT4241"/>
      <c r="AU4241"/>
      <c r="AV4241"/>
    </row>
    <row r="4242" spans="41:48" x14ac:dyDescent="0.35">
      <c r="AO4242"/>
      <c r="AP4242"/>
      <c r="AQ4242"/>
      <c r="AR4242"/>
      <c r="AS4242"/>
      <c r="AT4242"/>
      <c r="AU4242"/>
      <c r="AV4242"/>
    </row>
    <row r="4243" spans="41:48" x14ac:dyDescent="0.35">
      <c r="AO4243"/>
      <c r="AP4243"/>
      <c r="AQ4243"/>
      <c r="AR4243"/>
      <c r="AS4243"/>
      <c r="AT4243"/>
      <c r="AU4243"/>
      <c r="AV4243"/>
    </row>
    <row r="4244" spans="41:48" x14ac:dyDescent="0.35">
      <c r="AO4244"/>
      <c r="AP4244"/>
      <c r="AQ4244"/>
      <c r="AR4244"/>
      <c r="AS4244"/>
      <c r="AT4244"/>
      <c r="AU4244"/>
      <c r="AV4244"/>
    </row>
    <row r="4245" spans="41:48" x14ac:dyDescent="0.35">
      <c r="AO4245"/>
      <c r="AP4245"/>
      <c r="AQ4245"/>
      <c r="AR4245"/>
      <c r="AS4245"/>
      <c r="AT4245"/>
      <c r="AU4245"/>
      <c r="AV4245"/>
    </row>
    <row r="4246" spans="41:48" x14ac:dyDescent="0.35">
      <c r="AO4246"/>
      <c r="AP4246"/>
      <c r="AQ4246"/>
      <c r="AR4246"/>
      <c r="AS4246"/>
      <c r="AT4246"/>
      <c r="AU4246"/>
      <c r="AV4246"/>
    </row>
    <row r="4247" spans="41:48" x14ac:dyDescent="0.35">
      <c r="AO4247"/>
      <c r="AP4247"/>
      <c r="AQ4247"/>
      <c r="AR4247"/>
      <c r="AS4247"/>
      <c r="AT4247"/>
      <c r="AU4247"/>
      <c r="AV4247"/>
    </row>
    <row r="4248" spans="41:48" x14ac:dyDescent="0.35">
      <c r="AO4248"/>
      <c r="AP4248"/>
      <c r="AQ4248"/>
      <c r="AR4248"/>
      <c r="AS4248"/>
      <c r="AT4248"/>
      <c r="AU4248"/>
      <c r="AV4248"/>
    </row>
    <row r="4249" spans="41:48" x14ac:dyDescent="0.35">
      <c r="AO4249"/>
      <c r="AP4249"/>
      <c r="AQ4249"/>
      <c r="AR4249"/>
      <c r="AS4249"/>
      <c r="AT4249"/>
      <c r="AU4249"/>
      <c r="AV4249"/>
    </row>
    <row r="4250" spans="41:48" x14ac:dyDescent="0.35">
      <c r="AO4250"/>
      <c r="AP4250"/>
      <c r="AQ4250"/>
      <c r="AR4250"/>
      <c r="AS4250"/>
      <c r="AT4250"/>
      <c r="AU4250"/>
      <c r="AV4250"/>
    </row>
    <row r="4251" spans="41:48" x14ac:dyDescent="0.35">
      <c r="AO4251"/>
      <c r="AP4251"/>
      <c r="AQ4251"/>
      <c r="AR4251"/>
      <c r="AS4251"/>
      <c r="AT4251"/>
      <c r="AU4251"/>
      <c r="AV4251"/>
    </row>
    <row r="4252" spans="41:48" x14ac:dyDescent="0.35">
      <c r="AO4252"/>
      <c r="AP4252"/>
      <c r="AQ4252"/>
      <c r="AR4252"/>
      <c r="AS4252"/>
      <c r="AT4252"/>
      <c r="AU4252"/>
      <c r="AV4252"/>
    </row>
    <row r="4253" spans="41:48" x14ac:dyDescent="0.35">
      <c r="AO4253"/>
      <c r="AP4253"/>
      <c r="AQ4253"/>
      <c r="AR4253"/>
      <c r="AS4253"/>
      <c r="AT4253"/>
      <c r="AU4253"/>
      <c r="AV4253"/>
    </row>
    <row r="4254" spans="41:48" x14ac:dyDescent="0.35">
      <c r="AO4254"/>
      <c r="AP4254"/>
      <c r="AQ4254"/>
      <c r="AR4254"/>
      <c r="AS4254"/>
      <c r="AT4254"/>
      <c r="AU4254"/>
      <c r="AV4254"/>
    </row>
    <row r="4255" spans="41:48" x14ac:dyDescent="0.35">
      <c r="AO4255"/>
      <c r="AP4255"/>
      <c r="AQ4255"/>
      <c r="AR4255"/>
      <c r="AS4255"/>
      <c r="AT4255"/>
      <c r="AU4255"/>
      <c r="AV4255"/>
    </row>
    <row r="4256" spans="41:48" x14ac:dyDescent="0.35">
      <c r="AO4256"/>
      <c r="AP4256"/>
      <c r="AQ4256"/>
      <c r="AR4256"/>
      <c r="AS4256"/>
      <c r="AT4256"/>
      <c r="AU4256"/>
      <c r="AV4256"/>
    </row>
    <row r="4257" spans="41:48" x14ac:dyDescent="0.35">
      <c r="AO4257"/>
      <c r="AP4257"/>
      <c r="AQ4257"/>
      <c r="AR4257"/>
      <c r="AS4257"/>
      <c r="AT4257"/>
      <c r="AU4257"/>
      <c r="AV4257"/>
    </row>
    <row r="4258" spans="41:48" x14ac:dyDescent="0.35">
      <c r="AO4258"/>
      <c r="AP4258"/>
      <c r="AQ4258"/>
      <c r="AR4258"/>
      <c r="AS4258"/>
      <c r="AT4258"/>
      <c r="AU4258"/>
      <c r="AV4258"/>
    </row>
    <row r="4259" spans="41:48" x14ac:dyDescent="0.35">
      <c r="AO4259"/>
      <c r="AP4259"/>
      <c r="AQ4259"/>
      <c r="AR4259"/>
      <c r="AS4259"/>
      <c r="AT4259"/>
      <c r="AU4259"/>
      <c r="AV4259"/>
    </row>
    <row r="4260" spans="41:48" x14ac:dyDescent="0.35">
      <c r="AO4260"/>
      <c r="AP4260"/>
      <c r="AQ4260"/>
      <c r="AR4260"/>
      <c r="AS4260"/>
      <c r="AT4260"/>
      <c r="AU4260"/>
      <c r="AV4260"/>
    </row>
    <row r="4261" spans="41:48" x14ac:dyDescent="0.35">
      <c r="AO4261"/>
      <c r="AP4261"/>
      <c r="AQ4261"/>
      <c r="AR4261"/>
      <c r="AS4261"/>
      <c r="AT4261"/>
      <c r="AU4261"/>
      <c r="AV4261"/>
    </row>
    <row r="4262" spans="41:48" x14ac:dyDescent="0.35">
      <c r="AO4262"/>
      <c r="AP4262"/>
      <c r="AQ4262"/>
      <c r="AR4262"/>
      <c r="AS4262"/>
      <c r="AT4262"/>
      <c r="AU4262"/>
      <c r="AV4262"/>
    </row>
    <row r="4263" spans="41:48" x14ac:dyDescent="0.35">
      <c r="AO4263"/>
      <c r="AP4263"/>
      <c r="AQ4263"/>
      <c r="AR4263"/>
      <c r="AS4263"/>
      <c r="AT4263"/>
      <c r="AU4263"/>
      <c r="AV4263"/>
    </row>
    <row r="4264" spans="41:48" x14ac:dyDescent="0.35">
      <c r="AO4264"/>
      <c r="AP4264"/>
      <c r="AQ4264"/>
      <c r="AR4264"/>
      <c r="AS4264"/>
      <c r="AT4264"/>
      <c r="AU4264"/>
      <c r="AV4264"/>
    </row>
    <row r="4265" spans="41:48" x14ac:dyDescent="0.35">
      <c r="AO4265"/>
      <c r="AP4265"/>
      <c r="AQ4265"/>
      <c r="AR4265"/>
      <c r="AS4265"/>
      <c r="AT4265"/>
      <c r="AU4265"/>
      <c r="AV4265"/>
    </row>
    <row r="4266" spans="41:48" x14ac:dyDescent="0.35">
      <c r="AO4266"/>
      <c r="AP4266"/>
      <c r="AQ4266"/>
      <c r="AR4266"/>
      <c r="AS4266"/>
      <c r="AT4266"/>
      <c r="AU4266"/>
      <c r="AV4266"/>
    </row>
    <row r="4267" spans="41:48" x14ac:dyDescent="0.35">
      <c r="AO4267"/>
      <c r="AP4267"/>
      <c r="AQ4267"/>
      <c r="AR4267"/>
      <c r="AS4267"/>
      <c r="AT4267"/>
      <c r="AU4267"/>
      <c r="AV4267"/>
    </row>
    <row r="4268" spans="41:48" x14ac:dyDescent="0.35">
      <c r="AO4268"/>
      <c r="AP4268"/>
      <c r="AQ4268"/>
      <c r="AR4268"/>
      <c r="AS4268"/>
      <c r="AT4268"/>
      <c r="AU4268"/>
      <c r="AV4268"/>
    </row>
    <row r="4269" spans="41:48" x14ac:dyDescent="0.35">
      <c r="AO4269"/>
      <c r="AP4269"/>
      <c r="AQ4269"/>
      <c r="AR4269"/>
      <c r="AS4269"/>
      <c r="AT4269"/>
      <c r="AU4269"/>
      <c r="AV4269"/>
    </row>
    <row r="4270" spans="41:48" x14ac:dyDescent="0.35">
      <c r="AO4270"/>
      <c r="AP4270"/>
      <c r="AQ4270"/>
      <c r="AR4270"/>
      <c r="AS4270"/>
      <c r="AT4270"/>
      <c r="AU4270"/>
      <c r="AV4270"/>
    </row>
    <row r="4271" spans="41:48" x14ac:dyDescent="0.35">
      <c r="AO4271"/>
      <c r="AP4271"/>
      <c r="AQ4271"/>
      <c r="AR4271"/>
      <c r="AS4271"/>
      <c r="AT4271"/>
      <c r="AU4271"/>
      <c r="AV4271"/>
    </row>
    <row r="4272" spans="41:48" x14ac:dyDescent="0.35">
      <c r="AO4272"/>
      <c r="AP4272"/>
      <c r="AQ4272"/>
      <c r="AR4272"/>
      <c r="AS4272"/>
      <c r="AT4272"/>
      <c r="AU4272"/>
      <c r="AV4272"/>
    </row>
    <row r="4273" spans="41:48" x14ac:dyDescent="0.35">
      <c r="AO4273"/>
      <c r="AP4273"/>
      <c r="AQ4273"/>
      <c r="AR4273"/>
      <c r="AS4273"/>
      <c r="AT4273"/>
      <c r="AU4273"/>
      <c r="AV4273"/>
    </row>
    <row r="4274" spans="41:48" x14ac:dyDescent="0.35">
      <c r="AO4274"/>
      <c r="AP4274"/>
      <c r="AQ4274"/>
      <c r="AR4274"/>
      <c r="AS4274"/>
      <c r="AT4274"/>
      <c r="AU4274"/>
      <c r="AV4274"/>
    </row>
    <row r="4275" spans="41:48" x14ac:dyDescent="0.35">
      <c r="AO4275"/>
      <c r="AP4275"/>
      <c r="AQ4275"/>
      <c r="AR4275"/>
      <c r="AS4275"/>
      <c r="AT4275"/>
      <c r="AU4275"/>
      <c r="AV4275"/>
    </row>
    <row r="4276" spans="41:48" x14ac:dyDescent="0.35">
      <c r="AO4276"/>
      <c r="AP4276"/>
      <c r="AQ4276"/>
      <c r="AR4276"/>
      <c r="AS4276"/>
      <c r="AT4276"/>
      <c r="AU4276"/>
      <c r="AV4276"/>
    </row>
    <row r="4277" spans="41:48" x14ac:dyDescent="0.35">
      <c r="AO4277"/>
      <c r="AP4277"/>
      <c r="AQ4277"/>
      <c r="AR4277"/>
      <c r="AS4277"/>
      <c r="AT4277"/>
      <c r="AU4277"/>
      <c r="AV4277"/>
    </row>
    <row r="4278" spans="41:48" x14ac:dyDescent="0.35">
      <c r="AO4278"/>
      <c r="AP4278"/>
      <c r="AQ4278"/>
      <c r="AR4278"/>
      <c r="AS4278"/>
      <c r="AT4278"/>
      <c r="AU4278"/>
      <c r="AV4278"/>
    </row>
    <row r="4279" spans="41:48" x14ac:dyDescent="0.35">
      <c r="AO4279"/>
      <c r="AP4279"/>
      <c r="AQ4279"/>
      <c r="AR4279"/>
      <c r="AS4279"/>
      <c r="AT4279"/>
      <c r="AU4279"/>
      <c r="AV4279"/>
    </row>
    <row r="4280" spans="41:48" x14ac:dyDescent="0.35">
      <c r="AO4280"/>
      <c r="AP4280"/>
      <c r="AQ4280"/>
      <c r="AR4280"/>
      <c r="AS4280"/>
      <c r="AT4280"/>
      <c r="AU4280"/>
      <c r="AV4280"/>
    </row>
    <row r="4281" spans="41:48" x14ac:dyDescent="0.35">
      <c r="AO4281"/>
      <c r="AP4281"/>
      <c r="AQ4281"/>
      <c r="AR4281"/>
      <c r="AS4281"/>
      <c r="AT4281"/>
      <c r="AU4281"/>
      <c r="AV4281"/>
    </row>
    <row r="4282" spans="41:48" x14ac:dyDescent="0.35">
      <c r="AO4282"/>
      <c r="AP4282"/>
      <c r="AQ4282"/>
      <c r="AR4282"/>
      <c r="AS4282"/>
      <c r="AT4282"/>
      <c r="AU4282"/>
      <c r="AV4282"/>
    </row>
    <row r="4283" spans="41:48" x14ac:dyDescent="0.35">
      <c r="AO4283"/>
      <c r="AP4283"/>
      <c r="AQ4283"/>
      <c r="AR4283"/>
      <c r="AS4283"/>
      <c r="AT4283"/>
      <c r="AU4283"/>
      <c r="AV4283"/>
    </row>
    <row r="4284" spans="41:48" x14ac:dyDescent="0.35">
      <c r="AO4284"/>
      <c r="AP4284"/>
      <c r="AQ4284"/>
      <c r="AR4284"/>
      <c r="AS4284"/>
      <c r="AT4284"/>
      <c r="AU4284"/>
      <c r="AV4284"/>
    </row>
    <row r="4285" spans="41:48" x14ac:dyDescent="0.35">
      <c r="AO4285"/>
      <c r="AP4285"/>
      <c r="AQ4285"/>
      <c r="AR4285"/>
      <c r="AS4285"/>
      <c r="AT4285"/>
      <c r="AU4285"/>
      <c r="AV4285"/>
    </row>
    <row r="4286" spans="41:48" x14ac:dyDescent="0.35">
      <c r="AO4286"/>
      <c r="AP4286"/>
      <c r="AQ4286"/>
      <c r="AR4286"/>
      <c r="AS4286"/>
      <c r="AT4286"/>
      <c r="AU4286"/>
      <c r="AV4286"/>
    </row>
    <row r="4287" spans="41:48" x14ac:dyDescent="0.35">
      <c r="AO4287"/>
      <c r="AP4287"/>
      <c r="AQ4287"/>
      <c r="AR4287"/>
      <c r="AS4287"/>
      <c r="AT4287"/>
      <c r="AU4287"/>
      <c r="AV4287"/>
    </row>
    <row r="4288" spans="41:48" x14ac:dyDescent="0.35">
      <c r="AO4288"/>
      <c r="AP4288"/>
      <c r="AQ4288"/>
      <c r="AR4288"/>
      <c r="AS4288"/>
      <c r="AT4288"/>
      <c r="AU4288"/>
      <c r="AV4288"/>
    </row>
    <row r="4289" spans="41:48" x14ac:dyDescent="0.35">
      <c r="AO4289"/>
      <c r="AP4289"/>
      <c r="AQ4289"/>
      <c r="AR4289"/>
      <c r="AS4289"/>
      <c r="AT4289"/>
      <c r="AU4289"/>
      <c r="AV4289"/>
    </row>
    <row r="4290" spans="41:48" x14ac:dyDescent="0.35">
      <c r="AO4290"/>
      <c r="AP4290"/>
      <c r="AQ4290"/>
      <c r="AR4290"/>
      <c r="AS4290"/>
      <c r="AT4290"/>
      <c r="AU4290"/>
      <c r="AV4290"/>
    </row>
    <row r="4291" spans="41:48" x14ac:dyDescent="0.35">
      <c r="AO4291"/>
      <c r="AP4291"/>
      <c r="AQ4291"/>
      <c r="AR4291"/>
      <c r="AS4291"/>
      <c r="AT4291"/>
      <c r="AU4291"/>
      <c r="AV4291"/>
    </row>
    <row r="4292" spans="41:48" x14ac:dyDescent="0.35">
      <c r="AO4292"/>
      <c r="AP4292"/>
      <c r="AQ4292"/>
      <c r="AR4292"/>
      <c r="AS4292"/>
      <c r="AT4292"/>
      <c r="AU4292"/>
      <c r="AV4292"/>
    </row>
    <row r="4293" spans="41:48" x14ac:dyDescent="0.35">
      <c r="AO4293"/>
      <c r="AP4293"/>
      <c r="AQ4293"/>
      <c r="AR4293"/>
      <c r="AS4293"/>
      <c r="AT4293"/>
      <c r="AU4293"/>
      <c r="AV4293"/>
    </row>
    <row r="4294" spans="41:48" x14ac:dyDescent="0.35">
      <c r="AO4294"/>
      <c r="AP4294"/>
      <c r="AQ4294"/>
      <c r="AR4294"/>
      <c r="AS4294"/>
      <c r="AT4294"/>
      <c r="AU4294"/>
      <c r="AV4294"/>
    </row>
    <row r="4295" spans="41:48" x14ac:dyDescent="0.35">
      <c r="AO4295"/>
      <c r="AP4295"/>
      <c r="AQ4295"/>
      <c r="AR4295"/>
      <c r="AS4295"/>
      <c r="AT4295"/>
      <c r="AU4295"/>
      <c r="AV4295"/>
    </row>
    <row r="4296" spans="41:48" x14ac:dyDescent="0.35">
      <c r="AO4296"/>
      <c r="AP4296"/>
      <c r="AQ4296"/>
      <c r="AR4296"/>
      <c r="AS4296"/>
      <c r="AT4296"/>
      <c r="AU4296"/>
      <c r="AV4296"/>
    </row>
    <row r="4297" spans="41:48" x14ac:dyDescent="0.35">
      <c r="AO4297"/>
      <c r="AP4297"/>
      <c r="AQ4297"/>
      <c r="AR4297"/>
      <c r="AS4297"/>
      <c r="AT4297"/>
      <c r="AU4297"/>
      <c r="AV4297"/>
    </row>
    <row r="4298" spans="41:48" x14ac:dyDescent="0.35">
      <c r="AO4298"/>
      <c r="AP4298"/>
      <c r="AQ4298"/>
      <c r="AR4298"/>
      <c r="AS4298"/>
      <c r="AT4298"/>
      <c r="AU4298"/>
      <c r="AV4298"/>
    </row>
    <row r="4299" spans="41:48" x14ac:dyDescent="0.35">
      <c r="AO4299"/>
      <c r="AP4299"/>
      <c r="AQ4299"/>
      <c r="AR4299"/>
      <c r="AS4299"/>
      <c r="AT4299"/>
      <c r="AU4299"/>
      <c r="AV4299"/>
    </row>
    <row r="4300" spans="41:48" x14ac:dyDescent="0.35">
      <c r="AO4300"/>
      <c r="AP4300"/>
      <c r="AQ4300"/>
      <c r="AR4300"/>
      <c r="AS4300"/>
      <c r="AT4300"/>
      <c r="AU4300"/>
      <c r="AV4300"/>
    </row>
    <row r="4301" spans="41:48" x14ac:dyDescent="0.35">
      <c r="AO4301"/>
      <c r="AP4301"/>
      <c r="AQ4301"/>
      <c r="AR4301"/>
      <c r="AS4301"/>
      <c r="AT4301"/>
      <c r="AU4301"/>
      <c r="AV4301"/>
    </row>
    <row r="4302" spans="41:48" x14ac:dyDescent="0.35">
      <c r="AO4302"/>
      <c r="AP4302"/>
      <c r="AQ4302"/>
      <c r="AR4302"/>
      <c r="AS4302"/>
      <c r="AT4302"/>
      <c r="AU4302"/>
      <c r="AV4302"/>
    </row>
    <row r="4303" spans="41:48" x14ac:dyDescent="0.35">
      <c r="AO4303"/>
      <c r="AP4303"/>
      <c r="AQ4303"/>
      <c r="AR4303"/>
      <c r="AS4303"/>
      <c r="AT4303"/>
      <c r="AU4303"/>
      <c r="AV4303"/>
    </row>
    <row r="4304" spans="41:48" x14ac:dyDescent="0.35">
      <c r="AO4304"/>
      <c r="AP4304"/>
      <c r="AQ4304"/>
      <c r="AR4304"/>
      <c r="AS4304"/>
      <c r="AT4304"/>
      <c r="AU4304"/>
      <c r="AV4304"/>
    </row>
    <row r="4305" spans="41:48" x14ac:dyDescent="0.35">
      <c r="AO4305"/>
      <c r="AP4305"/>
      <c r="AQ4305"/>
      <c r="AR4305"/>
      <c r="AS4305"/>
      <c r="AT4305"/>
      <c r="AU4305"/>
      <c r="AV4305"/>
    </row>
    <row r="4306" spans="41:48" x14ac:dyDescent="0.35">
      <c r="AO4306"/>
      <c r="AP4306"/>
      <c r="AQ4306"/>
      <c r="AR4306"/>
      <c r="AS4306"/>
      <c r="AT4306"/>
      <c r="AU4306"/>
      <c r="AV4306"/>
    </row>
    <row r="4307" spans="41:48" x14ac:dyDescent="0.35">
      <c r="AO4307"/>
      <c r="AP4307"/>
      <c r="AQ4307"/>
      <c r="AR4307"/>
      <c r="AS4307"/>
      <c r="AT4307"/>
      <c r="AU4307"/>
      <c r="AV4307"/>
    </row>
    <row r="4308" spans="41:48" x14ac:dyDescent="0.35">
      <c r="AO4308"/>
      <c r="AP4308"/>
      <c r="AQ4308"/>
      <c r="AR4308"/>
      <c r="AS4308"/>
      <c r="AT4308"/>
      <c r="AU4308"/>
      <c r="AV4308"/>
    </row>
    <row r="4309" spans="41:48" x14ac:dyDescent="0.35">
      <c r="AO4309"/>
      <c r="AP4309"/>
      <c r="AQ4309"/>
      <c r="AR4309"/>
      <c r="AS4309"/>
      <c r="AT4309"/>
      <c r="AU4309"/>
      <c r="AV4309"/>
    </row>
    <row r="4310" spans="41:48" x14ac:dyDescent="0.35">
      <c r="AO4310"/>
      <c r="AP4310"/>
      <c r="AQ4310"/>
      <c r="AR4310"/>
      <c r="AS4310"/>
      <c r="AT4310"/>
      <c r="AU4310"/>
      <c r="AV4310"/>
    </row>
    <row r="4311" spans="41:48" x14ac:dyDescent="0.35">
      <c r="AO4311"/>
      <c r="AP4311"/>
      <c r="AQ4311"/>
      <c r="AR4311"/>
      <c r="AS4311"/>
      <c r="AT4311"/>
      <c r="AU4311"/>
      <c r="AV4311"/>
    </row>
    <row r="4312" spans="41:48" x14ac:dyDescent="0.35">
      <c r="AO4312"/>
      <c r="AP4312"/>
      <c r="AQ4312"/>
      <c r="AR4312"/>
      <c r="AS4312"/>
      <c r="AT4312"/>
      <c r="AU4312"/>
      <c r="AV4312"/>
    </row>
    <row r="4313" spans="41:48" x14ac:dyDescent="0.35">
      <c r="AO4313"/>
      <c r="AP4313"/>
      <c r="AQ4313"/>
      <c r="AR4313"/>
      <c r="AS4313"/>
      <c r="AT4313"/>
      <c r="AU4313"/>
      <c r="AV4313"/>
    </row>
    <row r="4314" spans="41:48" x14ac:dyDescent="0.35">
      <c r="AO4314"/>
      <c r="AP4314"/>
      <c r="AQ4314"/>
      <c r="AR4314"/>
      <c r="AS4314"/>
      <c r="AT4314"/>
      <c r="AU4314"/>
      <c r="AV4314"/>
    </row>
    <row r="4315" spans="41:48" x14ac:dyDescent="0.35">
      <c r="AO4315"/>
      <c r="AP4315"/>
      <c r="AQ4315"/>
      <c r="AR4315"/>
      <c r="AS4315"/>
      <c r="AT4315"/>
      <c r="AU4315"/>
      <c r="AV4315"/>
    </row>
    <row r="4316" spans="41:48" x14ac:dyDescent="0.35">
      <c r="AO4316"/>
      <c r="AP4316"/>
      <c r="AQ4316"/>
      <c r="AR4316"/>
      <c r="AS4316"/>
      <c r="AT4316"/>
      <c r="AU4316"/>
      <c r="AV4316"/>
    </row>
    <row r="4317" spans="41:48" x14ac:dyDescent="0.35">
      <c r="AO4317"/>
      <c r="AP4317"/>
      <c r="AQ4317"/>
      <c r="AR4317"/>
      <c r="AS4317"/>
      <c r="AT4317"/>
      <c r="AU4317"/>
      <c r="AV4317"/>
    </row>
    <row r="4318" spans="41:48" x14ac:dyDescent="0.35">
      <c r="AO4318"/>
      <c r="AP4318"/>
      <c r="AQ4318"/>
      <c r="AR4318"/>
      <c r="AS4318"/>
      <c r="AT4318"/>
      <c r="AU4318"/>
      <c r="AV4318"/>
    </row>
    <row r="4319" spans="41:48" x14ac:dyDescent="0.35">
      <c r="AO4319"/>
      <c r="AP4319"/>
      <c r="AQ4319"/>
      <c r="AR4319"/>
      <c r="AS4319"/>
      <c r="AT4319"/>
      <c r="AU4319"/>
      <c r="AV4319"/>
    </row>
    <row r="4320" spans="41:48" x14ac:dyDescent="0.35">
      <c r="AO4320"/>
      <c r="AP4320"/>
      <c r="AQ4320"/>
      <c r="AR4320"/>
      <c r="AS4320"/>
      <c r="AT4320"/>
      <c r="AU4320"/>
      <c r="AV4320"/>
    </row>
    <row r="4321" spans="41:48" x14ac:dyDescent="0.35">
      <c r="AO4321"/>
      <c r="AP4321"/>
      <c r="AQ4321"/>
      <c r="AR4321"/>
      <c r="AS4321"/>
      <c r="AT4321"/>
      <c r="AU4321"/>
      <c r="AV4321"/>
    </row>
    <row r="4322" spans="41:48" x14ac:dyDescent="0.35">
      <c r="AO4322"/>
      <c r="AP4322"/>
      <c r="AQ4322"/>
      <c r="AR4322"/>
      <c r="AS4322"/>
      <c r="AT4322"/>
      <c r="AU4322"/>
      <c r="AV4322"/>
    </row>
    <row r="4323" spans="41:48" x14ac:dyDescent="0.35">
      <c r="AO4323"/>
      <c r="AP4323"/>
      <c r="AQ4323"/>
      <c r="AR4323"/>
      <c r="AS4323"/>
      <c r="AT4323"/>
      <c r="AU4323"/>
      <c r="AV4323"/>
    </row>
    <row r="4324" spans="41:48" x14ac:dyDescent="0.35">
      <c r="AO4324"/>
      <c r="AP4324"/>
      <c r="AQ4324"/>
      <c r="AR4324"/>
      <c r="AS4324"/>
      <c r="AT4324"/>
      <c r="AU4324"/>
      <c r="AV4324"/>
    </row>
    <row r="4325" spans="41:48" x14ac:dyDescent="0.35">
      <c r="AO4325"/>
      <c r="AP4325"/>
      <c r="AQ4325"/>
      <c r="AR4325"/>
      <c r="AS4325"/>
      <c r="AT4325"/>
      <c r="AU4325"/>
      <c r="AV4325"/>
    </row>
    <row r="4326" spans="41:48" x14ac:dyDescent="0.35">
      <c r="AO4326"/>
      <c r="AP4326"/>
      <c r="AQ4326"/>
      <c r="AR4326"/>
      <c r="AS4326"/>
      <c r="AT4326"/>
      <c r="AU4326"/>
      <c r="AV4326"/>
    </row>
    <row r="4327" spans="41:48" x14ac:dyDescent="0.35">
      <c r="AO4327"/>
      <c r="AP4327"/>
      <c r="AQ4327"/>
      <c r="AR4327"/>
      <c r="AS4327"/>
      <c r="AT4327"/>
      <c r="AU4327"/>
      <c r="AV4327"/>
    </row>
    <row r="4328" spans="41:48" x14ac:dyDescent="0.35">
      <c r="AO4328"/>
      <c r="AP4328"/>
      <c r="AQ4328"/>
      <c r="AR4328"/>
      <c r="AS4328"/>
      <c r="AT4328"/>
      <c r="AU4328"/>
      <c r="AV4328"/>
    </row>
    <row r="4329" spans="41:48" x14ac:dyDescent="0.35">
      <c r="AO4329"/>
      <c r="AP4329"/>
      <c r="AQ4329"/>
      <c r="AR4329"/>
      <c r="AS4329"/>
      <c r="AT4329"/>
      <c r="AU4329"/>
      <c r="AV4329"/>
    </row>
    <row r="4330" spans="41:48" x14ac:dyDescent="0.35">
      <c r="AO4330"/>
      <c r="AP4330"/>
      <c r="AQ4330"/>
      <c r="AR4330"/>
      <c r="AS4330"/>
      <c r="AT4330"/>
      <c r="AU4330"/>
      <c r="AV4330"/>
    </row>
    <row r="4331" spans="41:48" x14ac:dyDescent="0.35">
      <c r="AO4331"/>
      <c r="AP4331"/>
      <c r="AQ4331"/>
      <c r="AR4331"/>
      <c r="AS4331"/>
      <c r="AT4331"/>
      <c r="AU4331"/>
      <c r="AV4331"/>
    </row>
    <row r="4332" spans="41:48" x14ac:dyDescent="0.35">
      <c r="AO4332"/>
      <c r="AP4332"/>
      <c r="AQ4332"/>
      <c r="AR4332"/>
      <c r="AS4332"/>
      <c r="AT4332"/>
      <c r="AU4332"/>
      <c r="AV4332"/>
    </row>
    <row r="4333" spans="41:48" x14ac:dyDescent="0.35">
      <c r="AO4333"/>
      <c r="AP4333"/>
      <c r="AQ4333"/>
      <c r="AR4333"/>
      <c r="AS4333"/>
      <c r="AT4333"/>
      <c r="AU4333"/>
      <c r="AV4333"/>
    </row>
    <row r="4334" spans="41:48" x14ac:dyDescent="0.35">
      <c r="AO4334"/>
      <c r="AP4334"/>
      <c r="AQ4334"/>
      <c r="AR4334"/>
      <c r="AS4334"/>
      <c r="AT4334"/>
      <c r="AU4334"/>
      <c r="AV4334"/>
    </row>
    <row r="4335" spans="41:48" x14ac:dyDescent="0.35">
      <c r="AO4335"/>
      <c r="AP4335"/>
      <c r="AQ4335"/>
      <c r="AR4335"/>
      <c r="AS4335"/>
      <c r="AT4335"/>
      <c r="AU4335"/>
      <c r="AV4335"/>
    </row>
    <row r="4336" spans="41:48" x14ac:dyDescent="0.35">
      <c r="AO4336"/>
      <c r="AP4336"/>
      <c r="AQ4336"/>
      <c r="AR4336"/>
      <c r="AS4336"/>
      <c r="AT4336"/>
      <c r="AU4336"/>
      <c r="AV4336"/>
    </row>
    <row r="4337" spans="41:48" x14ac:dyDescent="0.35">
      <c r="AO4337"/>
      <c r="AP4337"/>
      <c r="AQ4337"/>
      <c r="AR4337"/>
      <c r="AS4337"/>
      <c r="AT4337"/>
      <c r="AU4337"/>
      <c r="AV4337"/>
    </row>
    <row r="4338" spans="41:48" x14ac:dyDescent="0.35">
      <c r="AO4338"/>
      <c r="AP4338"/>
      <c r="AQ4338"/>
      <c r="AR4338"/>
      <c r="AS4338"/>
      <c r="AT4338"/>
      <c r="AU4338"/>
      <c r="AV4338"/>
    </row>
    <row r="4339" spans="41:48" x14ac:dyDescent="0.35">
      <c r="AO4339"/>
      <c r="AP4339"/>
      <c r="AQ4339"/>
      <c r="AR4339"/>
      <c r="AS4339"/>
      <c r="AT4339"/>
      <c r="AU4339"/>
      <c r="AV4339"/>
    </row>
    <row r="4340" spans="41:48" x14ac:dyDescent="0.35">
      <c r="AO4340"/>
      <c r="AP4340"/>
      <c r="AQ4340"/>
      <c r="AR4340"/>
      <c r="AS4340"/>
      <c r="AT4340"/>
      <c r="AU4340"/>
      <c r="AV4340"/>
    </row>
    <row r="4341" spans="41:48" x14ac:dyDescent="0.35">
      <c r="AO4341"/>
      <c r="AP4341"/>
      <c r="AQ4341"/>
      <c r="AR4341"/>
      <c r="AS4341"/>
      <c r="AT4341"/>
      <c r="AU4341"/>
      <c r="AV4341"/>
    </row>
    <row r="4342" spans="41:48" x14ac:dyDescent="0.35">
      <c r="AO4342"/>
      <c r="AP4342"/>
      <c r="AQ4342"/>
      <c r="AR4342"/>
      <c r="AS4342"/>
      <c r="AT4342"/>
      <c r="AU4342"/>
      <c r="AV4342"/>
    </row>
    <row r="4343" spans="41:48" x14ac:dyDescent="0.35">
      <c r="AO4343"/>
      <c r="AP4343"/>
      <c r="AQ4343"/>
      <c r="AR4343"/>
      <c r="AS4343"/>
      <c r="AT4343"/>
      <c r="AU4343"/>
      <c r="AV4343"/>
    </row>
    <row r="4344" spans="41:48" x14ac:dyDescent="0.35">
      <c r="AO4344"/>
      <c r="AP4344"/>
      <c r="AQ4344"/>
      <c r="AR4344"/>
      <c r="AS4344"/>
      <c r="AT4344"/>
      <c r="AU4344"/>
      <c r="AV4344"/>
    </row>
    <row r="4345" spans="41:48" x14ac:dyDescent="0.35">
      <c r="AO4345"/>
      <c r="AP4345"/>
      <c r="AQ4345"/>
      <c r="AR4345"/>
      <c r="AS4345"/>
      <c r="AT4345"/>
      <c r="AU4345"/>
      <c r="AV4345"/>
    </row>
    <row r="4346" spans="41:48" x14ac:dyDescent="0.35">
      <c r="AO4346"/>
      <c r="AP4346"/>
      <c r="AQ4346"/>
      <c r="AR4346"/>
      <c r="AS4346"/>
      <c r="AT4346"/>
      <c r="AU4346"/>
      <c r="AV4346"/>
    </row>
    <row r="4347" spans="41:48" x14ac:dyDescent="0.35">
      <c r="AO4347"/>
      <c r="AP4347"/>
      <c r="AQ4347"/>
      <c r="AR4347"/>
      <c r="AS4347"/>
      <c r="AT4347"/>
      <c r="AU4347"/>
      <c r="AV4347"/>
    </row>
    <row r="4348" spans="41:48" x14ac:dyDescent="0.35">
      <c r="AO4348"/>
      <c r="AP4348"/>
      <c r="AQ4348"/>
      <c r="AR4348"/>
      <c r="AS4348"/>
      <c r="AT4348"/>
      <c r="AU4348"/>
      <c r="AV4348"/>
    </row>
    <row r="4349" spans="41:48" x14ac:dyDescent="0.35">
      <c r="AO4349"/>
      <c r="AP4349"/>
      <c r="AQ4349"/>
      <c r="AR4349"/>
      <c r="AS4349"/>
      <c r="AT4349"/>
      <c r="AU4349"/>
      <c r="AV4349"/>
    </row>
    <row r="4350" spans="41:48" x14ac:dyDescent="0.35">
      <c r="AO4350"/>
      <c r="AP4350"/>
      <c r="AQ4350"/>
      <c r="AR4350"/>
      <c r="AS4350"/>
      <c r="AT4350"/>
      <c r="AU4350"/>
      <c r="AV4350"/>
    </row>
    <row r="4351" spans="41:48" x14ac:dyDescent="0.35">
      <c r="AO4351"/>
      <c r="AP4351"/>
      <c r="AQ4351"/>
      <c r="AR4351"/>
      <c r="AS4351"/>
      <c r="AT4351"/>
      <c r="AU4351"/>
      <c r="AV4351"/>
    </row>
    <row r="4352" spans="41:48" x14ac:dyDescent="0.35">
      <c r="AO4352"/>
      <c r="AP4352"/>
      <c r="AQ4352"/>
      <c r="AR4352"/>
      <c r="AS4352"/>
      <c r="AT4352"/>
      <c r="AU4352"/>
      <c r="AV4352"/>
    </row>
    <row r="4353" spans="41:48" x14ac:dyDescent="0.35">
      <c r="AO4353"/>
      <c r="AP4353"/>
      <c r="AQ4353"/>
      <c r="AR4353"/>
      <c r="AS4353"/>
      <c r="AT4353"/>
      <c r="AU4353"/>
      <c r="AV4353"/>
    </row>
    <row r="4354" spans="41:48" x14ac:dyDescent="0.35">
      <c r="AO4354"/>
      <c r="AP4354"/>
      <c r="AQ4354"/>
      <c r="AR4354"/>
      <c r="AS4354"/>
      <c r="AT4354"/>
      <c r="AU4354"/>
      <c r="AV4354"/>
    </row>
    <row r="4355" spans="41:48" x14ac:dyDescent="0.35">
      <c r="AO4355"/>
      <c r="AP4355"/>
      <c r="AQ4355"/>
      <c r="AR4355"/>
      <c r="AS4355"/>
      <c r="AT4355"/>
      <c r="AU4355"/>
      <c r="AV4355"/>
    </row>
    <row r="4356" spans="41:48" x14ac:dyDescent="0.35">
      <c r="AO4356"/>
      <c r="AP4356"/>
      <c r="AQ4356"/>
      <c r="AR4356"/>
      <c r="AS4356"/>
      <c r="AT4356"/>
      <c r="AU4356"/>
      <c r="AV4356"/>
    </row>
    <row r="4357" spans="41:48" x14ac:dyDescent="0.35">
      <c r="AO4357"/>
      <c r="AP4357"/>
      <c r="AQ4357"/>
      <c r="AR4357"/>
      <c r="AS4357"/>
      <c r="AT4357"/>
      <c r="AU4357"/>
      <c r="AV4357"/>
    </row>
    <row r="4358" spans="41:48" x14ac:dyDescent="0.35">
      <c r="AO4358"/>
      <c r="AP4358"/>
      <c r="AQ4358"/>
      <c r="AR4358"/>
      <c r="AS4358"/>
      <c r="AT4358"/>
      <c r="AU4358"/>
      <c r="AV4358"/>
    </row>
    <row r="4359" spans="41:48" x14ac:dyDescent="0.35">
      <c r="AO4359"/>
      <c r="AP4359"/>
      <c r="AQ4359"/>
      <c r="AR4359"/>
      <c r="AS4359"/>
      <c r="AT4359"/>
      <c r="AU4359"/>
      <c r="AV4359"/>
    </row>
    <row r="4360" spans="41:48" x14ac:dyDescent="0.35">
      <c r="AO4360"/>
      <c r="AP4360"/>
      <c r="AQ4360"/>
      <c r="AR4360"/>
      <c r="AS4360"/>
      <c r="AT4360"/>
      <c r="AU4360"/>
      <c r="AV4360"/>
    </row>
    <row r="4361" spans="41:48" x14ac:dyDescent="0.35">
      <c r="AO4361"/>
      <c r="AP4361"/>
      <c r="AQ4361"/>
      <c r="AR4361"/>
      <c r="AS4361"/>
      <c r="AT4361"/>
      <c r="AU4361"/>
      <c r="AV4361"/>
    </row>
    <row r="4362" spans="41:48" x14ac:dyDescent="0.35">
      <c r="AO4362"/>
      <c r="AP4362"/>
      <c r="AQ4362"/>
      <c r="AR4362"/>
      <c r="AS4362"/>
      <c r="AT4362"/>
      <c r="AU4362"/>
      <c r="AV4362"/>
    </row>
    <row r="4363" spans="41:48" x14ac:dyDescent="0.35">
      <c r="AO4363"/>
      <c r="AP4363"/>
      <c r="AQ4363"/>
      <c r="AR4363"/>
      <c r="AS4363"/>
      <c r="AT4363"/>
      <c r="AU4363"/>
      <c r="AV4363"/>
    </row>
    <row r="4364" spans="41:48" x14ac:dyDescent="0.35">
      <c r="AO4364"/>
      <c r="AP4364"/>
      <c r="AQ4364"/>
      <c r="AR4364"/>
      <c r="AS4364"/>
      <c r="AT4364"/>
      <c r="AU4364"/>
      <c r="AV4364"/>
    </row>
    <row r="4365" spans="41:48" x14ac:dyDescent="0.35">
      <c r="AO4365"/>
      <c r="AP4365"/>
      <c r="AQ4365"/>
      <c r="AR4365"/>
      <c r="AS4365"/>
      <c r="AT4365"/>
      <c r="AU4365"/>
      <c r="AV4365"/>
    </row>
    <row r="4366" spans="41:48" x14ac:dyDescent="0.35">
      <c r="AO4366"/>
      <c r="AP4366"/>
      <c r="AQ4366"/>
      <c r="AR4366"/>
      <c r="AS4366"/>
      <c r="AT4366"/>
      <c r="AU4366"/>
      <c r="AV4366"/>
    </row>
    <row r="4367" spans="41:48" x14ac:dyDescent="0.35">
      <c r="AO4367"/>
      <c r="AP4367"/>
      <c r="AQ4367"/>
      <c r="AR4367"/>
      <c r="AS4367"/>
      <c r="AT4367"/>
      <c r="AU4367"/>
      <c r="AV4367"/>
    </row>
    <row r="4368" spans="41:48" x14ac:dyDescent="0.35">
      <c r="AO4368"/>
      <c r="AP4368"/>
      <c r="AQ4368"/>
      <c r="AR4368"/>
      <c r="AS4368"/>
      <c r="AT4368"/>
      <c r="AU4368"/>
      <c r="AV4368"/>
    </row>
    <row r="4369" spans="41:48" x14ac:dyDescent="0.35">
      <c r="AO4369"/>
      <c r="AP4369"/>
      <c r="AQ4369"/>
      <c r="AR4369"/>
      <c r="AS4369"/>
      <c r="AT4369"/>
      <c r="AU4369"/>
      <c r="AV4369"/>
    </row>
    <row r="4370" spans="41:48" x14ac:dyDescent="0.35">
      <c r="AO4370"/>
      <c r="AP4370"/>
      <c r="AQ4370"/>
      <c r="AR4370"/>
      <c r="AS4370"/>
      <c r="AT4370"/>
      <c r="AU4370"/>
      <c r="AV4370"/>
    </row>
    <row r="4371" spans="41:48" x14ac:dyDescent="0.35">
      <c r="AO4371"/>
      <c r="AP4371"/>
      <c r="AQ4371"/>
      <c r="AR4371"/>
      <c r="AS4371"/>
      <c r="AT4371"/>
      <c r="AU4371"/>
      <c r="AV4371"/>
    </row>
    <row r="4372" spans="41:48" x14ac:dyDescent="0.35">
      <c r="AO4372"/>
      <c r="AP4372"/>
      <c r="AQ4372"/>
      <c r="AR4372"/>
      <c r="AS4372"/>
      <c r="AT4372"/>
      <c r="AU4372"/>
      <c r="AV4372"/>
    </row>
    <row r="4373" spans="41:48" x14ac:dyDescent="0.35">
      <c r="AO4373"/>
      <c r="AP4373"/>
      <c r="AQ4373"/>
      <c r="AR4373"/>
      <c r="AS4373"/>
      <c r="AT4373"/>
      <c r="AU4373"/>
      <c r="AV4373"/>
    </row>
    <row r="4374" spans="41:48" x14ac:dyDescent="0.35">
      <c r="AO4374"/>
      <c r="AP4374"/>
      <c r="AQ4374"/>
      <c r="AR4374"/>
      <c r="AS4374"/>
      <c r="AT4374"/>
      <c r="AU4374"/>
      <c r="AV4374"/>
    </row>
    <row r="4375" spans="41:48" x14ac:dyDescent="0.35">
      <c r="AO4375"/>
      <c r="AP4375"/>
      <c r="AQ4375"/>
      <c r="AR4375"/>
      <c r="AS4375"/>
      <c r="AT4375"/>
      <c r="AU4375"/>
      <c r="AV4375"/>
    </row>
    <row r="4376" spans="41:48" x14ac:dyDescent="0.35">
      <c r="AO4376"/>
      <c r="AP4376"/>
      <c r="AQ4376"/>
      <c r="AR4376"/>
      <c r="AS4376"/>
      <c r="AT4376"/>
      <c r="AU4376"/>
      <c r="AV4376"/>
    </row>
    <row r="4377" spans="41:48" x14ac:dyDescent="0.35">
      <c r="AO4377"/>
      <c r="AP4377"/>
      <c r="AQ4377"/>
      <c r="AR4377"/>
      <c r="AS4377"/>
      <c r="AT4377"/>
      <c r="AU4377"/>
      <c r="AV4377"/>
    </row>
    <row r="4378" spans="41:48" x14ac:dyDescent="0.35">
      <c r="AO4378"/>
      <c r="AP4378"/>
      <c r="AQ4378"/>
      <c r="AR4378"/>
      <c r="AS4378"/>
      <c r="AT4378"/>
      <c r="AU4378"/>
      <c r="AV4378"/>
    </row>
    <row r="4379" spans="41:48" x14ac:dyDescent="0.35">
      <c r="AO4379"/>
      <c r="AP4379"/>
      <c r="AQ4379"/>
      <c r="AR4379"/>
      <c r="AS4379"/>
      <c r="AT4379"/>
      <c r="AU4379"/>
      <c r="AV4379"/>
    </row>
    <row r="4380" spans="41:48" x14ac:dyDescent="0.35">
      <c r="AO4380"/>
      <c r="AP4380"/>
      <c r="AQ4380"/>
      <c r="AR4380"/>
      <c r="AS4380"/>
      <c r="AT4380"/>
      <c r="AU4380"/>
      <c r="AV4380"/>
    </row>
    <row r="4381" spans="41:48" x14ac:dyDescent="0.35">
      <c r="AO4381"/>
      <c r="AP4381"/>
      <c r="AQ4381"/>
      <c r="AR4381"/>
      <c r="AS4381"/>
      <c r="AT4381"/>
      <c r="AU4381"/>
      <c r="AV4381"/>
    </row>
    <row r="4382" spans="41:48" x14ac:dyDescent="0.35">
      <c r="AO4382"/>
      <c r="AP4382"/>
      <c r="AQ4382"/>
      <c r="AR4382"/>
      <c r="AS4382"/>
      <c r="AT4382"/>
      <c r="AU4382"/>
      <c r="AV4382"/>
    </row>
    <row r="4383" spans="41:48" x14ac:dyDescent="0.35">
      <c r="AO4383"/>
      <c r="AP4383"/>
      <c r="AQ4383"/>
      <c r="AR4383"/>
      <c r="AS4383"/>
      <c r="AT4383"/>
      <c r="AU4383"/>
      <c r="AV4383"/>
    </row>
    <row r="4384" spans="41:48" x14ac:dyDescent="0.35">
      <c r="AO4384"/>
      <c r="AP4384"/>
      <c r="AQ4384"/>
      <c r="AR4384"/>
      <c r="AS4384"/>
      <c r="AT4384"/>
      <c r="AU4384"/>
      <c r="AV4384"/>
    </row>
    <row r="4385" spans="41:48" x14ac:dyDescent="0.35">
      <c r="AO4385"/>
      <c r="AP4385"/>
      <c r="AQ4385"/>
      <c r="AR4385"/>
      <c r="AS4385"/>
      <c r="AT4385"/>
      <c r="AU4385"/>
      <c r="AV4385"/>
    </row>
    <row r="4386" spans="41:48" x14ac:dyDescent="0.35">
      <c r="AO4386"/>
      <c r="AP4386"/>
      <c r="AQ4386"/>
      <c r="AR4386"/>
      <c r="AS4386"/>
      <c r="AT4386"/>
      <c r="AU4386"/>
      <c r="AV4386"/>
    </row>
    <row r="4387" spans="41:48" x14ac:dyDescent="0.35">
      <c r="AO4387"/>
      <c r="AP4387"/>
      <c r="AQ4387"/>
      <c r="AR4387"/>
      <c r="AS4387"/>
      <c r="AT4387"/>
      <c r="AU4387"/>
      <c r="AV4387"/>
    </row>
    <row r="4388" spans="41:48" x14ac:dyDescent="0.35">
      <c r="AO4388"/>
      <c r="AP4388"/>
      <c r="AQ4388"/>
      <c r="AR4388"/>
      <c r="AS4388"/>
      <c r="AT4388"/>
      <c r="AU4388"/>
      <c r="AV4388"/>
    </row>
    <row r="4389" spans="41:48" x14ac:dyDescent="0.35">
      <c r="AO4389"/>
      <c r="AP4389"/>
      <c r="AQ4389"/>
      <c r="AR4389"/>
      <c r="AS4389"/>
      <c r="AT4389"/>
      <c r="AU4389"/>
      <c r="AV4389"/>
    </row>
    <row r="4390" spans="41:48" x14ac:dyDescent="0.35">
      <c r="AO4390"/>
      <c r="AP4390"/>
      <c r="AQ4390"/>
      <c r="AR4390"/>
      <c r="AS4390"/>
      <c r="AT4390"/>
      <c r="AU4390"/>
      <c r="AV4390"/>
    </row>
    <row r="4391" spans="41:48" x14ac:dyDescent="0.35">
      <c r="AO4391"/>
      <c r="AP4391"/>
      <c r="AQ4391"/>
      <c r="AR4391"/>
      <c r="AS4391"/>
      <c r="AT4391"/>
      <c r="AU4391"/>
      <c r="AV4391"/>
    </row>
    <row r="4392" spans="41:48" x14ac:dyDescent="0.35">
      <c r="AO4392"/>
      <c r="AP4392"/>
      <c r="AQ4392"/>
      <c r="AR4392"/>
      <c r="AS4392"/>
      <c r="AT4392"/>
      <c r="AU4392"/>
      <c r="AV4392"/>
    </row>
    <row r="4393" spans="41:48" x14ac:dyDescent="0.35">
      <c r="AO4393"/>
      <c r="AP4393"/>
      <c r="AQ4393"/>
      <c r="AR4393"/>
      <c r="AS4393"/>
      <c r="AT4393"/>
      <c r="AU4393"/>
      <c r="AV4393"/>
    </row>
    <row r="4394" spans="41:48" x14ac:dyDescent="0.35">
      <c r="AO4394"/>
      <c r="AP4394"/>
      <c r="AQ4394"/>
      <c r="AR4394"/>
      <c r="AS4394"/>
      <c r="AT4394"/>
      <c r="AU4394"/>
      <c r="AV4394"/>
    </row>
    <row r="4395" spans="41:48" x14ac:dyDescent="0.35">
      <c r="AO4395"/>
      <c r="AP4395"/>
      <c r="AQ4395"/>
      <c r="AR4395"/>
      <c r="AS4395"/>
      <c r="AT4395"/>
      <c r="AU4395"/>
      <c r="AV4395"/>
    </row>
    <row r="4396" spans="41:48" x14ac:dyDescent="0.35">
      <c r="AO4396"/>
      <c r="AP4396"/>
      <c r="AQ4396"/>
      <c r="AR4396"/>
      <c r="AS4396"/>
      <c r="AT4396"/>
      <c r="AU4396"/>
      <c r="AV4396"/>
    </row>
    <row r="4397" spans="41:48" x14ac:dyDescent="0.35">
      <c r="AO4397"/>
      <c r="AP4397"/>
      <c r="AQ4397"/>
      <c r="AR4397"/>
      <c r="AS4397"/>
      <c r="AT4397"/>
      <c r="AU4397"/>
      <c r="AV4397"/>
    </row>
    <row r="4398" spans="41:48" x14ac:dyDescent="0.35">
      <c r="AO4398"/>
      <c r="AP4398"/>
      <c r="AQ4398"/>
      <c r="AR4398"/>
      <c r="AS4398"/>
      <c r="AT4398"/>
      <c r="AU4398"/>
      <c r="AV4398"/>
    </row>
    <row r="4399" spans="41:48" x14ac:dyDescent="0.35">
      <c r="AO4399"/>
      <c r="AP4399"/>
      <c r="AQ4399"/>
      <c r="AR4399"/>
      <c r="AS4399"/>
      <c r="AT4399"/>
      <c r="AU4399"/>
      <c r="AV4399"/>
    </row>
    <row r="4400" spans="41:48" x14ac:dyDescent="0.35">
      <c r="AO4400"/>
      <c r="AP4400"/>
      <c r="AQ4400"/>
      <c r="AR4400"/>
      <c r="AS4400"/>
      <c r="AT4400"/>
      <c r="AU4400"/>
      <c r="AV4400"/>
    </row>
    <row r="4401" spans="41:48" x14ac:dyDescent="0.35">
      <c r="AO4401"/>
      <c r="AP4401"/>
      <c r="AQ4401"/>
      <c r="AR4401"/>
      <c r="AS4401"/>
      <c r="AT4401"/>
      <c r="AU4401"/>
      <c r="AV4401"/>
    </row>
    <row r="4402" spans="41:48" x14ac:dyDescent="0.35">
      <c r="AO4402"/>
      <c r="AP4402"/>
      <c r="AQ4402"/>
      <c r="AR4402"/>
      <c r="AS4402"/>
      <c r="AT4402"/>
      <c r="AU4402"/>
      <c r="AV4402"/>
    </row>
    <row r="4403" spans="41:48" x14ac:dyDescent="0.35">
      <c r="AO4403"/>
      <c r="AP4403"/>
      <c r="AQ4403"/>
      <c r="AR4403"/>
      <c r="AS4403"/>
      <c r="AT4403"/>
      <c r="AU4403"/>
      <c r="AV4403"/>
    </row>
    <row r="4404" spans="41:48" x14ac:dyDescent="0.35">
      <c r="AO4404"/>
      <c r="AP4404"/>
      <c r="AQ4404"/>
      <c r="AR4404"/>
      <c r="AS4404"/>
      <c r="AT4404"/>
      <c r="AU4404"/>
      <c r="AV4404"/>
    </row>
    <row r="4405" spans="41:48" x14ac:dyDescent="0.35">
      <c r="AO4405"/>
      <c r="AP4405"/>
      <c r="AQ4405"/>
      <c r="AR4405"/>
      <c r="AS4405"/>
      <c r="AT4405"/>
      <c r="AU4405"/>
      <c r="AV4405"/>
    </row>
    <row r="4406" spans="41:48" x14ac:dyDescent="0.35">
      <c r="AO4406"/>
      <c r="AP4406"/>
      <c r="AQ4406"/>
      <c r="AR4406"/>
      <c r="AS4406"/>
      <c r="AT4406"/>
      <c r="AU4406"/>
      <c r="AV4406"/>
    </row>
    <row r="4407" spans="41:48" x14ac:dyDescent="0.35">
      <c r="AO4407"/>
      <c r="AP4407"/>
      <c r="AQ4407"/>
      <c r="AR4407"/>
      <c r="AS4407"/>
      <c r="AT4407"/>
      <c r="AU4407"/>
      <c r="AV4407"/>
    </row>
    <row r="4408" spans="41:48" x14ac:dyDescent="0.35">
      <c r="AO4408"/>
      <c r="AP4408"/>
      <c r="AQ4408"/>
      <c r="AR4408"/>
      <c r="AS4408"/>
      <c r="AT4408"/>
      <c r="AU4408"/>
      <c r="AV4408"/>
    </row>
    <row r="4409" spans="41:48" x14ac:dyDescent="0.35">
      <c r="AO4409"/>
      <c r="AP4409"/>
      <c r="AQ4409"/>
      <c r="AR4409"/>
      <c r="AS4409"/>
      <c r="AT4409"/>
      <c r="AU4409"/>
      <c r="AV4409"/>
    </row>
    <row r="4410" spans="41:48" x14ac:dyDescent="0.35">
      <c r="AO4410"/>
      <c r="AP4410"/>
      <c r="AQ4410"/>
      <c r="AR4410"/>
      <c r="AS4410"/>
      <c r="AT4410"/>
      <c r="AU4410"/>
      <c r="AV4410"/>
    </row>
    <row r="4411" spans="41:48" x14ac:dyDescent="0.35">
      <c r="AO4411"/>
      <c r="AP4411"/>
      <c r="AQ4411"/>
      <c r="AR4411"/>
      <c r="AS4411"/>
      <c r="AT4411"/>
      <c r="AU4411"/>
      <c r="AV4411"/>
    </row>
    <row r="4412" spans="41:48" x14ac:dyDescent="0.35">
      <c r="AO4412"/>
      <c r="AP4412"/>
      <c r="AQ4412"/>
      <c r="AR4412"/>
      <c r="AS4412"/>
      <c r="AT4412"/>
      <c r="AU4412"/>
      <c r="AV4412"/>
    </row>
    <row r="4413" spans="41:48" x14ac:dyDescent="0.35">
      <c r="AO4413"/>
      <c r="AP4413"/>
      <c r="AQ4413"/>
      <c r="AR4413"/>
      <c r="AS4413"/>
      <c r="AT4413"/>
      <c r="AU4413"/>
      <c r="AV4413"/>
    </row>
    <row r="4414" spans="41:48" x14ac:dyDescent="0.35">
      <c r="AO4414"/>
      <c r="AP4414"/>
      <c r="AQ4414"/>
      <c r="AR4414"/>
      <c r="AS4414"/>
      <c r="AT4414"/>
      <c r="AU4414"/>
      <c r="AV4414"/>
    </row>
    <row r="4415" spans="41:48" x14ac:dyDescent="0.35">
      <c r="AO4415"/>
      <c r="AP4415"/>
      <c r="AQ4415"/>
      <c r="AR4415"/>
      <c r="AS4415"/>
      <c r="AT4415"/>
      <c r="AU4415"/>
      <c r="AV4415"/>
    </row>
    <row r="4416" spans="41:48" x14ac:dyDescent="0.35">
      <c r="AO4416"/>
      <c r="AP4416"/>
      <c r="AQ4416"/>
      <c r="AR4416"/>
      <c r="AS4416"/>
      <c r="AT4416"/>
      <c r="AU4416"/>
      <c r="AV4416"/>
    </row>
    <row r="4417" spans="41:48" x14ac:dyDescent="0.35">
      <c r="AO4417"/>
      <c r="AP4417"/>
      <c r="AQ4417"/>
      <c r="AR4417"/>
      <c r="AS4417"/>
      <c r="AT4417"/>
      <c r="AU4417"/>
      <c r="AV4417"/>
    </row>
    <row r="4418" spans="41:48" x14ac:dyDescent="0.35">
      <c r="AO4418"/>
      <c r="AP4418"/>
      <c r="AQ4418"/>
      <c r="AR4418"/>
      <c r="AS4418"/>
      <c r="AT4418"/>
      <c r="AU4418"/>
      <c r="AV4418"/>
    </row>
    <row r="4419" spans="41:48" x14ac:dyDescent="0.35">
      <c r="AO4419"/>
      <c r="AP4419"/>
      <c r="AQ4419"/>
      <c r="AR4419"/>
      <c r="AS4419"/>
      <c r="AT4419"/>
      <c r="AU4419"/>
      <c r="AV4419"/>
    </row>
    <row r="4420" spans="41:48" x14ac:dyDescent="0.35">
      <c r="AO4420"/>
      <c r="AP4420"/>
      <c r="AQ4420"/>
      <c r="AR4420"/>
      <c r="AS4420"/>
      <c r="AT4420"/>
      <c r="AU4420"/>
      <c r="AV4420"/>
    </row>
    <row r="4421" spans="41:48" x14ac:dyDescent="0.35">
      <c r="AO4421"/>
      <c r="AP4421"/>
      <c r="AQ4421"/>
      <c r="AR4421"/>
      <c r="AS4421"/>
      <c r="AT4421"/>
      <c r="AU4421"/>
      <c r="AV4421"/>
    </row>
    <row r="4422" spans="41:48" x14ac:dyDescent="0.35">
      <c r="AO4422"/>
      <c r="AP4422"/>
      <c r="AQ4422"/>
      <c r="AR4422"/>
      <c r="AS4422"/>
      <c r="AT4422"/>
      <c r="AU4422"/>
      <c r="AV4422"/>
    </row>
    <row r="4423" spans="41:48" x14ac:dyDescent="0.35">
      <c r="AO4423"/>
      <c r="AP4423"/>
      <c r="AQ4423"/>
      <c r="AR4423"/>
      <c r="AS4423"/>
      <c r="AT4423"/>
      <c r="AU4423"/>
      <c r="AV4423"/>
    </row>
    <row r="4424" spans="41:48" x14ac:dyDescent="0.35">
      <c r="AO4424"/>
      <c r="AP4424"/>
      <c r="AQ4424"/>
      <c r="AR4424"/>
      <c r="AS4424"/>
      <c r="AT4424"/>
      <c r="AU4424"/>
      <c r="AV4424"/>
    </row>
    <row r="4425" spans="41:48" x14ac:dyDescent="0.35">
      <c r="AO4425"/>
      <c r="AP4425"/>
      <c r="AQ4425"/>
      <c r="AR4425"/>
      <c r="AS4425"/>
      <c r="AT4425"/>
      <c r="AU4425"/>
      <c r="AV4425"/>
    </row>
    <row r="4426" spans="41:48" x14ac:dyDescent="0.35">
      <c r="AO4426"/>
      <c r="AP4426"/>
      <c r="AQ4426"/>
      <c r="AR4426"/>
      <c r="AS4426"/>
      <c r="AT4426"/>
      <c r="AU4426"/>
      <c r="AV4426"/>
    </row>
    <row r="4427" spans="41:48" x14ac:dyDescent="0.35">
      <c r="AO4427"/>
      <c r="AP4427"/>
      <c r="AQ4427"/>
      <c r="AR4427"/>
      <c r="AS4427"/>
      <c r="AT4427"/>
      <c r="AU4427"/>
      <c r="AV4427"/>
    </row>
    <row r="4428" spans="41:48" x14ac:dyDescent="0.35">
      <c r="AO4428"/>
      <c r="AP4428"/>
      <c r="AQ4428"/>
      <c r="AR4428"/>
      <c r="AS4428"/>
      <c r="AT4428"/>
      <c r="AU4428"/>
      <c r="AV4428"/>
    </row>
    <row r="4429" spans="41:48" x14ac:dyDescent="0.35">
      <c r="AO4429"/>
      <c r="AP4429"/>
      <c r="AQ4429"/>
      <c r="AR4429"/>
      <c r="AS4429"/>
      <c r="AT4429"/>
      <c r="AU4429"/>
      <c r="AV4429"/>
    </row>
    <row r="4430" spans="41:48" x14ac:dyDescent="0.35">
      <c r="AO4430"/>
      <c r="AP4430"/>
      <c r="AQ4430"/>
      <c r="AR4430"/>
      <c r="AS4430"/>
      <c r="AT4430"/>
      <c r="AU4430"/>
      <c r="AV4430"/>
    </row>
    <row r="4431" spans="41:48" x14ac:dyDescent="0.35">
      <c r="AO4431"/>
      <c r="AP4431"/>
      <c r="AQ4431"/>
      <c r="AR4431"/>
      <c r="AS4431"/>
      <c r="AT4431"/>
      <c r="AU4431"/>
      <c r="AV4431"/>
    </row>
    <row r="4432" spans="41:48" x14ac:dyDescent="0.35">
      <c r="AO4432"/>
      <c r="AP4432"/>
      <c r="AQ4432"/>
      <c r="AR4432"/>
      <c r="AS4432"/>
      <c r="AT4432"/>
      <c r="AU4432"/>
      <c r="AV4432"/>
    </row>
    <row r="4433" spans="41:48" x14ac:dyDescent="0.35">
      <c r="AO4433"/>
      <c r="AP4433"/>
      <c r="AQ4433"/>
      <c r="AR4433"/>
      <c r="AS4433"/>
      <c r="AT4433"/>
      <c r="AU4433"/>
      <c r="AV4433"/>
    </row>
    <row r="4434" spans="41:48" x14ac:dyDescent="0.35">
      <c r="AO4434"/>
      <c r="AP4434"/>
      <c r="AQ4434"/>
      <c r="AR4434"/>
      <c r="AS4434"/>
      <c r="AT4434"/>
      <c r="AU4434"/>
      <c r="AV4434"/>
    </row>
    <row r="4435" spans="41:48" x14ac:dyDescent="0.35">
      <c r="AO4435"/>
      <c r="AP4435"/>
      <c r="AQ4435"/>
      <c r="AR4435"/>
      <c r="AS4435"/>
      <c r="AT4435"/>
      <c r="AU4435"/>
      <c r="AV4435"/>
    </row>
    <row r="4436" spans="41:48" x14ac:dyDescent="0.35">
      <c r="AO4436"/>
      <c r="AP4436"/>
      <c r="AQ4436"/>
      <c r="AR4436"/>
      <c r="AS4436"/>
      <c r="AT4436"/>
      <c r="AU4436"/>
      <c r="AV4436"/>
    </row>
    <row r="4437" spans="41:48" x14ac:dyDescent="0.35">
      <c r="AO4437"/>
      <c r="AP4437"/>
      <c r="AQ4437"/>
      <c r="AR4437"/>
      <c r="AS4437"/>
      <c r="AT4437"/>
      <c r="AU4437"/>
      <c r="AV4437"/>
    </row>
    <row r="4438" spans="41:48" x14ac:dyDescent="0.35">
      <c r="AO4438"/>
      <c r="AP4438"/>
      <c r="AQ4438"/>
      <c r="AR4438"/>
      <c r="AS4438"/>
      <c r="AT4438"/>
      <c r="AU4438"/>
      <c r="AV4438"/>
    </row>
    <row r="4439" spans="41:48" x14ac:dyDescent="0.35">
      <c r="AO4439"/>
      <c r="AP4439"/>
      <c r="AQ4439"/>
      <c r="AR4439"/>
      <c r="AS4439"/>
      <c r="AT4439"/>
      <c r="AU4439"/>
      <c r="AV4439"/>
    </row>
    <row r="4440" spans="41:48" x14ac:dyDescent="0.35">
      <c r="AO4440"/>
      <c r="AP4440"/>
      <c r="AQ4440"/>
      <c r="AR4440"/>
      <c r="AS4440"/>
      <c r="AT4440"/>
      <c r="AU4440"/>
      <c r="AV4440"/>
    </row>
    <row r="4441" spans="41:48" x14ac:dyDescent="0.35">
      <c r="AO4441"/>
      <c r="AP4441"/>
      <c r="AQ4441"/>
      <c r="AR4441"/>
      <c r="AS4441"/>
      <c r="AT4441"/>
      <c r="AU4441"/>
      <c r="AV4441"/>
    </row>
    <row r="4442" spans="41:48" x14ac:dyDescent="0.35">
      <c r="AO4442"/>
      <c r="AP4442"/>
      <c r="AQ4442"/>
      <c r="AR4442"/>
      <c r="AS4442"/>
      <c r="AT4442"/>
      <c r="AU4442"/>
      <c r="AV4442"/>
    </row>
    <row r="4443" spans="41:48" x14ac:dyDescent="0.35">
      <c r="AO4443"/>
      <c r="AP4443"/>
      <c r="AQ4443"/>
      <c r="AR4443"/>
      <c r="AS4443"/>
      <c r="AT4443"/>
      <c r="AU4443"/>
      <c r="AV4443"/>
    </row>
    <row r="4444" spans="41:48" x14ac:dyDescent="0.35">
      <c r="AO4444"/>
      <c r="AP4444"/>
      <c r="AQ4444"/>
      <c r="AR4444"/>
      <c r="AS4444"/>
      <c r="AT4444"/>
      <c r="AU4444"/>
      <c r="AV4444"/>
    </row>
    <row r="4445" spans="41:48" x14ac:dyDescent="0.35">
      <c r="AO4445"/>
      <c r="AP4445"/>
      <c r="AQ4445"/>
      <c r="AR4445"/>
      <c r="AS4445"/>
      <c r="AT4445"/>
      <c r="AU4445"/>
      <c r="AV4445"/>
    </row>
    <row r="4446" spans="41:48" x14ac:dyDescent="0.35">
      <c r="AO4446"/>
      <c r="AP4446"/>
      <c r="AQ4446"/>
      <c r="AR4446"/>
      <c r="AS4446"/>
      <c r="AT4446"/>
      <c r="AU4446"/>
      <c r="AV4446"/>
    </row>
    <row r="4447" spans="41:48" x14ac:dyDescent="0.35">
      <c r="AO4447"/>
      <c r="AP4447"/>
      <c r="AQ4447"/>
      <c r="AR4447"/>
      <c r="AS4447"/>
      <c r="AT4447"/>
      <c r="AU4447"/>
      <c r="AV4447"/>
    </row>
    <row r="4448" spans="41:48" x14ac:dyDescent="0.35">
      <c r="AO4448"/>
      <c r="AP4448"/>
      <c r="AQ4448"/>
      <c r="AR4448"/>
      <c r="AS4448"/>
      <c r="AT4448"/>
      <c r="AU4448"/>
      <c r="AV4448"/>
    </row>
    <row r="4449" spans="41:48" x14ac:dyDescent="0.35">
      <c r="AO4449"/>
      <c r="AP4449"/>
      <c r="AQ4449"/>
      <c r="AR4449"/>
      <c r="AS4449"/>
      <c r="AT4449"/>
      <c r="AU4449"/>
      <c r="AV4449"/>
    </row>
    <row r="4450" spans="41:48" x14ac:dyDescent="0.35">
      <c r="AO4450"/>
      <c r="AP4450"/>
      <c r="AQ4450"/>
      <c r="AR4450"/>
      <c r="AS4450"/>
      <c r="AT4450"/>
      <c r="AU4450"/>
      <c r="AV4450"/>
    </row>
    <row r="4451" spans="41:48" x14ac:dyDescent="0.35">
      <c r="AO4451"/>
      <c r="AP4451"/>
      <c r="AQ4451"/>
      <c r="AR4451"/>
      <c r="AS4451"/>
      <c r="AT4451"/>
      <c r="AU4451"/>
      <c r="AV4451"/>
    </row>
    <row r="4452" spans="41:48" x14ac:dyDescent="0.35">
      <c r="AO4452"/>
      <c r="AP4452"/>
      <c r="AQ4452"/>
      <c r="AR4452"/>
      <c r="AS4452"/>
      <c r="AT4452"/>
      <c r="AU4452"/>
      <c r="AV4452"/>
    </row>
    <row r="4453" spans="41:48" x14ac:dyDescent="0.35">
      <c r="AO4453"/>
      <c r="AP4453"/>
      <c r="AQ4453"/>
      <c r="AR4453"/>
      <c r="AS4453"/>
      <c r="AT4453"/>
      <c r="AU4453"/>
      <c r="AV4453"/>
    </row>
    <row r="4454" spans="41:48" x14ac:dyDescent="0.35">
      <c r="AO4454"/>
      <c r="AP4454"/>
      <c r="AQ4454"/>
      <c r="AR4454"/>
      <c r="AS4454"/>
      <c r="AT4454"/>
      <c r="AU4454"/>
      <c r="AV4454"/>
    </row>
    <row r="4455" spans="41:48" x14ac:dyDescent="0.35">
      <c r="AO4455"/>
      <c r="AP4455"/>
      <c r="AQ4455"/>
      <c r="AR4455"/>
      <c r="AS4455"/>
      <c r="AT4455"/>
      <c r="AU4455"/>
      <c r="AV4455"/>
    </row>
    <row r="4456" spans="41:48" x14ac:dyDescent="0.35">
      <c r="AO4456"/>
      <c r="AP4456"/>
      <c r="AQ4456"/>
      <c r="AR4456"/>
      <c r="AS4456"/>
      <c r="AT4456"/>
      <c r="AU4456"/>
      <c r="AV4456"/>
    </row>
    <row r="4457" spans="41:48" x14ac:dyDescent="0.35">
      <c r="AO4457"/>
      <c r="AP4457"/>
      <c r="AQ4457"/>
      <c r="AR4457"/>
      <c r="AS4457"/>
      <c r="AT4457"/>
      <c r="AU4457"/>
      <c r="AV4457"/>
    </row>
    <row r="4458" spans="41:48" x14ac:dyDescent="0.35">
      <c r="AO4458"/>
      <c r="AP4458"/>
      <c r="AQ4458"/>
      <c r="AR4458"/>
      <c r="AS4458"/>
      <c r="AT4458"/>
      <c r="AU4458"/>
      <c r="AV4458"/>
    </row>
    <row r="4459" spans="41:48" x14ac:dyDescent="0.35">
      <c r="AO4459"/>
      <c r="AP4459"/>
      <c r="AQ4459"/>
      <c r="AR4459"/>
      <c r="AS4459"/>
      <c r="AT4459"/>
      <c r="AU4459"/>
      <c r="AV4459"/>
    </row>
    <row r="4460" spans="41:48" x14ac:dyDescent="0.35">
      <c r="AO4460"/>
      <c r="AP4460"/>
      <c r="AQ4460"/>
      <c r="AR4460"/>
      <c r="AS4460"/>
      <c r="AT4460"/>
      <c r="AU4460"/>
      <c r="AV4460"/>
    </row>
    <row r="4461" spans="41:48" x14ac:dyDescent="0.35">
      <c r="AO4461"/>
      <c r="AP4461"/>
      <c r="AQ4461"/>
      <c r="AR4461"/>
      <c r="AS4461"/>
      <c r="AT4461"/>
      <c r="AU4461"/>
      <c r="AV4461"/>
    </row>
    <row r="4462" spans="41:48" x14ac:dyDescent="0.35">
      <c r="AO4462"/>
      <c r="AP4462"/>
      <c r="AQ4462"/>
      <c r="AR4462"/>
      <c r="AS4462"/>
      <c r="AT4462"/>
      <c r="AU4462"/>
      <c r="AV4462"/>
    </row>
    <row r="4463" spans="41:48" x14ac:dyDescent="0.35">
      <c r="AO4463"/>
      <c r="AP4463"/>
      <c r="AQ4463"/>
      <c r="AR4463"/>
      <c r="AS4463"/>
      <c r="AT4463"/>
      <c r="AU4463"/>
      <c r="AV4463"/>
    </row>
    <row r="4464" spans="41:48" x14ac:dyDescent="0.35">
      <c r="AO4464"/>
      <c r="AP4464"/>
      <c r="AQ4464"/>
      <c r="AR4464"/>
      <c r="AS4464"/>
      <c r="AT4464"/>
      <c r="AU4464"/>
      <c r="AV4464"/>
    </row>
    <row r="4465" spans="41:48" x14ac:dyDescent="0.35">
      <c r="AO4465"/>
      <c r="AP4465"/>
      <c r="AQ4465"/>
      <c r="AR4465"/>
      <c r="AS4465"/>
      <c r="AT4465"/>
      <c r="AU4465"/>
      <c r="AV4465"/>
    </row>
    <row r="4466" spans="41:48" x14ac:dyDescent="0.35">
      <c r="AO4466"/>
      <c r="AP4466"/>
      <c r="AQ4466"/>
      <c r="AR4466"/>
      <c r="AS4466"/>
      <c r="AT4466"/>
      <c r="AU4466"/>
      <c r="AV4466"/>
    </row>
    <row r="4467" spans="41:48" x14ac:dyDescent="0.35">
      <c r="AO4467"/>
      <c r="AP4467"/>
      <c r="AQ4467"/>
      <c r="AR4467"/>
      <c r="AS4467"/>
      <c r="AT4467"/>
      <c r="AU4467"/>
      <c r="AV4467"/>
    </row>
    <row r="4468" spans="41:48" x14ac:dyDescent="0.35">
      <c r="AO4468"/>
      <c r="AP4468"/>
      <c r="AQ4468"/>
      <c r="AR4468"/>
      <c r="AS4468"/>
      <c r="AT4468"/>
      <c r="AU4468"/>
      <c r="AV4468"/>
    </row>
    <row r="4469" spans="41:48" x14ac:dyDescent="0.35">
      <c r="AO4469"/>
      <c r="AP4469"/>
      <c r="AQ4469"/>
      <c r="AR4469"/>
      <c r="AS4469"/>
      <c r="AT4469"/>
      <c r="AU4469"/>
      <c r="AV4469"/>
    </row>
    <row r="4470" spans="41:48" x14ac:dyDescent="0.35">
      <c r="AO4470"/>
      <c r="AP4470"/>
      <c r="AQ4470"/>
      <c r="AR4470"/>
      <c r="AS4470"/>
      <c r="AT4470"/>
      <c r="AU4470"/>
      <c r="AV4470"/>
    </row>
    <row r="4471" spans="41:48" x14ac:dyDescent="0.35">
      <c r="AO4471"/>
      <c r="AP4471"/>
      <c r="AQ4471"/>
      <c r="AR4471"/>
      <c r="AS4471"/>
      <c r="AT4471"/>
      <c r="AU4471"/>
      <c r="AV4471"/>
    </row>
    <row r="4472" spans="41:48" x14ac:dyDescent="0.35">
      <c r="AO4472"/>
      <c r="AP4472"/>
      <c r="AQ4472"/>
      <c r="AR4472"/>
      <c r="AS4472"/>
      <c r="AT4472"/>
      <c r="AU4472"/>
      <c r="AV4472"/>
    </row>
    <row r="4473" spans="41:48" x14ac:dyDescent="0.35">
      <c r="AO4473"/>
      <c r="AP4473"/>
      <c r="AQ4473"/>
      <c r="AR4473"/>
      <c r="AS4473"/>
      <c r="AT4473"/>
      <c r="AU4473"/>
      <c r="AV4473"/>
    </row>
    <row r="4474" spans="41:48" x14ac:dyDescent="0.35">
      <c r="AO4474"/>
      <c r="AP4474"/>
      <c r="AQ4474"/>
      <c r="AR4474"/>
      <c r="AS4474"/>
      <c r="AT4474"/>
      <c r="AU4474"/>
      <c r="AV4474"/>
    </row>
    <row r="4475" spans="41:48" x14ac:dyDescent="0.35">
      <c r="AO4475"/>
      <c r="AP4475"/>
      <c r="AQ4475"/>
      <c r="AR4475"/>
      <c r="AS4475"/>
      <c r="AT4475"/>
      <c r="AU4475"/>
      <c r="AV4475"/>
    </row>
    <row r="4476" spans="41:48" x14ac:dyDescent="0.35">
      <c r="AO4476"/>
      <c r="AP4476"/>
      <c r="AQ4476"/>
      <c r="AR4476"/>
      <c r="AS4476"/>
      <c r="AT4476"/>
      <c r="AU4476"/>
      <c r="AV4476"/>
    </row>
    <row r="4477" spans="41:48" x14ac:dyDescent="0.35">
      <c r="AO4477"/>
      <c r="AP4477"/>
      <c r="AQ4477"/>
      <c r="AR4477"/>
      <c r="AS4477"/>
      <c r="AT4477"/>
      <c r="AU4477"/>
      <c r="AV4477"/>
    </row>
    <row r="4478" spans="41:48" x14ac:dyDescent="0.35">
      <c r="AO4478"/>
      <c r="AP4478"/>
      <c r="AQ4478"/>
      <c r="AR4478"/>
      <c r="AS4478"/>
      <c r="AT4478"/>
      <c r="AU4478"/>
      <c r="AV4478"/>
    </row>
    <row r="4479" spans="41:48" x14ac:dyDescent="0.35">
      <c r="AO4479"/>
      <c r="AP4479"/>
      <c r="AQ4479"/>
      <c r="AR4479"/>
      <c r="AS4479"/>
      <c r="AT4479"/>
      <c r="AU4479"/>
      <c r="AV4479"/>
    </row>
    <row r="4480" spans="41:48" x14ac:dyDescent="0.35">
      <c r="AO4480"/>
      <c r="AP4480"/>
      <c r="AQ4480"/>
      <c r="AR4480"/>
      <c r="AS4480"/>
      <c r="AT4480"/>
      <c r="AU4480"/>
      <c r="AV4480"/>
    </row>
    <row r="4481" spans="41:48" x14ac:dyDescent="0.35">
      <c r="AO4481"/>
      <c r="AP4481"/>
      <c r="AQ4481"/>
      <c r="AR4481"/>
      <c r="AS4481"/>
      <c r="AT4481"/>
      <c r="AU4481"/>
      <c r="AV4481"/>
    </row>
    <row r="4482" spans="41:48" x14ac:dyDescent="0.35">
      <c r="AO4482"/>
      <c r="AP4482"/>
      <c r="AQ4482"/>
      <c r="AR4482"/>
      <c r="AS4482"/>
      <c r="AT4482"/>
      <c r="AU4482"/>
      <c r="AV4482"/>
    </row>
    <row r="4483" spans="41:48" x14ac:dyDescent="0.35">
      <c r="AO4483"/>
      <c r="AP4483"/>
      <c r="AQ4483"/>
      <c r="AR4483"/>
      <c r="AS4483"/>
      <c r="AT4483"/>
      <c r="AU4483"/>
      <c r="AV4483"/>
    </row>
    <row r="4484" spans="41:48" x14ac:dyDescent="0.35">
      <c r="AO4484"/>
      <c r="AP4484"/>
      <c r="AQ4484"/>
      <c r="AR4484"/>
      <c r="AS4484"/>
      <c r="AT4484"/>
      <c r="AU4484"/>
      <c r="AV4484"/>
    </row>
    <row r="4485" spans="41:48" x14ac:dyDescent="0.35">
      <c r="AO4485"/>
      <c r="AP4485"/>
      <c r="AQ4485"/>
      <c r="AR4485"/>
      <c r="AS4485"/>
      <c r="AT4485"/>
      <c r="AU4485"/>
      <c r="AV4485"/>
    </row>
    <row r="4486" spans="41:48" x14ac:dyDescent="0.35">
      <c r="AO4486"/>
      <c r="AP4486"/>
      <c r="AQ4486"/>
      <c r="AR4486"/>
      <c r="AS4486"/>
      <c r="AT4486"/>
      <c r="AU4486"/>
      <c r="AV4486"/>
    </row>
    <row r="4487" spans="41:48" x14ac:dyDescent="0.35">
      <c r="AO4487"/>
      <c r="AP4487"/>
      <c r="AQ4487"/>
      <c r="AR4487"/>
      <c r="AS4487"/>
      <c r="AT4487"/>
      <c r="AU4487"/>
      <c r="AV4487"/>
    </row>
    <row r="4488" spans="41:48" x14ac:dyDescent="0.35">
      <c r="AO4488"/>
      <c r="AP4488"/>
      <c r="AQ4488"/>
      <c r="AR4488"/>
      <c r="AS4488"/>
      <c r="AT4488"/>
      <c r="AU4488"/>
      <c r="AV4488"/>
    </row>
    <row r="4489" spans="41:48" x14ac:dyDescent="0.35">
      <c r="AO4489"/>
      <c r="AP4489"/>
      <c r="AQ4489"/>
      <c r="AR4489"/>
      <c r="AS4489"/>
      <c r="AT4489"/>
      <c r="AU4489"/>
      <c r="AV4489"/>
    </row>
    <row r="4490" spans="41:48" x14ac:dyDescent="0.35">
      <c r="AO4490"/>
      <c r="AP4490"/>
      <c r="AQ4490"/>
      <c r="AR4490"/>
      <c r="AS4490"/>
      <c r="AT4490"/>
      <c r="AU4490"/>
      <c r="AV4490"/>
    </row>
    <row r="4491" spans="41:48" x14ac:dyDescent="0.35">
      <c r="AO4491"/>
      <c r="AP4491"/>
      <c r="AQ4491"/>
      <c r="AR4491"/>
      <c r="AS4491"/>
      <c r="AT4491"/>
      <c r="AU4491"/>
      <c r="AV4491"/>
    </row>
    <row r="4492" spans="41:48" x14ac:dyDescent="0.35">
      <c r="AO4492"/>
      <c r="AP4492"/>
      <c r="AQ4492"/>
      <c r="AR4492"/>
      <c r="AS4492"/>
      <c r="AT4492"/>
      <c r="AU4492"/>
      <c r="AV4492"/>
    </row>
    <row r="4493" spans="41:48" x14ac:dyDescent="0.35">
      <c r="AO4493"/>
      <c r="AP4493"/>
      <c r="AQ4493"/>
      <c r="AR4493"/>
      <c r="AS4493"/>
      <c r="AT4493"/>
      <c r="AU4493"/>
      <c r="AV4493"/>
    </row>
    <row r="4494" spans="41:48" x14ac:dyDescent="0.35">
      <c r="AO4494"/>
      <c r="AP4494"/>
      <c r="AQ4494"/>
      <c r="AR4494"/>
      <c r="AS4494"/>
      <c r="AT4494"/>
      <c r="AU4494"/>
      <c r="AV4494"/>
    </row>
    <row r="4495" spans="41:48" x14ac:dyDescent="0.35">
      <c r="AO4495"/>
      <c r="AP4495"/>
      <c r="AQ4495"/>
      <c r="AR4495"/>
      <c r="AS4495"/>
      <c r="AT4495"/>
      <c r="AU4495"/>
      <c r="AV4495"/>
    </row>
    <row r="4496" spans="41:48" x14ac:dyDescent="0.35">
      <c r="AO4496"/>
      <c r="AP4496"/>
      <c r="AQ4496"/>
      <c r="AR4496"/>
      <c r="AS4496"/>
      <c r="AT4496"/>
      <c r="AU4496"/>
      <c r="AV4496"/>
    </row>
    <row r="4497" spans="41:48" x14ac:dyDescent="0.35">
      <c r="AO4497"/>
      <c r="AP4497"/>
      <c r="AQ4497"/>
      <c r="AR4497"/>
      <c r="AS4497"/>
      <c r="AT4497"/>
      <c r="AU4497"/>
      <c r="AV4497"/>
    </row>
    <row r="4498" spans="41:48" x14ac:dyDescent="0.35">
      <c r="AO4498"/>
      <c r="AP4498"/>
      <c r="AQ4498"/>
      <c r="AR4498"/>
      <c r="AS4498"/>
      <c r="AT4498"/>
      <c r="AU4498"/>
      <c r="AV4498"/>
    </row>
    <row r="4499" spans="41:48" x14ac:dyDescent="0.35">
      <c r="AO4499"/>
      <c r="AP4499"/>
      <c r="AQ4499"/>
      <c r="AR4499"/>
      <c r="AS4499"/>
      <c r="AT4499"/>
      <c r="AU4499"/>
      <c r="AV4499"/>
    </row>
    <row r="4500" spans="41:48" x14ac:dyDescent="0.35">
      <c r="AO4500"/>
      <c r="AP4500"/>
      <c r="AQ4500"/>
      <c r="AR4500"/>
      <c r="AS4500"/>
      <c r="AT4500"/>
      <c r="AU4500"/>
      <c r="AV4500"/>
    </row>
    <row r="4501" spans="41:48" x14ac:dyDescent="0.35">
      <c r="AO4501"/>
      <c r="AP4501"/>
      <c r="AQ4501"/>
      <c r="AR4501"/>
      <c r="AS4501"/>
      <c r="AT4501"/>
      <c r="AU4501"/>
      <c r="AV4501"/>
    </row>
    <row r="4502" spans="41:48" x14ac:dyDescent="0.35">
      <c r="AO4502"/>
      <c r="AP4502"/>
      <c r="AQ4502"/>
      <c r="AR4502"/>
      <c r="AS4502"/>
      <c r="AT4502"/>
      <c r="AU4502"/>
      <c r="AV4502"/>
    </row>
    <row r="4503" spans="41:48" x14ac:dyDescent="0.35">
      <c r="AO4503"/>
      <c r="AP4503"/>
      <c r="AQ4503"/>
      <c r="AR4503"/>
      <c r="AS4503"/>
      <c r="AT4503"/>
      <c r="AU4503"/>
      <c r="AV4503"/>
    </row>
    <row r="4504" spans="41:48" x14ac:dyDescent="0.35">
      <c r="AO4504"/>
      <c r="AP4504"/>
      <c r="AQ4504"/>
      <c r="AR4504"/>
      <c r="AS4504"/>
      <c r="AT4504"/>
      <c r="AU4504"/>
      <c r="AV4504"/>
    </row>
    <row r="4505" spans="41:48" x14ac:dyDescent="0.35">
      <c r="AO4505"/>
      <c r="AP4505"/>
      <c r="AQ4505"/>
      <c r="AR4505"/>
      <c r="AS4505"/>
      <c r="AT4505"/>
      <c r="AU4505"/>
      <c r="AV4505"/>
    </row>
    <row r="4506" spans="41:48" x14ac:dyDescent="0.35">
      <c r="AO4506"/>
      <c r="AP4506"/>
      <c r="AQ4506"/>
      <c r="AR4506"/>
      <c r="AS4506"/>
      <c r="AT4506"/>
      <c r="AU4506"/>
      <c r="AV4506"/>
    </row>
    <row r="4507" spans="41:48" x14ac:dyDescent="0.35">
      <c r="AO4507"/>
      <c r="AP4507"/>
      <c r="AQ4507"/>
      <c r="AR4507"/>
      <c r="AS4507"/>
      <c r="AT4507"/>
      <c r="AU4507"/>
      <c r="AV4507"/>
    </row>
    <row r="4508" spans="41:48" x14ac:dyDescent="0.35">
      <c r="AO4508"/>
      <c r="AP4508"/>
      <c r="AQ4508"/>
      <c r="AR4508"/>
      <c r="AS4508"/>
      <c r="AT4508"/>
      <c r="AU4508"/>
      <c r="AV4508"/>
    </row>
    <row r="4509" spans="41:48" x14ac:dyDescent="0.35">
      <c r="AO4509"/>
      <c r="AP4509"/>
      <c r="AQ4509"/>
      <c r="AR4509"/>
      <c r="AS4509"/>
      <c r="AT4509"/>
      <c r="AU4509"/>
      <c r="AV4509"/>
    </row>
    <row r="4510" spans="41:48" x14ac:dyDescent="0.35">
      <c r="AO4510"/>
      <c r="AP4510"/>
      <c r="AQ4510"/>
      <c r="AR4510"/>
      <c r="AS4510"/>
      <c r="AT4510"/>
      <c r="AU4510"/>
      <c r="AV4510"/>
    </row>
    <row r="4511" spans="41:48" x14ac:dyDescent="0.35">
      <c r="AO4511"/>
      <c r="AP4511"/>
      <c r="AQ4511"/>
      <c r="AR4511"/>
      <c r="AS4511"/>
      <c r="AT4511"/>
      <c r="AU4511"/>
      <c r="AV4511"/>
    </row>
    <row r="4512" spans="41:48" x14ac:dyDescent="0.35">
      <c r="AO4512"/>
      <c r="AP4512"/>
      <c r="AQ4512"/>
      <c r="AR4512"/>
      <c r="AS4512"/>
      <c r="AT4512"/>
      <c r="AU4512"/>
      <c r="AV4512"/>
    </row>
    <row r="4513" spans="41:48" x14ac:dyDescent="0.35">
      <c r="AO4513"/>
      <c r="AP4513"/>
      <c r="AQ4513"/>
      <c r="AR4513"/>
      <c r="AS4513"/>
      <c r="AT4513"/>
      <c r="AU4513"/>
      <c r="AV4513"/>
    </row>
    <row r="4514" spans="41:48" x14ac:dyDescent="0.35">
      <c r="AO4514"/>
      <c r="AP4514"/>
      <c r="AQ4514"/>
      <c r="AR4514"/>
      <c r="AS4514"/>
      <c r="AT4514"/>
      <c r="AU4514"/>
      <c r="AV4514"/>
    </row>
    <row r="4515" spans="41:48" x14ac:dyDescent="0.35">
      <c r="AO4515"/>
      <c r="AP4515"/>
      <c r="AQ4515"/>
      <c r="AR4515"/>
      <c r="AS4515"/>
      <c r="AT4515"/>
      <c r="AU4515"/>
      <c r="AV4515"/>
    </row>
    <row r="4516" spans="41:48" x14ac:dyDescent="0.35">
      <c r="AO4516"/>
      <c r="AP4516"/>
      <c r="AQ4516"/>
      <c r="AR4516"/>
      <c r="AS4516"/>
      <c r="AT4516"/>
      <c r="AU4516"/>
      <c r="AV4516"/>
    </row>
    <row r="4517" spans="41:48" x14ac:dyDescent="0.35">
      <c r="AO4517"/>
      <c r="AP4517"/>
      <c r="AQ4517"/>
      <c r="AR4517"/>
      <c r="AS4517"/>
      <c r="AT4517"/>
      <c r="AU4517"/>
      <c r="AV4517"/>
    </row>
    <row r="4518" spans="41:48" x14ac:dyDescent="0.35">
      <c r="AO4518"/>
      <c r="AP4518"/>
      <c r="AQ4518"/>
      <c r="AR4518"/>
      <c r="AS4518"/>
      <c r="AT4518"/>
      <c r="AU4518"/>
      <c r="AV4518"/>
    </row>
    <row r="4519" spans="41:48" x14ac:dyDescent="0.35">
      <c r="AO4519"/>
      <c r="AP4519"/>
      <c r="AQ4519"/>
      <c r="AR4519"/>
      <c r="AS4519"/>
      <c r="AT4519"/>
      <c r="AU4519"/>
      <c r="AV4519"/>
    </row>
    <row r="4520" spans="41:48" x14ac:dyDescent="0.35">
      <c r="AO4520"/>
      <c r="AP4520"/>
      <c r="AQ4520"/>
      <c r="AR4520"/>
      <c r="AS4520"/>
      <c r="AT4520"/>
      <c r="AU4520"/>
      <c r="AV4520"/>
    </row>
    <row r="4521" spans="41:48" x14ac:dyDescent="0.35">
      <c r="AO4521"/>
      <c r="AP4521"/>
      <c r="AQ4521"/>
      <c r="AR4521"/>
      <c r="AS4521"/>
      <c r="AT4521"/>
      <c r="AU4521"/>
      <c r="AV4521"/>
    </row>
    <row r="4522" spans="41:48" x14ac:dyDescent="0.35">
      <c r="AO4522"/>
      <c r="AP4522"/>
      <c r="AQ4522"/>
      <c r="AR4522"/>
      <c r="AS4522"/>
      <c r="AT4522"/>
      <c r="AU4522"/>
      <c r="AV4522"/>
    </row>
    <row r="4523" spans="41:48" x14ac:dyDescent="0.35">
      <c r="AO4523"/>
      <c r="AP4523"/>
      <c r="AQ4523"/>
      <c r="AR4523"/>
      <c r="AS4523"/>
      <c r="AT4523"/>
      <c r="AU4523"/>
      <c r="AV4523"/>
    </row>
    <row r="4524" spans="41:48" x14ac:dyDescent="0.35">
      <c r="AO4524"/>
      <c r="AP4524"/>
      <c r="AQ4524"/>
      <c r="AR4524"/>
      <c r="AS4524"/>
      <c r="AT4524"/>
      <c r="AU4524"/>
      <c r="AV4524"/>
    </row>
    <row r="4525" spans="41:48" x14ac:dyDescent="0.35">
      <c r="AO4525"/>
      <c r="AP4525"/>
      <c r="AQ4525"/>
      <c r="AR4525"/>
      <c r="AS4525"/>
      <c r="AT4525"/>
      <c r="AU4525"/>
      <c r="AV4525"/>
    </row>
    <row r="4526" spans="41:48" x14ac:dyDescent="0.35">
      <c r="AO4526"/>
      <c r="AP4526"/>
      <c r="AQ4526"/>
      <c r="AR4526"/>
      <c r="AS4526"/>
      <c r="AT4526"/>
      <c r="AU4526"/>
      <c r="AV4526"/>
    </row>
    <row r="4527" spans="41:48" x14ac:dyDescent="0.35">
      <c r="AO4527"/>
      <c r="AP4527"/>
      <c r="AQ4527"/>
      <c r="AR4527"/>
      <c r="AS4527"/>
      <c r="AT4527"/>
      <c r="AU4527"/>
      <c r="AV4527"/>
    </row>
    <row r="4528" spans="41:48" x14ac:dyDescent="0.35">
      <c r="AO4528"/>
      <c r="AP4528"/>
      <c r="AQ4528"/>
      <c r="AR4528"/>
      <c r="AS4528"/>
      <c r="AT4528"/>
      <c r="AU4528"/>
      <c r="AV4528"/>
    </row>
    <row r="4529" spans="41:48" x14ac:dyDescent="0.35">
      <c r="AO4529"/>
      <c r="AP4529"/>
      <c r="AQ4529"/>
      <c r="AR4529"/>
      <c r="AS4529"/>
      <c r="AT4529"/>
      <c r="AU4529"/>
      <c r="AV4529"/>
    </row>
    <row r="4530" spans="41:48" x14ac:dyDescent="0.35">
      <c r="AO4530"/>
      <c r="AP4530"/>
      <c r="AQ4530"/>
      <c r="AR4530"/>
      <c r="AS4530"/>
      <c r="AT4530"/>
      <c r="AU4530"/>
      <c r="AV4530"/>
    </row>
    <row r="4531" spans="41:48" x14ac:dyDescent="0.35">
      <c r="AO4531"/>
      <c r="AP4531"/>
      <c r="AQ4531"/>
      <c r="AR4531"/>
      <c r="AS4531"/>
      <c r="AT4531"/>
      <c r="AU4531"/>
      <c r="AV4531"/>
    </row>
    <row r="4532" spans="41:48" x14ac:dyDescent="0.35">
      <c r="AO4532"/>
      <c r="AP4532"/>
      <c r="AQ4532"/>
      <c r="AR4532"/>
      <c r="AS4532"/>
      <c r="AT4532"/>
      <c r="AU4532"/>
      <c r="AV4532"/>
    </row>
    <row r="4533" spans="41:48" x14ac:dyDescent="0.35">
      <c r="AO4533"/>
      <c r="AP4533"/>
      <c r="AQ4533"/>
      <c r="AR4533"/>
      <c r="AS4533"/>
      <c r="AT4533"/>
      <c r="AU4533"/>
      <c r="AV4533"/>
    </row>
    <row r="4534" spans="41:48" x14ac:dyDescent="0.35">
      <c r="AO4534"/>
      <c r="AP4534"/>
      <c r="AQ4534"/>
      <c r="AR4534"/>
      <c r="AS4534"/>
      <c r="AT4534"/>
      <c r="AU4534"/>
      <c r="AV4534"/>
    </row>
    <row r="4535" spans="41:48" x14ac:dyDescent="0.35">
      <c r="AO4535"/>
      <c r="AP4535"/>
      <c r="AQ4535"/>
      <c r="AR4535"/>
      <c r="AS4535"/>
      <c r="AT4535"/>
      <c r="AU4535"/>
      <c r="AV4535"/>
    </row>
    <row r="4536" spans="41:48" x14ac:dyDescent="0.35">
      <c r="AO4536"/>
      <c r="AP4536"/>
      <c r="AQ4536"/>
      <c r="AR4536"/>
      <c r="AS4536"/>
      <c r="AT4536"/>
      <c r="AU4536"/>
      <c r="AV4536"/>
    </row>
    <row r="4537" spans="41:48" x14ac:dyDescent="0.35">
      <c r="AO4537"/>
      <c r="AP4537"/>
      <c r="AQ4537"/>
      <c r="AR4537"/>
      <c r="AS4537"/>
      <c r="AT4537"/>
      <c r="AU4537"/>
      <c r="AV4537"/>
    </row>
    <row r="4538" spans="41:48" x14ac:dyDescent="0.35">
      <c r="AO4538"/>
      <c r="AP4538"/>
      <c r="AQ4538"/>
      <c r="AR4538"/>
      <c r="AS4538"/>
      <c r="AT4538"/>
      <c r="AU4538"/>
      <c r="AV4538"/>
    </row>
    <row r="4539" spans="41:48" x14ac:dyDescent="0.35">
      <c r="AO4539"/>
      <c r="AP4539"/>
      <c r="AQ4539"/>
      <c r="AR4539"/>
      <c r="AS4539"/>
      <c r="AT4539"/>
      <c r="AU4539"/>
      <c r="AV4539"/>
    </row>
    <row r="4540" spans="41:48" x14ac:dyDescent="0.35">
      <c r="AO4540"/>
      <c r="AP4540"/>
      <c r="AQ4540"/>
      <c r="AR4540"/>
      <c r="AS4540"/>
      <c r="AT4540"/>
      <c r="AU4540"/>
      <c r="AV4540"/>
    </row>
    <row r="4541" spans="41:48" x14ac:dyDescent="0.35">
      <c r="AO4541"/>
      <c r="AP4541"/>
      <c r="AQ4541"/>
      <c r="AR4541"/>
      <c r="AS4541"/>
      <c r="AT4541"/>
      <c r="AU4541"/>
      <c r="AV4541"/>
    </row>
    <row r="4542" spans="41:48" x14ac:dyDescent="0.35">
      <c r="AO4542"/>
      <c r="AP4542"/>
      <c r="AQ4542"/>
      <c r="AR4542"/>
      <c r="AS4542"/>
      <c r="AT4542"/>
      <c r="AU4542"/>
      <c r="AV4542"/>
    </row>
    <row r="4543" spans="41:48" x14ac:dyDescent="0.35">
      <c r="AO4543"/>
      <c r="AP4543"/>
      <c r="AQ4543"/>
      <c r="AR4543"/>
      <c r="AS4543"/>
      <c r="AT4543"/>
      <c r="AU4543"/>
      <c r="AV4543"/>
    </row>
    <row r="4544" spans="41:48" x14ac:dyDescent="0.35">
      <c r="AO4544"/>
      <c r="AP4544"/>
      <c r="AQ4544"/>
      <c r="AR4544"/>
      <c r="AS4544"/>
      <c r="AT4544"/>
      <c r="AU4544"/>
      <c r="AV4544"/>
    </row>
    <row r="4545" spans="41:48" x14ac:dyDescent="0.35">
      <c r="AO4545"/>
      <c r="AP4545"/>
      <c r="AQ4545"/>
      <c r="AR4545"/>
      <c r="AS4545"/>
      <c r="AT4545"/>
      <c r="AU4545"/>
      <c r="AV4545"/>
    </row>
    <row r="4546" spans="41:48" x14ac:dyDescent="0.35">
      <c r="AO4546"/>
      <c r="AP4546"/>
      <c r="AQ4546"/>
      <c r="AR4546"/>
      <c r="AS4546"/>
      <c r="AT4546"/>
      <c r="AU4546"/>
      <c r="AV4546"/>
    </row>
    <row r="4547" spans="41:48" x14ac:dyDescent="0.35">
      <c r="AO4547"/>
      <c r="AP4547"/>
      <c r="AQ4547"/>
      <c r="AR4547"/>
      <c r="AS4547"/>
      <c r="AT4547"/>
      <c r="AU4547"/>
      <c r="AV4547"/>
    </row>
    <row r="4548" spans="41:48" x14ac:dyDescent="0.35">
      <c r="AO4548"/>
      <c r="AP4548"/>
      <c r="AQ4548"/>
      <c r="AR4548"/>
      <c r="AS4548"/>
      <c r="AT4548"/>
      <c r="AU4548"/>
      <c r="AV4548"/>
    </row>
    <row r="4549" spans="41:48" x14ac:dyDescent="0.35">
      <c r="AO4549"/>
      <c r="AP4549"/>
      <c r="AQ4549"/>
      <c r="AR4549"/>
      <c r="AS4549"/>
      <c r="AT4549"/>
      <c r="AU4549"/>
      <c r="AV4549"/>
    </row>
    <row r="4550" spans="41:48" x14ac:dyDescent="0.35">
      <c r="AO4550"/>
      <c r="AP4550"/>
      <c r="AQ4550"/>
      <c r="AR4550"/>
      <c r="AS4550"/>
      <c r="AT4550"/>
      <c r="AU4550"/>
      <c r="AV4550"/>
    </row>
    <row r="4551" spans="41:48" x14ac:dyDescent="0.35">
      <c r="AO4551"/>
      <c r="AP4551"/>
      <c r="AQ4551"/>
      <c r="AR4551"/>
      <c r="AS4551"/>
      <c r="AT4551"/>
      <c r="AU4551"/>
      <c r="AV4551"/>
    </row>
    <row r="4552" spans="41:48" x14ac:dyDescent="0.35">
      <c r="AO4552"/>
      <c r="AP4552"/>
      <c r="AQ4552"/>
      <c r="AR4552"/>
      <c r="AS4552"/>
      <c r="AT4552"/>
      <c r="AU4552"/>
      <c r="AV4552"/>
    </row>
    <row r="4553" spans="41:48" x14ac:dyDescent="0.35">
      <c r="AO4553"/>
      <c r="AP4553"/>
      <c r="AQ4553"/>
      <c r="AR4553"/>
      <c r="AS4553"/>
      <c r="AT4553"/>
      <c r="AU4553"/>
      <c r="AV4553"/>
    </row>
    <row r="4554" spans="41:48" x14ac:dyDescent="0.35">
      <c r="AO4554"/>
      <c r="AP4554"/>
      <c r="AQ4554"/>
      <c r="AR4554"/>
      <c r="AS4554"/>
      <c r="AT4554"/>
      <c r="AU4554"/>
      <c r="AV4554"/>
    </row>
    <row r="4555" spans="41:48" x14ac:dyDescent="0.35">
      <c r="AO4555"/>
      <c r="AP4555"/>
      <c r="AQ4555"/>
      <c r="AR4555"/>
      <c r="AS4555"/>
      <c r="AT4555"/>
      <c r="AU4555"/>
      <c r="AV4555"/>
    </row>
    <row r="4556" spans="41:48" x14ac:dyDescent="0.35">
      <c r="AO4556"/>
      <c r="AP4556"/>
      <c r="AQ4556"/>
      <c r="AR4556"/>
      <c r="AS4556"/>
      <c r="AT4556"/>
      <c r="AU4556"/>
      <c r="AV4556"/>
    </row>
    <row r="4557" spans="41:48" x14ac:dyDescent="0.35">
      <c r="AO4557"/>
      <c r="AP4557"/>
      <c r="AQ4557"/>
      <c r="AR4557"/>
      <c r="AS4557"/>
      <c r="AT4557"/>
      <c r="AU4557"/>
      <c r="AV4557"/>
    </row>
    <row r="4558" spans="41:48" x14ac:dyDescent="0.35">
      <c r="AO4558"/>
      <c r="AP4558"/>
      <c r="AQ4558"/>
      <c r="AR4558"/>
      <c r="AS4558"/>
      <c r="AT4558"/>
      <c r="AU4558"/>
      <c r="AV4558"/>
    </row>
    <row r="4559" spans="41:48" x14ac:dyDescent="0.35">
      <c r="AO4559"/>
      <c r="AP4559"/>
      <c r="AQ4559"/>
      <c r="AR4559"/>
      <c r="AS4559"/>
      <c r="AT4559"/>
      <c r="AU4559"/>
      <c r="AV4559"/>
    </row>
    <row r="4560" spans="41:48" x14ac:dyDescent="0.35">
      <c r="AO4560"/>
      <c r="AP4560"/>
      <c r="AQ4560"/>
      <c r="AR4560"/>
      <c r="AS4560"/>
      <c r="AT4560"/>
      <c r="AU4560"/>
      <c r="AV4560"/>
    </row>
    <row r="4561" spans="41:48" x14ac:dyDescent="0.35">
      <c r="AO4561"/>
      <c r="AP4561"/>
      <c r="AQ4561"/>
      <c r="AR4561"/>
      <c r="AS4561"/>
      <c r="AT4561"/>
      <c r="AU4561"/>
      <c r="AV4561"/>
    </row>
    <row r="4562" spans="41:48" x14ac:dyDescent="0.35">
      <c r="AO4562"/>
      <c r="AP4562"/>
      <c r="AQ4562"/>
      <c r="AR4562"/>
      <c r="AS4562"/>
      <c r="AT4562"/>
      <c r="AU4562"/>
      <c r="AV4562"/>
    </row>
    <row r="4563" spans="41:48" x14ac:dyDescent="0.35">
      <c r="AO4563"/>
      <c r="AP4563"/>
      <c r="AQ4563"/>
      <c r="AR4563"/>
      <c r="AS4563"/>
      <c r="AT4563"/>
      <c r="AU4563"/>
      <c r="AV4563"/>
    </row>
    <row r="4564" spans="41:48" x14ac:dyDescent="0.35">
      <c r="AO4564"/>
      <c r="AP4564"/>
      <c r="AQ4564"/>
      <c r="AR4564"/>
      <c r="AS4564"/>
      <c r="AT4564"/>
      <c r="AU4564"/>
      <c r="AV4564"/>
    </row>
    <row r="4565" spans="41:48" x14ac:dyDescent="0.35">
      <c r="AO4565"/>
      <c r="AP4565"/>
      <c r="AQ4565"/>
      <c r="AR4565"/>
      <c r="AS4565"/>
      <c r="AT4565"/>
      <c r="AU4565"/>
      <c r="AV4565"/>
    </row>
    <row r="4566" spans="41:48" x14ac:dyDescent="0.35">
      <c r="AO4566"/>
      <c r="AP4566"/>
      <c r="AQ4566"/>
      <c r="AR4566"/>
      <c r="AS4566"/>
      <c r="AT4566"/>
      <c r="AU4566"/>
      <c r="AV4566"/>
    </row>
    <row r="4567" spans="41:48" x14ac:dyDescent="0.35">
      <c r="AO4567"/>
      <c r="AP4567"/>
      <c r="AQ4567"/>
      <c r="AR4567"/>
      <c r="AS4567"/>
      <c r="AT4567"/>
      <c r="AU4567"/>
      <c r="AV4567"/>
    </row>
    <row r="4568" spans="41:48" x14ac:dyDescent="0.35">
      <c r="AO4568"/>
      <c r="AP4568"/>
      <c r="AQ4568"/>
      <c r="AR4568"/>
      <c r="AS4568"/>
      <c r="AT4568"/>
      <c r="AU4568"/>
      <c r="AV4568"/>
    </row>
    <row r="4569" spans="41:48" x14ac:dyDescent="0.35">
      <c r="AO4569"/>
      <c r="AP4569"/>
      <c r="AQ4569"/>
      <c r="AR4569"/>
      <c r="AS4569"/>
      <c r="AT4569"/>
      <c r="AU4569"/>
      <c r="AV4569"/>
    </row>
    <row r="4570" spans="41:48" x14ac:dyDescent="0.35">
      <c r="AO4570"/>
      <c r="AP4570"/>
      <c r="AQ4570"/>
      <c r="AR4570"/>
      <c r="AS4570"/>
      <c r="AT4570"/>
      <c r="AU4570"/>
      <c r="AV4570"/>
    </row>
    <row r="4571" spans="41:48" x14ac:dyDescent="0.35">
      <c r="AO4571"/>
      <c r="AP4571"/>
      <c r="AQ4571"/>
      <c r="AR4571"/>
      <c r="AS4571"/>
      <c r="AT4571"/>
      <c r="AU4571"/>
      <c r="AV4571"/>
    </row>
    <row r="4572" spans="41:48" x14ac:dyDescent="0.35">
      <c r="AO4572"/>
      <c r="AP4572"/>
      <c r="AQ4572"/>
      <c r="AR4572"/>
      <c r="AS4572"/>
      <c r="AT4572"/>
      <c r="AU4572"/>
      <c r="AV4572"/>
    </row>
    <row r="4573" spans="41:48" x14ac:dyDescent="0.35">
      <c r="AO4573"/>
      <c r="AP4573"/>
      <c r="AQ4573"/>
      <c r="AR4573"/>
      <c r="AS4573"/>
      <c r="AT4573"/>
      <c r="AU4573"/>
      <c r="AV4573"/>
    </row>
    <row r="4574" spans="41:48" x14ac:dyDescent="0.35">
      <c r="AO4574"/>
      <c r="AP4574"/>
      <c r="AQ4574"/>
      <c r="AR4574"/>
      <c r="AS4574"/>
      <c r="AT4574"/>
      <c r="AU4574"/>
      <c r="AV4574"/>
    </row>
    <row r="4575" spans="41:48" x14ac:dyDescent="0.35">
      <c r="AO4575"/>
      <c r="AP4575"/>
      <c r="AQ4575"/>
      <c r="AR4575"/>
      <c r="AS4575"/>
      <c r="AT4575"/>
      <c r="AU4575"/>
      <c r="AV4575"/>
    </row>
    <row r="4576" spans="41:48" x14ac:dyDescent="0.35">
      <c r="AO4576"/>
      <c r="AP4576"/>
      <c r="AQ4576"/>
      <c r="AR4576"/>
      <c r="AS4576"/>
      <c r="AT4576"/>
      <c r="AU4576"/>
      <c r="AV4576"/>
    </row>
    <row r="4577" spans="41:48" x14ac:dyDescent="0.35">
      <c r="AO4577"/>
      <c r="AP4577"/>
      <c r="AQ4577"/>
      <c r="AR4577"/>
      <c r="AS4577"/>
      <c r="AT4577"/>
      <c r="AU4577"/>
      <c r="AV4577"/>
    </row>
    <row r="4578" spans="41:48" x14ac:dyDescent="0.35">
      <c r="AO4578"/>
      <c r="AP4578"/>
      <c r="AQ4578"/>
      <c r="AR4578"/>
      <c r="AS4578"/>
      <c r="AT4578"/>
      <c r="AU4578"/>
      <c r="AV4578"/>
    </row>
    <row r="4579" spans="41:48" x14ac:dyDescent="0.35">
      <c r="AO4579"/>
      <c r="AP4579"/>
      <c r="AQ4579"/>
      <c r="AR4579"/>
      <c r="AS4579"/>
      <c r="AT4579"/>
      <c r="AU4579"/>
      <c r="AV4579"/>
    </row>
    <row r="4580" spans="41:48" x14ac:dyDescent="0.35">
      <c r="AO4580"/>
      <c r="AP4580"/>
      <c r="AQ4580"/>
      <c r="AR4580"/>
      <c r="AS4580"/>
      <c r="AT4580"/>
      <c r="AU4580"/>
      <c r="AV4580"/>
    </row>
    <row r="4581" spans="41:48" x14ac:dyDescent="0.35">
      <c r="AO4581"/>
      <c r="AP4581"/>
      <c r="AQ4581"/>
      <c r="AR4581"/>
      <c r="AS4581"/>
      <c r="AT4581"/>
      <c r="AU4581"/>
      <c r="AV4581"/>
    </row>
    <row r="4582" spans="41:48" x14ac:dyDescent="0.35">
      <c r="AO4582"/>
      <c r="AP4582"/>
      <c r="AQ4582"/>
      <c r="AR4582"/>
      <c r="AS4582"/>
      <c r="AT4582"/>
      <c r="AU4582"/>
      <c r="AV4582"/>
    </row>
    <row r="4583" spans="41:48" x14ac:dyDescent="0.35">
      <c r="AO4583"/>
      <c r="AP4583"/>
      <c r="AQ4583"/>
      <c r="AR4583"/>
      <c r="AS4583"/>
      <c r="AT4583"/>
      <c r="AU4583"/>
      <c r="AV4583"/>
    </row>
    <row r="4584" spans="41:48" x14ac:dyDescent="0.35">
      <c r="AO4584"/>
      <c r="AP4584"/>
      <c r="AQ4584"/>
      <c r="AR4584"/>
      <c r="AS4584"/>
      <c r="AT4584"/>
      <c r="AU4584"/>
      <c r="AV4584"/>
    </row>
    <row r="4585" spans="41:48" x14ac:dyDescent="0.35">
      <c r="AO4585"/>
      <c r="AP4585"/>
      <c r="AQ4585"/>
      <c r="AR4585"/>
      <c r="AS4585"/>
      <c r="AT4585"/>
      <c r="AU4585"/>
      <c r="AV4585"/>
    </row>
    <row r="4586" spans="41:48" x14ac:dyDescent="0.35">
      <c r="AO4586"/>
      <c r="AP4586"/>
      <c r="AQ4586"/>
      <c r="AR4586"/>
      <c r="AS4586"/>
      <c r="AT4586"/>
      <c r="AU4586"/>
      <c r="AV4586"/>
    </row>
    <row r="4587" spans="41:48" x14ac:dyDescent="0.35">
      <c r="AO4587"/>
      <c r="AP4587"/>
      <c r="AQ4587"/>
      <c r="AR4587"/>
      <c r="AS4587"/>
      <c r="AT4587"/>
      <c r="AU4587"/>
      <c r="AV4587"/>
    </row>
    <row r="4588" spans="41:48" x14ac:dyDescent="0.35">
      <c r="AO4588"/>
      <c r="AP4588"/>
      <c r="AQ4588"/>
      <c r="AR4588"/>
      <c r="AS4588"/>
      <c r="AT4588"/>
      <c r="AU4588"/>
      <c r="AV4588"/>
    </row>
    <row r="4589" spans="41:48" x14ac:dyDescent="0.35">
      <c r="AO4589"/>
      <c r="AP4589"/>
      <c r="AQ4589"/>
      <c r="AR4589"/>
      <c r="AS4589"/>
      <c r="AT4589"/>
      <c r="AU4589"/>
      <c r="AV4589"/>
    </row>
    <row r="4590" spans="41:48" x14ac:dyDescent="0.35">
      <c r="AO4590"/>
      <c r="AP4590"/>
      <c r="AQ4590"/>
      <c r="AR4590"/>
      <c r="AS4590"/>
      <c r="AT4590"/>
      <c r="AU4590"/>
      <c r="AV4590"/>
    </row>
    <row r="4591" spans="41:48" x14ac:dyDescent="0.35">
      <c r="AO4591"/>
      <c r="AP4591"/>
      <c r="AQ4591"/>
      <c r="AR4591"/>
      <c r="AS4591"/>
      <c r="AT4591"/>
      <c r="AU4591"/>
      <c r="AV4591"/>
    </row>
    <row r="4592" spans="41:48" x14ac:dyDescent="0.35">
      <c r="AO4592"/>
      <c r="AP4592"/>
      <c r="AQ4592"/>
      <c r="AR4592"/>
      <c r="AS4592"/>
      <c r="AT4592"/>
      <c r="AU4592"/>
      <c r="AV4592"/>
    </row>
    <row r="4593" spans="41:48" x14ac:dyDescent="0.35">
      <c r="AO4593"/>
      <c r="AP4593"/>
      <c r="AQ4593"/>
      <c r="AR4593"/>
      <c r="AS4593"/>
      <c r="AT4593"/>
      <c r="AU4593"/>
      <c r="AV4593"/>
    </row>
    <row r="4594" spans="41:48" x14ac:dyDescent="0.35">
      <c r="AO4594"/>
      <c r="AP4594"/>
      <c r="AQ4594"/>
      <c r="AR4594"/>
      <c r="AS4594"/>
      <c r="AT4594"/>
      <c r="AU4594"/>
      <c r="AV4594"/>
    </row>
    <row r="4595" spans="41:48" x14ac:dyDescent="0.35">
      <c r="AO4595"/>
      <c r="AP4595"/>
      <c r="AQ4595"/>
      <c r="AR4595"/>
      <c r="AS4595"/>
      <c r="AT4595"/>
      <c r="AU4595"/>
      <c r="AV4595"/>
    </row>
    <row r="4596" spans="41:48" x14ac:dyDescent="0.35">
      <c r="AO4596"/>
      <c r="AP4596"/>
      <c r="AQ4596"/>
      <c r="AR4596"/>
      <c r="AS4596"/>
      <c r="AT4596"/>
      <c r="AU4596"/>
      <c r="AV4596"/>
    </row>
    <row r="4597" spans="41:48" x14ac:dyDescent="0.35">
      <c r="AO4597"/>
      <c r="AP4597"/>
      <c r="AQ4597"/>
      <c r="AR4597"/>
      <c r="AS4597"/>
      <c r="AT4597"/>
      <c r="AU4597"/>
      <c r="AV4597"/>
    </row>
    <row r="4598" spans="41:48" x14ac:dyDescent="0.35">
      <c r="AO4598"/>
      <c r="AP4598"/>
      <c r="AQ4598"/>
      <c r="AR4598"/>
      <c r="AS4598"/>
      <c r="AT4598"/>
      <c r="AU4598"/>
      <c r="AV4598"/>
    </row>
    <row r="4599" spans="41:48" x14ac:dyDescent="0.35">
      <c r="AO4599"/>
      <c r="AP4599"/>
      <c r="AQ4599"/>
      <c r="AR4599"/>
      <c r="AS4599"/>
      <c r="AT4599"/>
      <c r="AU4599"/>
      <c r="AV4599"/>
    </row>
    <row r="4600" spans="41:48" x14ac:dyDescent="0.35">
      <c r="AO4600"/>
      <c r="AP4600"/>
      <c r="AQ4600"/>
      <c r="AR4600"/>
      <c r="AS4600"/>
      <c r="AT4600"/>
      <c r="AU4600"/>
      <c r="AV4600"/>
    </row>
    <row r="4601" spans="41:48" x14ac:dyDescent="0.35">
      <c r="AO4601"/>
      <c r="AP4601"/>
      <c r="AQ4601"/>
      <c r="AR4601"/>
      <c r="AS4601"/>
      <c r="AT4601"/>
      <c r="AU4601"/>
      <c r="AV4601"/>
    </row>
    <row r="4602" spans="41:48" x14ac:dyDescent="0.35">
      <c r="AO4602"/>
      <c r="AP4602"/>
      <c r="AQ4602"/>
      <c r="AR4602"/>
      <c r="AS4602"/>
      <c r="AT4602"/>
      <c r="AU4602"/>
      <c r="AV4602"/>
    </row>
    <row r="4603" spans="41:48" x14ac:dyDescent="0.35">
      <c r="AO4603"/>
      <c r="AP4603"/>
      <c r="AQ4603"/>
      <c r="AR4603"/>
      <c r="AS4603"/>
      <c r="AT4603"/>
      <c r="AU4603"/>
      <c r="AV4603"/>
    </row>
    <row r="4604" spans="41:48" x14ac:dyDescent="0.35">
      <c r="AO4604"/>
      <c r="AP4604"/>
      <c r="AQ4604"/>
      <c r="AR4604"/>
      <c r="AS4604"/>
      <c r="AT4604"/>
      <c r="AU4604"/>
      <c r="AV4604"/>
    </row>
    <row r="4605" spans="41:48" x14ac:dyDescent="0.35">
      <c r="AO4605"/>
      <c r="AP4605"/>
      <c r="AQ4605"/>
      <c r="AR4605"/>
      <c r="AS4605"/>
      <c r="AT4605"/>
      <c r="AU4605"/>
      <c r="AV4605"/>
    </row>
    <row r="4606" spans="41:48" x14ac:dyDescent="0.35">
      <c r="AO4606"/>
      <c r="AP4606"/>
      <c r="AQ4606"/>
      <c r="AR4606"/>
      <c r="AS4606"/>
      <c r="AT4606"/>
      <c r="AU4606"/>
      <c r="AV4606"/>
    </row>
    <row r="4607" spans="41:48" x14ac:dyDescent="0.35">
      <c r="AO4607"/>
      <c r="AP4607"/>
      <c r="AQ4607"/>
      <c r="AR4607"/>
      <c r="AS4607"/>
      <c r="AT4607"/>
      <c r="AU4607"/>
      <c r="AV4607"/>
    </row>
    <row r="4608" spans="41:48" x14ac:dyDescent="0.35">
      <c r="AO4608"/>
      <c r="AP4608"/>
      <c r="AQ4608"/>
      <c r="AR4608"/>
      <c r="AS4608"/>
      <c r="AT4608"/>
      <c r="AU4608"/>
      <c r="AV4608"/>
    </row>
    <row r="4609" spans="41:48" x14ac:dyDescent="0.35">
      <c r="AO4609"/>
      <c r="AP4609"/>
      <c r="AQ4609"/>
      <c r="AR4609"/>
      <c r="AS4609"/>
      <c r="AT4609"/>
      <c r="AU4609"/>
      <c r="AV4609"/>
    </row>
    <row r="4610" spans="41:48" x14ac:dyDescent="0.35">
      <c r="AO4610"/>
      <c r="AP4610"/>
      <c r="AQ4610"/>
      <c r="AR4610"/>
      <c r="AS4610"/>
      <c r="AT4610"/>
      <c r="AU4610"/>
      <c r="AV4610"/>
    </row>
    <row r="4611" spans="41:48" x14ac:dyDescent="0.35">
      <c r="AO4611"/>
      <c r="AP4611"/>
      <c r="AQ4611"/>
      <c r="AR4611"/>
      <c r="AS4611"/>
      <c r="AT4611"/>
      <c r="AU4611"/>
      <c r="AV4611"/>
    </row>
    <row r="4612" spans="41:48" x14ac:dyDescent="0.35">
      <c r="AO4612"/>
      <c r="AP4612"/>
      <c r="AQ4612"/>
      <c r="AR4612"/>
      <c r="AS4612"/>
      <c r="AT4612"/>
      <c r="AU4612"/>
      <c r="AV4612"/>
    </row>
    <row r="4613" spans="41:48" x14ac:dyDescent="0.35">
      <c r="AO4613"/>
      <c r="AP4613"/>
      <c r="AQ4613"/>
      <c r="AR4613"/>
      <c r="AS4613"/>
      <c r="AT4613"/>
      <c r="AU4613"/>
      <c r="AV4613"/>
    </row>
    <row r="4614" spans="41:48" x14ac:dyDescent="0.35">
      <c r="AO4614"/>
      <c r="AP4614"/>
      <c r="AQ4614"/>
      <c r="AR4614"/>
      <c r="AS4614"/>
      <c r="AT4614"/>
      <c r="AU4614"/>
      <c r="AV4614"/>
    </row>
    <row r="4615" spans="41:48" x14ac:dyDescent="0.35">
      <c r="AO4615"/>
      <c r="AP4615"/>
      <c r="AQ4615"/>
      <c r="AR4615"/>
      <c r="AS4615"/>
      <c r="AT4615"/>
      <c r="AU4615"/>
      <c r="AV4615"/>
    </row>
    <row r="4616" spans="41:48" x14ac:dyDescent="0.35">
      <c r="AO4616"/>
      <c r="AP4616"/>
      <c r="AQ4616"/>
      <c r="AR4616"/>
      <c r="AS4616"/>
      <c r="AT4616"/>
      <c r="AU4616"/>
      <c r="AV4616"/>
    </row>
    <row r="4617" spans="41:48" x14ac:dyDescent="0.35">
      <c r="AO4617"/>
      <c r="AP4617"/>
      <c r="AQ4617"/>
      <c r="AR4617"/>
      <c r="AS4617"/>
      <c r="AT4617"/>
      <c r="AU4617"/>
      <c r="AV4617"/>
    </row>
    <row r="4618" spans="41:48" x14ac:dyDescent="0.35">
      <c r="AO4618"/>
      <c r="AP4618"/>
      <c r="AQ4618"/>
      <c r="AR4618"/>
      <c r="AS4618"/>
      <c r="AT4618"/>
      <c r="AU4618"/>
      <c r="AV4618"/>
    </row>
    <row r="4619" spans="41:48" x14ac:dyDescent="0.35">
      <c r="AO4619"/>
      <c r="AP4619"/>
      <c r="AQ4619"/>
      <c r="AR4619"/>
      <c r="AS4619"/>
      <c r="AT4619"/>
      <c r="AU4619"/>
      <c r="AV4619"/>
    </row>
    <row r="4620" spans="41:48" x14ac:dyDescent="0.35">
      <c r="AO4620"/>
      <c r="AP4620"/>
      <c r="AQ4620"/>
      <c r="AR4620"/>
      <c r="AS4620"/>
      <c r="AT4620"/>
      <c r="AU4620"/>
      <c r="AV4620"/>
    </row>
    <row r="4621" spans="41:48" x14ac:dyDescent="0.35">
      <c r="AO4621"/>
      <c r="AP4621"/>
      <c r="AQ4621"/>
      <c r="AR4621"/>
      <c r="AS4621"/>
      <c r="AT4621"/>
      <c r="AU4621"/>
      <c r="AV4621"/>
    </row>
    <row r="4622" spans="41:48" x14ac:dyDescent="0.35">
      <c r="AO4622"/>
      <c r="AP4622"/>
      <c r="AQ4622"/>
      <c r="AR4622"/>
      <c r="AS4622"/>
      <c r="AT4622"/>
      <c r="AU4622"/>
      <c r="AV4622"/>
    </row>
    <row r="4623" spans="41:48" x14ac:dyDescent="0.35">
      <c r="AO4623"/>
      <c r="AP4623"/>
      <c r="AQ4623"/>
      <c r="AR4623"/>
      <c r="AS4623"/>
      <c r="AT4623"/>
      <c r="AU4623"/>
      <c r="AV4623"/>
    </row>
    <row r="4624" spans="41:48" x14ac:dyDescent="0.35">
      <c r="AO4624"/>
      <c r="AP4624"/>
      <c r="AQ4624"/>
      <c r="AR4624"/>
      <c r="AS4624"/>
      <c r="AT4624"/>
      <c r="AU4624"/>
      <c r="AV4624"/>
    </row>
    <row r="4625" spans="41:48" x14ac:dyDescent="0.35">
      <c r="AO4625"/>
      <c r="AP4625"/>
      <c r="AQ4625"/>
      <c r="AR4625"/>
      <c r="AS4625"/>
      <c r="AT4625"/>
      <c r="AU4625"/>
      <c r="AV4625"/>
    </row>
    <row r="4626" spans="41:48" x14ac:dyDescent="0.35">
      <c r="AO4626"/>
      <c r="AP4626"/>
      <c r="AQ4626"/>
      <c r="AR4626"/>
      <c r="AS4626"/>
      <c r="AT4626"/>
      <c r="AU4626"/>
      <c r="AV4626"/>
    </row>
    <row r="4627" spans="41:48" x14ac:dyDescent="0.35">
      <c r="AO4627"/>
      <c r="AP4627"/>
      <c r="AQ4627"/>
      <c r="AR4627"/>
      <c r="AS4627"/>
      <c r="AT4627"/>
      <c r="AU4627"/>
      <c r="AV4627"/>
    </row>
    <row r="4628" spans="41:48" x14ac:dyDescent="0.35">
      <c r="AO4628"/>
      <c r="AP4628"/>
      <c r="AQ4628"/>
      <c r="AR4628"/>
      <c r="AS4628"/>
      <c r="AT4628"/>
      <c r="AU4628"/>
      <c r="AV4628"/>
    </row>
    <row r="4629" spans="41:48" x14ac:dyDescent="0.35">
      <c r="AO4629"/>
      <c r="AP4629"/>
      <c r="AQ4629"/>
      <c r="AR4629"/>
      <c r="AS4629"/>
      <c r="AT4629"/>
      <c r="AU4629"/>
      <c r="AV4629"/>
    </row>
    <row r="4630" spans="41:48" x14ac:dyDescent="0.35">
      <c r="AO4630"/>
      <c r="AP4630"/>
      <c r="AQ4630"/>
      <c r="AR4630"/>
      <c r="AS4630"/>
      <c r="AT4630"/>
      <c r="AU4630"/>
      <c r="AV4630"/>
    </row>
    <row r="4631" spans="41:48" x14ac:dyDescent="0.35">
      <c r="AO4631"/>
      <c r="AP4631"/>
      <c r="AQ4631"/>
      <c r="AR4631"/>
      <c r="AS4631"/>
      <c r="AT4631"/>
      <c r="AU4631"/>
      <c r="AV4631"/>
    </row>
    <row r="4632" spans="41:48" x14ac:dyDescent="0.35">
      <c r="AO4632"/>
      <c r="AP4632"/>
      <c r="AQ4632"/>
      <c r="AR4632"/>
      <c r="AS4632"/>
      <c r="AT4632"/>
      <c r="AU4632"/>
      <c r="AV4632"/>
    </row>
    <row r="4633" spans="41:48" x14ac:dyDescent="0.35">
      <c r="AO4633"/>
      <c r="AP4633"/>
      <c r="AQ4633"/>
      <c r="AR4633"/>
      <c r="AS4633"/>
      <c r="AT4633"/>
      <c r="AU4633"/>
      <c r="AV4633"/>
    </row>
    <row r="4634" spans="41:48" x14ac:dyDescent="0.35">
      <c r="AO4634"/>
      <c r="AP4634"/>
      <c r="AQ4634"/>
      <c r="AR4634"/>
      <c r="AS4634"/>
      <c r="AT4634"/>
      <c r="AU4634"/>
      <c r="AV4634"/>
    </row>
    <row r="4635" spans="41:48" x14ac:dyDescent="0.35">
      <c r="AO4635"/>
      <c r="AP4635"/>
      <c r="AQ4635"/>
      <c r="AR4635"/>
      <c r="AS4635"/>
      <c r="AT4635"/>
      <c r="AU4635"/>
      <c r="AV4635"/>
    </row>
    <row r="4636" spans="41:48" x14ac:dyDescent="0.35">
      <c r="AO4636"/>
      <c r="AP4636"/>
      <c r="AQ4636"/>
      <c r="AR4636"/>
      <c r="AS4636"/>
      <c r="AT4636"/>
      <c r="AU4636"/>
      <c r="AV4636"/>
    </row>
    <row r="4637" spans="41:48" x14ac:dyDescent="0.35">
      <c r="AO4637"/>
      <c r="AP4637"/>
      <c r="AQ4637"/>
      <c r="AR4637"/>
      <c r="AS4637"/>
      <c r="AT4637"/>
      <c r="AU4637"/>
      <c r="AV4637"/>
    </row>
    <row r="4638" spans="41:48" x14ac:dyDescent="0.35">
      <c r="AO4638"/>
      <c r="AP4638"/>
      <c r="AQ4638"/>
      <c r="AR4638"/>
      <c r="AS4638"/>
      <c r="AT4638"/>
      <c r="AU4638"/>
      <c r="AV4638"/>
    </row>
    <row r="4639" spans="41:48" x14ac:dyDescent="0.35">
      <c r="AO4639"/>
      <c r="AP4639"/>
      <c r="AQ4639"/>
      <c r="AR4639"/>
      <c r="AS4639"/>
      <c r="AT4639"/>
      <c r="AU4639"/>
      <c r="AV4639"/>
    </row>
    <row r="4640" spans="41:48" x14ac:dyDescent="0.35">
      <c r="AO4640"/>
      <c r="AP4640"/>
      <c r="AQ4640"/>
      <c r="AR4640"/>
      <c r="AS4640"/>
      <c r="AT4640"/>
      <c r="AU4640"/>
      <c r="AV4640"/>
    </row>
    <row r="4641" spans="41:48" x14ac:dyDescent="0.35">
      <c r="AO4641"/>
      <c r="AP4641"/>
      <c r="AQ4641"/>
      <c r="AR4641"/>
      <c r="AS4641"/>
      <c r="AT4641"/>
      <c r="AU4641"/>
      <c r="AV4641"/>
    </row>
    <row r="4642" spans="41:48" x14ac:dyDescent="0.35">
      <c r="AO4642"/>
      <c r="AP4642"/>
      <c r="AQ4642"/>
      <c r="AR4642"/>
      <c r="AS4642"/>
      <c r="AT4642"/>
      <c r="AU4642"/>
      <c r="AV4642"/>
    </row>
    <row r="4643" spans="41:48" x14ac:dyDescent="0.35">
      <c r="AO4643"/>
      <c r="AP4643"/>
      <c r="AQ4643"/>
      <c r="AR4643"/>
      <c r="AS4643"/>
      <c r="AT4643"/>
      <c r="AU4643"/>
      <c r="AV4643"/>
    </row>
    <row r="4644" spans="41:48" x14ac:dyDescent="0.35">
      <c r="AO4644"/>
      <c r="AP4644"/>
      <c r="AQ4644"/>
      <c r="AR4644"/>
      <c r="AS4644"/>
      <c r="AT4644"/>
      <c r="AU4644"/>
      <c r="AV4644"/>
    </row>
    <row r="4645" spans="41:48" x14ac:dyDescent="0.35">
      <c r="AO4645"/>
      <c r="AP4645"/>
      <c r="AQ4645"/>
      <c r="AR4645"/>
      <c r="AS4645"/>
      <c r="AT4645"/>
      <c r="AU4645"/>
      <c r="AV4645"/>
    </row>
    <row r="4646" spans="41:48" x14ac:dyDescent="0.35">
      <c r="AO4646"/>
      <c r="AP4646"/>
      <c r="AQ4646"/>
      <c r="AR4646"/>
      <c r="AS4646"/>
      <c r="AT4646"/>
      <c r="AU4646"/>
      <c r="AV4646"/>
    </row>
    <row r="4647" spans="41:48" x14ac:dyDescent="0.35">
      <c r="AO4647"/>
      <c r="AP4647"/>
      <c r="AQ4647"/>
      <c r="AR4647"/>
      <c r="AS4647"/>
      <c r="AT4647"/>
      <c r="AU4647"/>
      <c r="AV4647"/>
    </row>
    <row r="4648" spans="41:48" x14ac:dyDescent="0.35">
      <c r="AO4648"/>
      <c r="AP4648"/>
      <c r="AQ4648"/>
      <c r="AR4648"/>
      <c r="AS4648"/>
      <c r="AT4648"/>
      <c r="AU4648"/>
      <c r="AV4648"/>
    </row>
    <row r="4649" spans="41:48" x14ac:dyDescent="0.35">
      <c r="AO4649"/>
      <c r="AP4649"/>
      <c r="AQ4649"/>
      <c r="AR4649"/>
      <c r="AS4649"/>
      <c r="AT4649"/>
      <c r="AU4649"/>
      <c r="AV4649"/>
    </row>
    <row r="4650" spans="41:48" x14ac:dyDescent="0.35">
      <c r="AO4650"/>
      <c r="AP4650"/>
      <c r="AQ4650"/>
      <c r="AR4650"/>
      <c r="AS4650"/>
      <c r="AT4650"/>
      <c r="AU4650"/>
      <c r="AV4650"/>
    </row>
    <row r="4651" spans="41:48" x14ac:dyDescent="0.35">
      <c r="AO4651"/>
      <c r="AP4651"/>
      <c r="AQ4651"/>
      <c r="AR4651"/>
      <c r="AS4651"/>
      <c r="AT4651"/>
      <c r="AU4651"/>
      <c r="AV4651"/>
    </row>
    <row r="4652" spans="41:48" x14ac:dyDescent="0.35">
      <c r="AO4652"/>
      <c r="AP4652"/>
      <c r="AQ4652"/>
      <c r="AR4652"/>
      <c r="AS4652"/>
      <c r="AT4652"/>
      <c r="AU4652"/>
      <c r="AV4652"/>
    </row>
    <row r="4653" spans="41:48" x14ac:dyDescent="0.35">
      <c r="AO4653"/>
      <c r="AP4653"/>
      <c r="AQ4653"/>
      <c r="AR4653"/>
      <c r="AS4653"/>
      <c r="AT4653"/>
      <c r="AU4653"/>
      <c r="AV4653"/>
    </row>
    <row r="4654" spans="41:48" x14ac:dyDescent="0.35">
      <c r="AO4654"/>
      <c r="AP4654"/>
      <c r="AQ4654"/>
      <c r="AR4654"/>
      <c r="AS4654"/>
      <c r="AT4654"/>
      <c r="AU4654"/>
      <c r="AV4654"/>
    </row>
    <row r="4655" spans="41:48" x14ac:dyDescent="0.35">
      <c r="AO4655"/>
      <c r="AP4655"/>
      <c r="AQ4655"/>
      <c r="AR4655"/>
      <c r="AS4655"/>
      <c r="AT4655"/>
      <c r="AU4655"/>
      <c r="AV4655"/>
    </row>
    <row r="4656" spans="41:48" x14ac:dyDescent="0.35">
      <c r="AO4656"/>
      <c r="AP4656"/>
      <c r="AQ4656"/>
      <c r="AR4656"/>
      <c r="AS4656"/>
      <c r="AT4656"/>
      <c r="AU4656"/>
      <c r="AV4656"/>
    </row>
    <row r="4657" spans="41:48" x14ac:dyDescent="0.35">
      <c r="AO4657"/>
      <c r="AP4657"/>
      <c r="AQ4657"/>
      <c r="AR4657"/>
      <c r="AS4657"/>
      <c r="AT4657"/>
      <c r="AU4657"/>
      <c r="AV4657"/>
    </row>
    <row r="4658" spans="41:48" x14ac:dyDescent="0.35">
      <c r="AO4658"/>
      <c r="AP4658"/>
      <c r="AQ4658"/>
      <c r="AR4658"/>
      <c r="AS4658"/>
      <c r="AT4658"/>
      <c r="AU4658"/>
      <c r="AV4658"/>
    </row>
    <row r="4659" spans="41:48" x14ac:dyDescent="0.35">
      <c r="AO4659"/>
      <c r="AP4659"/>
      <c r="AQ4659"/>
      <c r="AR4659"/>
      <c r="AS4659"/>
      <c r="AT4659"/>
      <c r="AU4659"/>
      <c r="AV4659"/>
    </row>
    <row r="4660" spans="41:48" x14ac:dyDescent="0.35">
      <c r="AO4660"/>
      <c r="AP4660"/>
      <c r="AQ4660"/>
      <c r="AR4660"/>
      <c r="AS4660"/>
      <c r="AT4660"/>
      <c r="AU4660"/>
      <c r="AV4660"/>
    </row>
    <row r="4661" spans="41:48" x14ac:dyDescent="0.35">
      <c r="AO4661"/>
      <c r="AP4661"/>
      <c r="AQ4661"/>
      <c r="AR4661"/>
      <c r="AS4661"/>
      <c r="AT4661"/>
      <c r="AU4661"/>
      <c r="AV4661"/>
    </row>
    <row r="4662" spans="41:48" x14ac:dyDescent="0.35">
      <c r="AO4662"/>
      <c r="AP4662"/>
      <c r="AQ4662"/>
      <c r="AR4662"/>
      <c r="AS4662"/>
      <c r="AT4662"/>
      <c r="AU4662"/>
      <c r="AV4662"/>
    </row>
    <row r="4663" spans="41:48" x14ac:dyDescent="0.35">
      <c r="AO4663"/>
      <c r="AP4663"/>
      <c r="AQ4663"/>
      <c r="AR4663"/>
      <c r="AS4663"/>
      <c r="AT4663"/>
      <c r="AU4663"/>
      <c r="AV4663"/>
    </row>
    <row r="4664" spans="41:48" x14ac:dyDescent="0.35">
      <c r="AO4664"/>
      <c r="AP4664"/>
      <c r="AQ4664"/>
      <c r="AR4664"/>
      <c r="AS4664"/>
      <c r="AT4664"/>
      <c r="AU4664"/>
      <c r="AV4664"/>
    </row>
    <row r="4665" spans="41:48" x14ac:dyDescent="0.35">
      <c r="AO4665"/>
      <c r="AP4665"/>
      <c r="AQ4665"/>
      <c r="AR4665"/>
      <c r="AS4665"/>
      <c r="AT4665"/>
      <c r="AU4665"/>
      <c r="AV4665"/>
    </row>
    <row r="4666" spans="41:48" x14ac:dyDescent="0.35">
      <c r="AO4666"/>
      <c r="AP4666"/>
      <c r="AQ4666"/>
      <c r="AR4666"/>
      <c r="AS4666"/>
      <c r="AT4666"/>
      <c r="AU4666"/>
      <c r="AV4666"/>
    </row>
    <row r="4667" spans="41:48" x14ac:dyDescent="0.35">
      <c r="AO4667"/>
      <c r="AP4667"/>
      <c r="AQ4667"/>
      <c r="AR4667"/>
      <c r="AS4667"/>
      <c r="AT4667"/>
      <c r="AU4667"/>
      <c r="AV4667"/>
    </row>
    <row r="4668" spans="41:48" x14ac:dyDescent="0.35">
      <c r="AO4668"/>
      <c r="AP4668"/>
      <c r="AQ4668"/>
      <c r="AR4668"/>
      <c r="AS4668"/>
      <c r="AT4668"/>
      <c r="AU4668"/>
      <c r="AV4668"/>
    </row>
    <row r="4669" spans="41:48" x14ac:dyDescent="0.35">
      <c r="AO4669"/>
      <c r="AP4669"/>
      <c r="AQ4669"/>
      <c r="AR4669"/>
      <c r="AS4669"/>
      <c r="AT4669"/>
      <c r="AU4669"/>
      <c r="AV4669"/>
    </row>
    <row r="4670" spans="41:48" x14ac:dyDescent="0.35">
      <c r="AO4670"/>
      <c r="AP4670"/>
      <c r="AQ4670"/>
      <c r="AR4670"/>
      <c r="AS4670"/>
      <c r="AT4670"/>
      <c r="AU4670"/>
      <c r="AV4670"/>
    </row>
    <row r="4671" spans="41:48" x14ac:dyDescent="0.35">
      <c r="AO4671"/>
      <c r="AP4671"/>
      <c r="AQ4671"/>
      <c r="AR4671"/>
      <c r="AS4671"/>
      <c r="AT4671"/>
      <c r="AU4671"/>
      <c r="AV4671"/>
    </row>
    <row r="4672" spans="41:48" x14ac:dyDescent="0.35">
      <c r="AO4672"/>
      <c r="AP4672"/>
      <c r="AQ4672"/>
      <c r="AR4672"/>
      <c r="AS4672"/>
      <c r="AT4672"/>
      <c r="AU4672"/>
      <c r="AV4672"/>
    </row>
    <row r="4673" spans="41:48" x14ac:dyDescent="0.35">
      <c r="AO4673"/>
      <c r="AP4673"/>
      <c r="AQ4673"/>
      <c r="AR4673"/>
      <c r="AS4673"/>
      <c r="AT4673"/>
      <c r="AU4673"/>
      <c r="AV4673"/>
    </row>
    <row r="4674" spans="41:48" x14ac:dyDescent="0.35">
      <c r="AO4674"/>
      <c r="AP4674"/>
      <c r="AQ4674"/>
      <c r="AR4674"/>
      <c r="AS4674"/>
      <c r="AT4674"/>
      <c r="AU4674"/>
      <c r="AV4674"/>
    </row>
    <row r="4675" spans="41:48" x14ac:dyDescent="0.35">
      <c r="AO4675"/>
      <c r="AP4675"/>
      <c r="AQ4675"/>
      <c r="AR4675"/>
      <c r="AS4675"/>
      <c r="AT4675"/>
      <c r="AU4675"/>
      <c r="AV4675"/>
    </row>
    <row r="4676" spans="41:48" x14ac:dyDescent="0.35">
      <c r="AO4676"/>
      <c r="AP4676"/>
      <c r="AQ4676"/>
      <c r="AR4676"/>
      <c r="AS4676"/>
      <c r="AT4676"/>
      <c r="AU4676"/>
      <c r="AV4676"/>
    </row>
    <row r="4677" spans="41:48" x14ac:dyDescent="0.35">
      <c r="AO4677"/>
      <c r="AP4677"/>
      <c r="AQ4677"/>
      <c r="AR4677"/>
      <c r="AS4677"/>
      <c r="AT4677"/>
      <c r="AU4677"/>
      <c r="AV4677"/>
    </row>
    <row r="4678" spans="41:48" x14ac:dyDescent="0.35">
      <c r="AO4678"/>
      <c r="AP4678"/>
      <c r="AQ4678"/>
      <c r="AR4678"/>
      <c r="AS4678"/>
      <c r="AT4678"/>
      <c r="AU4678"/>
      <c r="AV4678"/>
    </row>
    <row r="4679" spans="41:48" x14ac:dyDescent="0.35">
      <c r="AO4679"/>
      <c r="AP4679"/>
      <c r="AQ4679"/>
      <c r="AR4679"/>
      <c r="AS4679"/>
      <c r="AT4679"/>
      <c r="AU4679"/>
      <c r="AV4679"/>
    </row>
    <row r="4680" spans="41:48" x14ac:dyDescent="0.35">
      <c r="AO4680"/>
      <c r="AP4680"/>
      <c r="AQ4680"/>
      <c r="AR4680"/>
      <c r="AS4680"/>
      <c r="AT4680"/>
      <c r="AU4680"/>
      <c r="AV4680"/>
    </row>
    <row r="4681" spans="41:48" x14ac:dyDescent="0.35">
      <c r="AO4681"/>
      <c r="AP4681"/>
      <c r="AQ4681"/>
      <c r="AR4681"/>
      <c r="AS4681"/>
      <c r="AT4681"/>
      <c r="AU4681"/>
      <c r="AV4681"/>
    </row>
    <row r="4682" spans="41:48" x14ac:dyDescent="0.35">
      <c r="AO4682"/>
      <c r="AP4682"/>
      <c r="AQ4682"/>
      <c r="AR4682"/>
      <c r="AS4682"/>
      <c r="AT4682"/>
      <c r="AU4682"/>
      <c r="AV4682"/>
    </row>
    <row r="4683" spans="41:48" x14ac:dyDescent="0.35">
      <c r="AO4683"/>
      <c r="AP4683"/>
      <c r="AQ4683"/>
      <c r="AR4683"/>
      <c r="AS4683"/>
      <c r="AT4683"/>
      <c r="AU4683"/>
      <c r="AV4683"/>
    </row>
    <row r="4684" spans="41:48" x14ac:dyDescent="0.35">
      <c r="AO4684"/>
      <c r="AP4684"/>
      <c r="AQ4684"/>
      <c r="AR4684"/>
      <c r="AS4684"/>
      <c r="AT4684"/>
      <c r="AU4684"/>
      <c r="AV4684"/>
    </row>
    <row r="4685" spans="41:48" x14ac:dyDescent="0.35">
      <c r="AO4685"/>
      <c r="AP4685"/>
      <c r="AQ4685"/>
      <c r="AR4685"/>
      <c r="AS4685"/>
      <c r="AT4685"/>
      <c r="AU4685"/>
      <c r="AV4685"/>
    </row>
    <row r="4686" spans="41:48" x14ac:dyDescent="0.35">
      <c r="AO4686"/>
      <c r="AP4686"/>
      <c r="AQ4686"/>
      <c r="AR4686"/>
      <c r="AS4686"/>
      <c r="AT4686"/>
      <c r="AU4686"/>
      <c r="AV4686"/>
    </row>
    <row r="4687" spans="41:48" x14ac:dyDescent="0.35">
      <c r="AO4687"/>
      <c r="AP4687"/>
      <c r="AQ4687"/>
      <c r="AR4687"/>
      <c r="AS4687"/>
      <c r="AT4687"/>
      <c r="AU4687"/>
      <c r="AV4687"/>
    </row>
    <row r="4688" spans="41:48" x14ac:dyDescent="0.35">
      <c r="AO4688"/>
      <c r="AP4688"/>
      <c r="AQ4688"/>
      <c r="AR4688"/>
      <c r="AS4688"/>
      <c r="AT4688"/>
      <c r="AU4688"/>
      <c r="AV4688"/>
    </row>
    <row r="4689" spans="41:48" x14ac:dyDescent="0.35">
      <c r="AO4689"/>
      <c r="AP4689"/>
      <c r="AQ4689"/>
      <c r="AR4689"/>
      <c r="AS4689"/>
      <c r="AT4689"/>
      <c r="AU4689"/>
      <c r="AV4689"/>
    </row>
    <row r="4690" spans="41:48" x14ac:dyDescent="0.35">
      <c r="AO4690"/>
      <c r="AP4690"/>
      <c r="AQ4690"/>
      <c r="AR4690"/>
      <c r="AS4690"/>
      <c r="AT4690"/>
      <c r="AU4690"/>
      <c r="AV4690"/>
    </row>
    <row r="4691" spans="41:48" x14ac:dyDescent="0.35">
      <c r="AO4691"/>
      <c r="AP4691"/>
      <c r="AQ4691"/>
      <c r="AR4691"/>
      <c r="AS4691"/>
      <c r="AT4691"/>
      <c r="AU4691"/>
      <c r="AV4691"/>
    </row>
    <row r="4692" spans="41:48" x14ac:dyDescent="0.35">
      <c r="AO4692"/>
      <c r="AP4692"/>
      <c r="AQ4692"/>
      <c r="AR4692"/>
      <c r="AS4692"/>
      <c r="AT4692"/>
      <c r="AU4692"/>
      <c r="AV4692"/>
    </row>
    <row r="4693" spans="41:48" x14ac:dyDescent="0.35">
      <c r="AO4693"/>
      <c r="AP4693"/>
      <c r="AQ4693"/>
      <c r="AR4693"/>
      <c r="AS4693"/>
      <c r="AT4693"/>
      <c r="AU4693"/>
      <c r="AV4693"/>
    </row>
    <row r="4694" spans="41:48" x14ac:dyDescent="0.35">
      <c r="AO4694"/>
      <c r="AP4694"/>
      <c r="AQ4694"/>
      <c r="AR4694"/>
      <c r="AS4694"/>
      <c r="AT4694"/>
      <c r="AU4694"/>
      <c r="AV4694"/>
    </row>
    <row r="4695" spans="41:48" x14ac:dyDescent="0.35">
      <c r="AO4695"/>
      <c r="AP4695"/>
      <c r="AQ4695"/>
      <c r="AR4695"/>
      <c r="AS4695"/>
      <c r="AT4695"/>
      <c r="AU4695"/>
      <c r="AV4695"/>
    </row>
    <row r="4696" spans="41:48" x14ac:dyDescent="0.35">
      <c r="AO4696"/>
      <c r="AP4696"/>
      <c r="AQ4696"/>
      <c r="AR4696"/>
      <c r="AS4696"/>
      <c r="AT4696"/>
      <c r="AU4696"/>
      <c r="AV4696"/>
    </row>
    <row r="4697" spans="41:48" x14ac:dyDescent="0.35">
      <c r="AO4697"/>
      <c r="AP4697"/>
      <c r="AQ4697"/>
      <c r="AR4697"/>
      <c r="AS4697"/>
      <c r="AT4697"/>
      <c r="AU4697"/>
      <c r="AV4697"/>
    </row>
    <row r="4698" spans="41:48" x14ac:dyDescent="0.35">
      <c r="AO4698"/>
      <c r="AP4698"/>
      <c r="AQ4698"/>
      <c r="AR4698"/>
      <c r="AS4698"/>
      <c r="AT4698"/>
      <c r="AU4698"/>
      <c r="AV4698"/>
    </row>
    <row r="4699" spans="41:48" x14ac:dyDescent="0.35">
      <c r="AO4699"/>
      <c r="AP4699"/>
      <c r="AQ4699"/>
      <c r="AR4699"/>
      <c r="AS4699"/>
      <c r="AT4699"/>
      <c r="AU4699"/>
      <c r="AV4699"/>
    </row>
    <row r="4700" spans="41:48" x14ac:dyDescent="0.35">
      <c r="AO4700"/>
      <c r="AP4700"/>
      <c r="AQ4700"/>
      <c r="AR4700"/>
      <c r="AS4700"/>
      <c r="AT4700"/>
      <c r="AU4700"/>
      <c r="AV4700"/>
    </row>
    <row r="4701" spans="41:48" x14ac:dyDescent="0.35">
      <c r="AO4701"/>
      <c r="AP4701"/>
      <c r="AQ4701"/>
      <c r="AR4701"/>
      <c r="AS4701"/>
      <c r="AT4701"/>
      <c r="AU4701"/>
      <c r="AV4701"/>
    </row>
    <row r="4702" spans="41:48" x14ac:dyDescent="0.35">
      <c r="AO4702"/>
      <c r="AP4702"/>
      <c r="AQ4702"/>
      <c r="AR4702"/>
      <c r="AS4702"/>
      <c r="AT4702"/>
      <c r="AU4702"/>
      <c r="AV4702"/>
    </row>
    <row r="4703" spans="41:48" x14ac:dyDescent="0.35">
      <c r="AO4703"/>
      <c r="AP4703"/>
      <c r="AQ4703"/>
      <c r="AR4703"/>
      <c r="AS4703"/>
      <c r="AT4703"/>
      <c r="AU4703"/>
      <c r="AV4703"/>
    </row>
    <row r="4704" spans="41:48" x14ac:dyDescent="0.35">
      <c r="AO4704"/>
      <c r="AP4704"/>
      <c r="AQ4704"/>
      <c r="AR4704"/>
      <c r="AS4704"/>
      <c r="AT4704"/>
      <c r="AU4704"/>
      <c r="AV4704"/>
    </row>
    <row r="4705" spans="41:48" x14ac:dyDescent="0.35">
      <c r="AO4705"/>
      <c r="AP4705"/>
      <c r="AQ4705"/>
      <c r="AR4705"/>
      <c r="AS4705"/>
      <c r="AT4705"/>
      <c r="AU4705"/>
      <c r="AV4705"/>
    </row>
    <row r="4706" spans="41:48" x14ac:dyDescent="0.35">
      <c r="AO4706"/>
      <c r="AP4706"/>
      <c r="AQ4706"/>
      <c r="AR4706"/>
      <c r="AS4706"/>
      <c r="AT4706"/>
      <c r="AU4706"/>
      <c r="AV4706"/>
    </row>
    <row r="4707" spans="41:48" x14ac:dyDescent="0.35">
      <c r="AO4707"/>
      <c r="AP4707"/>
      <c r="AQ4707"/>
      <c r="AR4707"/>
      <c r="AS4707"/>
      <c r="AT4707"/>
      <c r="AU4707"/>
      <c r="AV4707"/>
    </row>
    <row r="4708" spans="41:48" x14ac:dyDescent="0.35">
      <c r="AO4708"/>
      <c r="AP4708"/>
      <c r="AQ4708"/>
      <c r="AR4708"/>
      <c r="AS4708"/>
      <c r="AT4708"/>
      <c r="AU4708"/>
      <c r="AV4708"/>
    </row>
    <row r="4709" spans="41:48" x14ac:dyDescent="0.35">
      <c r="AO4709"/>
      <c r="AP4709"/>
      <c r="AQ4709"/>
      <c r="AR4709"/>
      <c r="AS4709"/>
      <c r="AT4709"/>
      <c r="AU4709"/>
      <c r="AV4709"/>
    </row>
    <row r="4710" spans="41:48" x14ac:dyDescent="0.35">
      <c r="AO4710"/>
      <c r="AP4710"/>
      <c r="AQ4710"/>
      <c r="AR4710"/>
      <c r="AS4710"/>
      <c r="AT4710"/>
      <c r="AU4710"/>
      <c r="AV4710"/>
    </row>
    <row r="4711" spans="41:48" x14ac:dyDescent="0.35">
      <c r="AO4711"/>
      <c r="AP4711"/>
      <c r="AQ4711"/>
      <c r="AR4711"/>
      <c r="AS4711"/>
      <c r="AT4711"/>
      <c r="AU4711"/>
      <c r="AV4711"/>
    </row>
    <row r="4712" spans="41:48" x14ac:dyDescent="0.35">
      <c r="AO4712"/>
      <c r="AP4712"/>
      <c r="AQ4712"/>
      <c r="AR4712"/>
      <c r="AS4712"/>
      <c r="AT4712"/>
      <c r="AU4712"/>
      <c r="AV4712"/>
    </row>
    <row r="4713" spans="41:48" x14ac:dyDescent="0.35">
      <c r="AO4713"/>
      <c r="AP4713"/>
      <c r="AQ4713"/>
      <c r="AR4713"/>
      <c r="AS4713"/>
      <c r="AT4713"/>
      <c r="AU4713"/>
      <c r="AV4713"/>
    </row>
    <row r="4714" spans="41:48" x14ac:dyDescent="0.35">
      <c r="AO4714"/>
      <c r="AP4714"/>
      <c r="AQ4714"/>
      <c r="AR4714"/>
      <c r="AS4714"/>
      <c r="AT4714"/>
      <c r="AU4714"/>
      <c r="AV4714"/>
    </row>
    <row r="4715" spans="41:48" x14ac:dyDescent="0.35">
      <c r="AO4715"/>
      <c r="AP4715"/>
      <c r="AQ4715"/>
      <c r="AR4715"/>
      <c r="AS4715"/>
      <c r="AT4715"/>
      <c r="AU4715"/>
      <c r="AV4715"/>
    </row>
    <row r="4716" spans="41:48" x14ac:dyDescent="0.35">
      <c r="AO4716"/>
      <c r="AP4716"/>
      <c r="AQ4716"/>
      <c r="AR4716"/>
      <c r="AS4716"/>
      <c r="AT4716"/>
      <c r="AU4716"/>
      <c r="AV4716"/>
    </row>
    <row r="4717" spans="41:48" x14ac:dyDescent="0.35">
      <c r="AO4717"/>
      <c r="AP4717"/>
      <c r="AQ4717"/>
      <c r="AR4717"/>
      <c r="AS4717"/>
      <c r="AT4717"/>
      <c r="AU4717"/>
      <c r="AV4717"/>
    </row>
    <row r="4718" spans="41:48" x14ac:dyDescent="0.35">
      <c r="AO4718"/>
      <c r="AP4718"/>
      <c r="AQ4718"/>
      <c r="AR4718"/>
      <c r="AS4718"/>
      <c r="AT4718"/>
      <c r="AU4718"/>
      <c r="AV4718"/>
    </row>
    <row r="4719" spans="41:48" x14ac:dyDescent="0.35">
      <c r="AO4719"/>
      <c r="AP4719"/>
      <c r="AQ4719"/>
      <c r="AR4719"/>
      <c r="AS4719"/>
      <c r="AT4719"/>
      <c r="AU4719"/>
      <c r="AV4719"/>
    </row>
    <row r="4720" spans="41:48" x14ac:dyDescent="0.35">
      <c r="AO4720"/>
      <c r="AP4720"/>
      <c r="AQ4720"/>
      <c r="AR4720"/>
      <c r="AS4720"/>
      <c r="AT4720"/>
      <c r="AU4720"/>
      <c r="AV4720"/>
    </row>
    <row r="4721" spans="41:48" x14ac:dyDescent="0.35">
      <c r="AO4721"/>
      <c r="AP4721"/>
      <c r="AQ4721"/>
      <c r="AR4721"/>
      <c r="AS4721"/>
      <c r="AT4721"/>
      <c r="AU4721"/>
      <c r="AV4721"/>
    </row>
    <row r="4722" spans="41:48" x14ac:dyDescent="0.35">
      <c r="AO4722"/>
      <c r="AP4722"/>
      <c r="AQ4722"/>
      <c r="AR4722"/>
      <c r="AS4722"/>
      <c r="AT4722"/>
      <c r="AU4722"/>
      <c r="AV4722"/>
    </row>
    <row r="4723" spans="41:48" x14ac:dyDescent="0.35">
      <c r="AO4723"/>
      <c r="AP4723"/>
      <c r="AQ4723"/>
      <c r="AR4723"/>
      <c r="AS4723"/>
      <c r="AT4723"/>
      <c r="AU4723"/>
      <c r="AV4723"/>
    </row>
    <row r="4724" spans="41:48" x14ac:dyDescent="0.35">
      <c r="AO4724"/>
      <c r="AP4724"/>
      <c r="AQ4724"/>
      <c r="AR4724"/>
      <c r="AS4724"/>
      <c r="AT4724"/>
      <c r="AU4724"/>
      <c r="AV4724"/>
    </row>
    <row r="4725" spans="41:48" x14ac:dyDescent="0.35">
      <c r="AO4725"/>
      <c r="AP4725"/>
      <c r="AQ4725"/>
      <c r="AR4725"/>
      <c r="AS4725"/>
      <c r="AT4725"/>
      <c r="AU4725"/>
      <c r="AV4725"/>
    </row>
    <row r="4726" spans="41:48" x14ac:dyDescent="0.35">
      <c r="AO4726"/>
      <c r="AP4726"/>
      <c r="AQ4726"/>
      <c r="AR4726"/>
      <c r="AS4726"/>
      <c r="AT4726"/>
      <c r="AU4726"/>
      <c r="AV4726"/>
    </row>
    <row r="4727" spans="41:48" x14ac:dyDescent="0.35">
      <c r="AO4727"/>
      <c r="AP4727"/>
      <c r="AQ4727"/>
      <c r="AR4727"/>
      <c r="AS4727"/>
      <c r="AT4727"/>
      <c r="AU4727"/>
      <c r="AV4727"/>
    </row>
    <row r="4728" spans="41:48" x14ac:dyDescent="0.35">
      <c r="AO4728"/>
      <c r="AP4728"/>
      <c r="AQ4728"/>
      <c r="AR4728"/>
      <c r="AS4728"/>
      <c r="AT4728"/>
      <c r="AU4728"/>
      <c r="AV4728"/>
    </row>
    <row r="4729" spans="41:48" x14ac:dyDescent="0.35">
      <c r="AO4729"/>
      <c r="AP4729"/>
      <c r="AQ4729"/>
      <c r="AR4729"/>
      <c r="AS4729"/>
      <c r="AT4729"/>
      <c r="AU4729"/>
      <c r="AV4729"/>
    </row>
    <row r="4730" spans="41:48" x14ac:dyDescent="0.35">
      <c r="AO4730"/>
      <c r="AP4730"/>
      <c r="AQ4730"/>
      <c r="AR4730"/>
      <c r="AS4730"/>
      <c r="AT4730"/>
      <c r="AU4730"/>
      <c r="AV4730"/>
    </row>
    <row r="4731" spans="41:48" x14ac:dyDescent="0.35">
      <c r="AO4731"/>
      <c r="AP4731"/>
      <c r="AQ4731"/>
      <c r="AR4731"/>
      <c r="AS4731"/>
      <c r="AT4731"/>
      <c r="AU4731"/>
      <c r="AV4731"/>
    </row>
    <row r="4732" spans="41:48" x14ac:dyDescent="0.35">
      <c r="AO4732"/>
      <c r="AP4732"/>
      <c r="AQ4732"/>
      <c r="AR4732"/>
      <c r="AS4732"/>
      <c r="AT4732"/>
      <c r="AU4732"/>
      <c r="AV4732"/>
    </row>
    <row r="4733" spans="41:48" x14ac:dyDescent="0.35">
      <c r="AO4733"/>
      <c r="AP4733"/>
      <c r="AQ4733"/>
      <c r="AR4733"/>
      <c r="AS4733"/>
      <c r="AT4733"/>
      <c r="AU4733"/>
      <c r="AV4733"/>
    </row>
    <row r="4734" spans="41:48" x14ac:dyDescent="0.35">
      <c r="AO4734"/>
      <c r="AP4734"/>
      <c r="AQ4734"/>
      <c r="AR4734"/>
      <c r="AS4734"/>
      <c r="AT4734"/>
      <c r="AU4734"/>
      <c r="AV4734"/>
    </row>
    <row r="4735" spans="41:48" x14ac:dyDescent="0.35">
      <c r="AO4735"/>
      <c r="AP4735"/>
      <c r="AQ4735"/>
      <c r="AR4735"/>
      <c r="AS4735"/>
      <c r="AT4735"/>
      <c r="AU4735"/>
      <c r="AV4735"/>
    </row>
    <row r="4736" spans="41:48" x14ac:dyDescent="0.35">
      <c r="AO4736"/>
      <c r="AP4736"/>
      <c r="AQ4736"/>
      <c r="AR4736"/>
      <c r="AS4736"/>
      <c r="AT4736"/>
      <c r="AU4736"/>
      <c r="AV4736"/>
    </row>
    <row r="4737" spans="41:48" x14ac:dyDescent="0.35">
      <c r="AO4737"/>
      <c r="AP4737"/>
      <c r="AQ4737"/>
      <c r="AR4737"/>
      <c r="AS4737"/>
      <c r="AT4737"/>
      <c r="AU4737"/>
      <c r="AV4737"/>
    </row>
    <row r="4738" spans="41:48" x14ac:dyDescent="0.35">
      <c r="AO4738"/>
      <c r="AP4738"/>
      <c r="AQ4738"/>
      <c r="AR4738"/>
      <c r="AS4738"/>
      <c r="AT4738"/>
      <c r="AU4738"/>
      <c r="AV4738"/>
    </row>
    <row r="4739" spans="41:48" x14ac:dyDescent="0.35">
      <c r="AO4739"/>
      <c r="AP4739"/>
      <c r="AQ4739"/>
      <c r="AR4739"/>
      <c r="AS4739"/>
      <c r="AT4739"/>
      <c r="AU4739"/>
      <c r="AV4739"/>
    </row>
    <row r="4740" spans="41:48" x14ac:dyDescent="0.35">
      <c r="AO4740"/>
      <c r="AP4740"/>
      <c r="AQ4740"/>
      <c r="AR4740"/>
      <c r="AS4740"/>
      <c r="AT4740"/>
      <c r="AU4740"/>
      <c r="AV4740"/>
    </row>
    <row r="4741" spans="41:48" x14ac:dyDescent="0.35">
      <c r="AO4741"/>
      <c r="AP4741"/>
      <c r="AQ4741"/>
      <c r="AR4741"/>
      <c r="AS4741"/>
      <c r="AT4741"/>
      <c r="AU4741"/>
      <c r="AV4741"/>
    </row>
    <row r="4742" spans="41:48" x14ac:dyDescent="0.35">
      <c r="AO4742"/>
      <c r="AP4742"/>
      <c r="AQ4742"/>
      <c r="AR4742"/>
      <c r="AS4742"/>
      <c r="AT4742"/>
      <c r="AU4742"/>
      <c r="AV4742"/>
    </row>
    <row r="4743" spans="41:48" x14ac:dyDescent="0.35">
      <c r="AO4743"/>
      <c r="AP4743"/>
      <c r="AQ4743"/>
      <c r="AR4743"/>
      <c r="AS4743"/>
      <c r="AT4743"/>
      <c r="AU4743"/>
      <c r="AV4743"/>
    </row>
    <row r="4744" spans="41:48" x14ac:dyDescent="0.35">
      <c r="AO4744"/>
      <c r="AP4744"/>
      <c r="AQ4744"/>
      <c r="AR4744"/>
      <c r="AS4744"/>
      <c r="AT4744"/>
      <c r="AU4744"/>
      <c r="AV4744"/>
    </row>
    <row r="4745" spans="41:48" x14ac:dyDescent="0.35">
      <c r="AO4745"/>
      <c r="AP4745"/>
      <c r="AQ4745"/>
      <c r="AR4745"/>
      <c r="AS4745"/>
      <c r="AT4745"/>
      <c r="AU4745"/>
      <c r="AV4745"/>
    </row>
    <row r="4746" spans="41:48" x14ac:dyDescent="0.35">
      <c r="AO4746"/>
      <c r="AP4746"/>
      <c r="AQ4746"/>
      <c r="AR4746"/>
      <c r="AS4746"/>
      <c r="AT4746"/>
      <c r="AU4746"/>
      <c r="AV4746"/>
    </row>
    <row r="4747" spans="41:48" x14ac:dyDescent="0.35">
      <c r="AO4747"/>
      <c r="AP4747"/>
      <c r="AQ4747"/>
      <c r="AR4747"/>
      <c r="AS4747"/>
      <c r="AT4747"/>
      <c r="AU4747"/>
      <c r="AV4747"/>
    </row>
    <row r="4748" spans="41:48" x14ac:dyDescent="0.35">
      <c r="AO4748"/>
      <c r="AP4748"/>
      <c r="AQ4748"/>
      <c r="AR4748"/>
      <c r="AS4748"/>
      <c r="AT4748"/>
      <c r="AU4748"/>
      <c r="AV4748"/>
    </row>
    <row r="4749" spans="41:48" x14ac:dyDescent="0.35">
      <c r="AO4749"/>
      <c r="AP4749"/>
      <c r="AQ4749"/>
      <c r="AR4749"/>
      <c r="AS4749"/>
      <c r="AT4749"/>
      <c r="AU4749"/>
      <c r="AV4749"/>
    </row>
    <row r="4750" spans="41:48" x14ac:dyDescent="0.35">
      <c r="AO4750"/>
      <c r="AP4750"/>
      <c r="AQ4750"/>
      <c r="AR4750"/>
      <c r="AS4750"/>
      <c r="AT4750"/>
      <c r="AU4750"/>
      <c r="AV4750"/>
    </row>
    <row r="4751" spans="41:48" x14ac:dyDescent="0.35">
      <c r="AO4751"/>
      <c r="AP4751"/>
      <c r="AQ4751"/>
      <c r="AR4751"/>
      <c r="AS4751"/>
      <c r="AT4751"/>
      <c r="AU4751"/>
      <c r="AV4751"/>
    </row>
    <row r="4752" spans="41:48" x14ac:dyDescent="0.35">
      <c r="AO4752"/>
      <c r="AP4752"/>
      <c r="AQ4752"/>
      <c r="AR4752"/>
      <c r="AS4752"/>
      <c r="AT4752"/>
      <c r="AU4752"/>
      <c r="AV4752"/>
    </row>
    <row r="4753" spans="41:48" x14ac:dyDescent="0.35">
      <c r="AO4753"/>
      <c r="AP4753"/>
      <c r="AQ4753"/>
      <c r="AR4753"/>
      <c r="AS4753"/>
      <c r="AT4753"/>
      <c r="AU4753"/>
      <c r="AV4753"/>
    </row>
    <row r="4754" spans="41:48" x14ac:dyDescent="0.35">
      <c r="AO4754"/>
      <c r="AP4754"/>
      <c r="AQ4754"/>
      <c r="AR4754"/>
      <c r="AS4754"/>
      <c r="AT4754"/>
      <c r="AU4754"/>
      <c r="AV4754"/>
    </row>
    <row r="4755" spans="41:48" x14ac:dyDescent="0.35">
      <c r="AO4755"/>
      <c r="AP4755"/>
      <c r="AQ4755"/>
      <c r="AR4755"/>
      <c r="AS4755"/>
      <c r="AT4755"/>
      <c r="AU4755"/>
      <c r="AV4755"/>
    </row>
    <row r="4756" spans="41:48" x14ac:dyDescent="0.35">
      <c r="AO4756"/>
      <c r="AP4756"/>
      <c r="AQ4756"/>
      <c r="AR4756"/>
      <c r="AS4756"/>
      <c r="AT4756"/>
      <c r="AU4756"/>
      <c r="AV4756"/>
    </row>
    <row r="4757" spans="41:48" x14ac:dyDescent="0.35">
      <c r="AO4757"/>
      <c r="AP4757"/>
      <c r="AQ4757"/>
      <c r="AR4757"/>
      <c r="AS4757"/>
      <c r="AT4757"/>
      <c r="AU4757"/>
      <c r="AV4757"/>
    </row>
    <row r="4758" spans="41:48" x14ac:dyDescent="0.35">
      <c r="AO4758"/>
      <c r="AP4758"/>
      <c r="AQ4758"/>
      <c r="AR4758"/>
      <c r="AS4758"/>
      <c r="AT4758"/>
      <c r="AU4758"/>
      <c r="AV4758"/>
    </row>
    <row r="4759" spans="41:48" x14ac:dyDescent="0.35">
      <c r="AO4759"/>
      <c r="AP4759"/>
      <c r="AQ4759"/>
      <c r="AR4759"/>
      <c r="AS4759"/>
      <c r="AT4759"/>
      <c r="AU4759"/>
      <c r="AV4759"/>
    </row>
    <row r="4760" spans="41:48" x14ac:dyDescent="0.35">
      <c r="AO4760"/>
      <c r="AP4760"/>
      <c r="AQ4760"/>
      <c r="AR4760"/>
      <c r="AS4760"/>
      <c r="AT4760"/>
      <c r="AU4760"/>
      <c r="AV4760"/>
    </row>
    <row r="4761" spans="41:48" x14ac:dyDescent="0.35">
      <c r="AO4761"/>
      <c r="AP4761"/>
      <c r="AQ4761"/>
      <c r="AR4761"/>
      <c r="AS4761"/>
      <c r="AT4761"/>
      <c r="AU4761"/>
      <c r="AV4761"/>
    </row>
    <row r="4762" spans="41:48" x14ac:dyDescent="0.35">
      <c r="AO4762"/>
      <c r="AP4762"/>
      <c r="AQ4762"/>
      <c r="AR4762"/>
      <c r="AS4762"/>
      <c r="AT4762"/>
      <c r="AU4762"/>
      <c r="AV4762"/>
    </row>
    <row r="4763" spans="41:48" x14ac:dyDescent="0.35">
      <c r="AO4763"/>
      <c r="AP4763"/>
      <c r="AQ4763"/>
      <c r="AR4763"/>
      <c r="AS4763"/>
      <c r="AT4763"/>
      <c r="AU4763"/>
      <c r="AV4763"/>
    </row>
    <row r="4764" spans="41:48" x14ac:dyDescent="0.35">
      <c r="AO4764"/>
      <c r="AP4764"/>
      <c r="AQ4764"/>
      <c r="AR4764"/>
      <c r="AS4764"/>
      <c r="AT4764"/>
      <c r="AU4764"/>
      <c r="AV4764"/>
    </row>
    <row r="4765" spans="41:48" x14ac:dyDescent="0.35">
      <c r="AO4765"/>
      <c r="AP4765"/>
      <c r="AQ4765"/>
      <c r="AR4765"/>
      <c r="AS4765"/>
      <c r="AT4765"/>
      <c r="AU4765"/>
      <c r="AV4765"/>
    </row>
    <row r="4766" spans="41:48" x14ac:dyDescent="0.35">
      <c r="AO4766"/>
      <c r="AP4766"/>
      <c r="AQ4766"/>
      <c r="AR4766"/>
      <c r="AS4766"/>
      <c r="AT4766"/>
      <c r="AU4766"/>
      <c r="AV4766"/>
    </row>
    <row r="4767" spans="41:48" x14ac:dyDescent="0.35">
      <c r="AO4767"/>
      <c r="AP4767"/>
      <c r="AQ4767"/>
      <c r="AR4767"/>
      <c r="AS4767"/>
      <c r="AT4767"/>
      <c r="AU4767"/>
      <c r="AV4767"/>
    </row>
    <row r="4768" spans="41:48" x14ac:dyDescent="0.35">
      <c r="AO4768"/>
      <c r="AP4768"/>
      <c r="AQ4768"/>
      <c r="AR4768"/>
      <c r="AS4768"/>
      <c r="AT4768"/>
      <c r="AU4768"/>
      <c r="AV4768"/>
    </row>
    <row r="4769" spans="41:48" x14ac:dyDescent="0.35">
      <c r="AO4769"/>
      <c r="AP4769"/>
      <c r="AQ4769"/>
      <c r="AR4769"/>
      <c r="AS4769"/>
      <c r="AT4769"/>
      <c r="AU4769"/>
      <c r="AV4769"/>
    </row>
    <row r="4770" spans="41:48" x14ac:dyDescent="0.35">
      <c r="AO4770"/>
      <c r="AP4770"/>
      <c r="AQ4770"/>
      <c r="AR4770"/>
      <c r="AS4770"/>
      <c r="AT4770"/>
      <c r="AU4770"/>
      <c r="AV4770"/>
    </row>
    <row r="4771" spans="41:48" x14ac:dyDescent="0.35">
      <c r="AO4771"/>
      <c r="AP4771"/>
      <c r="AQ4771"/>
      <c r="AR4771"/>
      <c r="AS4771"/>
      <c r="AT4771"/>
      <c r="AU4771"/>
      <c r="AV4771"/>
    </row>
    <row r="4772" spans="41:48" x14ac:dyDescent="0.35">
      <c r="AO4772"/>
      <c r="AP4772"/>
      <c r="AQ4772"/>
      <c r="AR4772"/>
      <c r="AS4772"/>
      <c r="AT4772"/>
      <c r="AU4772"/>
      <c r="AV4772"/>
    </row>
    <row r="4773" spans="41:48" x14ac:dyDescent="0.35">
      <c r="AO4773"/>
      <c r="AP4773"/>
      <c r="AQ4773"/>
      <c r="AR4773"/>
      <c r="AS4773"/>
      <c r="AT4773"/>
      <c r="AU4773"/>
      <c r="AV4773"/>
    </row>
    <row r="4774" spans="41:48" x14ac:dyDescent="0.35">
      <c r="AO4774"/>
      <c r="AP4774"/>
      <c r="AQ4774"/>
      <c r="AR4774"/>
      <c r="AS4774"/>
      <c r="AT4774"/>
      <c r="AU4774"/>
      <c r="AV4774"/>
    </row>
    <row r="4775" spans="41:48" x14ac:dyDescent="0.35">
      <c r="AO4775"/>
      <c r="AP4775"/>
      <c r="AQ4775"/>
      <c r="AR4775"/>
      <c r="AS4775"/>
      <c r="AT4775"/>
      <c r="AU4775"/>
      <c r="AV4775"/>
    </row>
    <row r="4776" spans="41:48" x14ac:dyDescent="0.35">
      <c r="AO4776"/>
      <c r="AP4776"/>
      <c r="AQ4776"/>
      <c r="AR4776"/>
      <c r="AS4776"/>
      <c r="AT4776"/>
      <c r="AU4776"/>
      <c r="AV4776"/>
    </row>
    <row r="4777" spans="41:48" x14ac:dyDescent="0.35">
      <c r="AO4777"/>
      <c r="AP4777"/>
      <c r="AQ4777"/>
      <c r="AR4777"/>
      <c r="AS4777"/>
      <c r="AT4777"/>
      <c r="AU4777"/>
      <c r="AV4777"/>
    </row>
    <row r="4778" spans="41:48" x14ac:dyDescent="0.35">
      <c r="AO4778"/>
      <c r="AP4778"/>
      <c r="AQ4778"/>
      <c r="AR4778"/>
      <c r="AS4778"/>
      <c r="AT4778"/>
      <c r="AU4778"/>
      <c r="AV4778"/>
    </row>
    <row r="4779" spans="41:48" x14ac:dyDescent="0.35">
      <c r="AO4779"/>
      <c r="AP4779"/>
      <c r="AQ4779"/>
      <c r="AR4779"/>
      <c r="AS4779"/>
      <c r="AT4779"/>
      <c r="AU4779"/>
      <c r="AV4779"/>
    </row>
    <row r="4780" spans="41:48" x14ac:dyDescent="0.35">
      <c r="AO4780"/>
      <c r="AP4780"/>
      <c r="AQ4780"/>
      <c r="AR4780"/>
      <c r="AS4780"/>
      <c r="AT4780"/>
      <c r="AU4780"/>
      <c r="AV4780"/>
    </row>
    <row r="4781" spans="41:48" x14ac:dyDescent="0.35">
      <c r="AO4781"/>
      <c r="AP4781"/>
      <c r="AQ4781"/>
      <c r="AR4781"/>
      <c r="AS4781"/>
      <c r="AT4781"/>
      <c r="AU4781"/>
      <c r="AV4781"/>
    </row>
    <row r="4782" spans="41:48" x14ac:dyDescent="0.35">
      <c r="AO4782"/>
      <c r="AP4782"/>
      <c r="AQ4782"/>
      <c r="AR4782"/>
      <c r="AS4782"/>
      <c r="AT4782"/>
      <c r="AU4782"/>
      <c r="AV4782"/>
    </row>
    <row r="4783" spans="41:48" x14ac:dyDescent="0.35">
      <c r="AO4783"/>
      <c r="AP4783"/>
      <c r="AQ4783"/>
      <c r="AR4783"/>
      <c r="AS4783"/>
      <c r="AT4783"/>
      <c r="AU4783"/>
      <c r="AV4783"/>
    </row>
    <row r="4784" spans="41:48" x14ac:dyDescent="0.35">
      <c r="AO4784"/>
      <c r="AP4784"/>
      <c r="AQ4784"/>
      <c r="AR4784"/>
      <c r="AS4784"/>
      <c r="AT4784"/>
      <c r="AU4784"/>
      <c r="AV4784"/>
    </row>
    <row r="4785" spans="41:48" x14ac:dyDescent="0.35">
      <c r="AO4785"/>
      <c r="AP4785"/>
      <c r="AQ4785"/>
      <c r="AR4785"/>
      <c r="AS4785"/>
      <c r="AT4785"/>
      <c r="AU4785"/>
      <c r="AV4785"/>
    </row>
    <row r="4786" spans="41:48" x14ac:dyDescent="0.35">
      <c r="AO4786"/>
      <c r="AP4786"/>
      <c r="AQ4786"/>
      <c r="AR4786"/>
      <c r="AS4786"/>
      <c r="AT4786"/>
      <c r="AU4786"/>
      <c r="AV4786"/>
    </row>
    <row r="4787" spans="41:48" x14ac:dyDescent="0.35">
      <c r="AO4787"/>
      <c r="AP4787"/>
      <c r="AQ4787"/>
      <c r="AR4787"/>
      <c r="AS4787"/>
      <c r="AT4787"/>
      <c r="AU4787"/>
      <c r="AV4787"/>
    </row>
    <row r="4788" spans="41:48" x14ac:dyDescent="0.35">
      <c r="AO4788"/>
      <c r="AP4788"/>
      <c r="AQ4788"/>
      <c r="AR4788"/>
      <c r="AS4788"/>
      <c r="AT4788"/>
      <c r="AU4788"/>
      <c r="AV4788"/>
    </row>
    <row r="4789" spans="41:48" x14ac:dyDescent="0.35">
      <c r="AO4789"/>
      <c r="AP4789"/>
      <c r="AQ4789"/>
      <c r="AR4789"/>
      <c r="AS4789"/>
      <c r="AT4789"/>
      <c r="AU4789"/>
      <c r="AV4789"/>
    </row>
    <row r="4790" spans="41:48" x14ac:dyDescent="0.35">
      <c r="AO4790"/>
      <c r="AP4790"/>
      <c r="AQ4790"/>
      <c r="AR4790"/>
      <c r="AS4790"/>
      <c r="AT4790"/>
      <c r="AU4790"/>
      <c r="AV4790"/>
    </row>
    <row r="4791" spans="41:48" x14ac:dyDescent="0.35">
      <c r="AO4791"/>
      <c r="AP4791"/>
      <c r="AQ4791"/>
      <c r="AR4791"/>
      <c r="AS4791"/>
      <c r="AT4791"/>
      <c r="AU4791"/>
      <c r="AV4791"/>
    </row>
    <row r="4792" spans="41:48" x14ac:dyDescent="0.35">
      <c r="AO4792"/>
      <c r="AP4792"/>
      <c r="AQ4792"/>
      <c r="AR4792"/>
      <c r="AS4792"/>
      <c r="AT4792"/>
      <c r="AU4792"/>
      <c r="AV4792"/>
    </row>
    <row r="4793" spans="41:48" x14ac:dyDescent="0.35">
      <c r="AO4793"/>
      <c r="AP4793"/>
      <c r="AQ4793"/>
      <c r="AR4793"/>
      <c r="AS4793"/>
      <c r="AT4793"/>
      <c r="AU4793"/>
      <c r="AV4793"/>
    </row>
    <row r="4794" spans="41:48" x14ac:dyDescent="0.35">
      <c r="AO4794"/>
      <c r="AP4794"/>
      <c r="AQ4794"/>
      <c r="AR4794"/>
      <c r="AS4794"/>
      <c r="AT4794"/>
      <c r="AU4794"/>
      <c r="AV4794"/>
    </row>
    <row r="4795" spans="41:48" x14ac:dyDescent="0.35">
      <c r="AO4795"/>
      <c r="AP4795"/>
      <c r="AQ4795"/>
      <c r="AR4795"/>
      <c r="AS4795"/>
      <c r="AT4795"/>
      <c r="AU4795"/>
      <c r="AV4795"/>
    </row>
    <row r="4796" spans="41:48" x14ac:dyDescent="0.35">
      <c r="AO4796"/>
      <c r="AP4796"/>
      <c r="AQ4796"/>
      <c r="AR4796"/>
      <c r="AS4796"/>
      <c r="AT4796"/>
      <c r="AU4796"/>
      <c r="AV4796"/>
    </row>
    <row r="4797" spans="41:48" x14ac:dyDescent="0.35">
      <c r="AO4797"/>
      <c r="AP4797"/>
      <c r="AQ4797"/>
      <c r="AR4797"/>
      <c r="AS4797"/>
      <c r="AT4797"/>
      <c r="AU4797"/>
      <c r="AV4797"/>
    </row>
    <row r="4798" spans="41:48" x14ac:dyDescent="0.35">
      <c r="AO4798"/>
      <c r="AP4798"/>
      <c r="AQ4798"/>
      <c r="AR4798"/>
      <c r="AS4798"/>
      <c r="AT4798"/>
      <c r="AU4798"/>
      <c r="AV4798"/>
    </row>
    <row r="4799" spans="41:48" x14ac:dyDescent="0.35">
      <c r="AO4799"/>
      <c r="AP4799"/>
      <c r="AQ4799"/>
      <c r="AR4799"/>
      <c r="AS4799"/>
      <c r="AT4799"/>
      <c r="AU4799"/>
      <c r="AV4799"/>
    </row>
    <row r="4800" spans="41:48" x14ac:dyDescent="0.35">
      <c r="AO4800"/>
      <c r="AP4800"/>
      <c r="AQ4800"/>
      <c r="AR4800"/>
      <c r="AS4800"/>
      <c r="AT4800"/>
      <c r="AU4800"/>
      <c r="AV4800"/>
    </row>
    <row r="4801" spans="41:48" x14ac:dyDescent="0.35">
      <c r="AO4801"/>
      <c r="AP4801"/>
      <c r="AQ4801"/>
      <c r="AR4801"/>
      <c r="AS4801"/>
      <c r="AT4801"/>
      <c r="AU4801"/>
      <c r="AV4801"/>
    </row>
    <row r="4802" spans="41:48" x14ac:dyDescent="0.35">
      <c r="AO4802"/>
      <c r="AP4802"/>
      <c r="AQ4802"/>
      <c r="AR4802"/>
      <c r="AS4802"/>
      <c r="AT4802"/>
      <c r="AU4802"/>
      <c r="AV4802"/>
    </row>
    <row r="4803" spans="41:48" x14ac:dyDescent="0.35">
      <c r="AO4803"/>
      <c r="AP4803"/>
      <c r="AQ4803"/>
      <c r="AR4803"/>
      <c r="AS4803"/>
      <c r="AT4803"/>
      <c r="AU4803"/>
      <c r="AV4803"/>
    </row>
    <row r="4804" spans="41:48" x14ac:dyDescent="0.35">
      <c r="AO4804"/>
      <c r="AP4804"/>
      <c r="AQ4804"/>
      <c r="AR4804"/>
      <c r="AS4804"/>
      <c r="AT4804"/>
      <c r="AU4804"/>
      <c r="AV4804"/>
    </row>
    <row r="4805" spans="41:48" x14ac:dyDescent="0.35">
      <c r="AO4805"/>
      <c r="AP4805"/>
      <c r="AQ4805"/>
      <c r="AR4805"/>
      <c r="AS4805"/>
      <c r="AT4805"/>
      <c r="AU4805"/>
      <c r="AV4805"/>
    </row>
    <row r="4806" spans="41:48" x14ac:dyDescent="0.35">
      <c r="AO4806"/>
      <c r="AP4806"/>
      <c r="AQ4806"/>
      <c r="AR4806"/>
      <c r="AS4806"/>
      <c r="AT4806"/>
      <c r="AU4806"/>
      <c r="AV4806"/>
    </row>
    <row r="4807" spans="41:48" x14ac:dyDescent="0.35">
      <c r="AO4807"/>
      <c r="AP4807"/>
      <c r="AQ4807"/>
      <c r="AR4807"/>
      <c r="AS4807"/>
      <c r="AT4807"/>
      <c r="AU4807"/>
      <c r="AV4807"/>
    </row>
    <row r="4808" spans="41:48" x14ac:dyDescent="0.35">
      <c r="AO4808"/>
      <c r="AP4808"/>
      <c r="AQ4808"/>
      <c r="AR4808"/>
      <c r="AS4808"/>
      <c r="AT4808"/>
      <c r="AU4808"/>
      <c r="AV4808"/>
    </row>
    <row r="4809" spans="41:48" x14ac:dyDescent="0.35">
      <c r="AO4809"/>
      <c r="AP4809"/>
      <c r="AQ4809"/>
      <c r="AR4809"/>
      <c r="AS4809"/>
      <c r="AT4809"/>
      <c r="AU4809"/>
      <c r="AV4809"/>
    </row>
    <row r="4810" spans="41:48" x14ac:dyDescent="0.35">
      <c r="AO4810"/>
      <c r="AP4810"/>
      <c r="AQ4810"/>
      <c r="AR4810"/>
      <c r="AS4810"/>
      <c r="AT4810"/>
      <c r="AU4810"/>
      <c r="AV4810"/>
    </row>
    <row r="4811" spans="41:48" x14ac:dyDescent="0.35">
      <c r="AO4811"/>
      <c r="AP4811"/>
      <c r="AQ4811"/>
      <c r="AR4811"/>
      <c r="AS4811"/>
      <c r="AT4811"/>
      <c r="AU4811"/>
      <c r="AV4811"/>
    </row>
    <row r="4812" spans="41:48" x14ac:dyDescent="0.35">
      <c r="AO4812"/>
      <c r="AP4812"/>
      <c r="AQ4812"/>
      <c r="AR4812"/>
      <c r="AS4812"/>
      <c r="AT4812"/>
      <c r="AU4812"/>
      <c r="AV4812"/>
    </row>
    <row r="4813" spans="41:48" x14ac:dyDescent="0.35">
      <c r="AO4813"/>
      <c r="AP4813"/>
      <c r="AQ4813"/>
      <c r="AR4813"/>
      <c r="AS4813"/>
      <c r="AT4813"/>
      <c r="AU4813"/>
      <c r="AV4813"/>
    </row>
    <row r="4814" spans="41:48" x14ac:dyDescent="0.35">
      <c r="AO4814"/>
      <c r="AP4814"/>
      <c r="AQ4814"/>
      <c r="AR4814"/>
      <c r="AS4814"/>
      <c r="AT4814"/>
      <c r="AU4814"/>
      <c r="AV4814"/>
    </row>
    <row r="4815" spans="41:48" x14ac:dyDescent="0.35">
      <c r="AO4815"/>
      <c r="AP4815"/>
      <c r="AQ4815"/>
      <c r="AR4815"/>
      <c r="AS4815"/>
      <c r="AT4815"/>
      <c r="AU4815"/>
      <c r="AV4815"/>
    </row>
    <row r="4816" spans="41:48" x14ac:dyDescent="0.35">
      <c r="AO4816"/>
      <c r="AP4816"/>
      <c r="AQ4816"/>
      <c r="AR4816"/>
      <c r="AS4816"/>
      <c r="AT4816"/>
      <c r="AU4816"/>
      <c r="AV4816"/>
    </row>
    <row r="4817" spans="41:48" x14ac:dyDescent="0.35">
      <c r="AO4817"/>
      <c r="AP4817"/>
      <c r="AQ4817"/>
      <c r="AR4817"/>
      <c r="AS4817"/>
      <c r="AT4817"/>
      <c r="AU4817"/>
      <c r="AV4817"/>
    </row>
    <row r="4818" spans="41:48" x14ac:dyDescent="0.35">
      <c r="AO4818"/>
      <c r="AP4818"/>
      <c r="AQ4818"/>
      <c r="AR4818"/>
      <c r="AS4818"/>
      <c r="AT4818"/>
      <c r="AU4818"/>
      <c r="AV4818"/>
    </row>
    <row r="4819" spans="41:48" x14ac:dyDescent="0.35">
      <c r="AO4819"/>
      <c r="AP4819"/>
      <c r="AQ4819"/>
      <c r="AR4819"/>
      <c r="AS4819"/>
      <c r="AT4819"/>
      <c r="AU4819"/>
      <c r="AV4819"/>
    </row>
    <row r="4820" spans="41:48" x14ac:dyDescent="0.35">
      <c r="AO4820"/>
      <c r="AP4820"/>
      <c r="AQ4820"/>
      <c r="AR4820"/>
      <c r="AS4820"/>
      <c r="AT4820"/>
      <c r="AU4820"/>
      <c r="AV4820"/>
    </row>
    <row r="4821" spans="41:48" x14ac:dyDescent="0.35">
      <c r="AO4821"/>
      <c r="AP4821"/>
      <c r="AQ4821"/>
      <c r="AR4821"/>
      <c r="AS4821"/>
      <c r="AT4821"/>
      <c r="AU4821"/>
      <c r="AV4821"/>
    </row>
    <row r="4822" spans="41:48" x14ac:dyDescent="0.35">
      <c r="AO4822"/>
      <c r="AP4822"/>
      <c r="AQ4822"/>
      <c r="AR4822"/>
      <c r="AS4822"/>
      <c r="AT4822"/>
      <c r="AU4822"/>
      <c r="AV4822"/>
    </row>
    <row r="4823" spans="41:48" x14ac:dyDescent="0.35">
      <c r="AO4823"/>
      <c r="AP4823"/>
      <c r="AQ4823"/>
      <c r="AR4823"/>
      <c r="AS4823"/>
      <c r="AT4823"/>
      <c r="AU4823"/>
      <c r="AV4823"/>
    </row>
    <row r="4824" spans="41:48" x14ac:dyDescent="0.35">
      <c r="AO4824"/>
      <c r="AP4824"/>
      <c r="AQ4824"/>
      <c r="AR4824"/>
      <c r="AS4824"/>
      <c r="AT4824"/>
      <c r="AU4824"/>
      <c r="AV4824"/>
    </row>
    <row r="4825" spans="41:48" x14ac:dyDescent="0.35">
      <c r="AO4825"/>
      <c r="AP4825"/>
      <c r="AQ4825"/>
      <c r="AR4825"/>
      <c r="AS4825"/>
      <c r="AT4825"/>
      <c r="AU4825"/>
      <c r="AV4825"/>
    </row>
    <row r="4826" spans="41:48" x14ac:dyDescent="0.35">
      <c r="AO4826"/>
      <c r="AP4826"/>
      <c r="AQ4826"/>
      <c r="AR4826"/>
      <c r="AS4826"/>
      <c r="AT4826"/>
      <c r="AU4826"/>
      <c r="AV4826"/>
    </row>
    <row r="4827" spans="41:48" x14ac:dyDescent="0.35">
      <c r="AO4827"/>
      <c r="AP4827"/>
      <c r="AQ4827"/>
      <c r="AR4827"/>
      <c r="AS4827"/>
      <c r="AT4827"/>
      <c r="AU4827"/>
      <c r="AV4827"/>
    </row>
    <row r="4828" spans="41:48" x14ac:dyDescent="0.35">
      <c r="AO4828"/>
      <c r="AP4828"/>
      <c r="AQ4828"/>
      <c r="AR4828"/>
      <c r="AS4828"/>
      <c r="AT4828"/>
      <c r="AU4828"/>
      <c r="AV4828"/>
    </row>
    <row r="4829" spans="41:48" x14ac:dyDescent="0.35">
      <c r="AO4829"/>
      <c r="AP4829"/>
      <c r="AQ4829"/>
      <c r="AR4829"/>
      <c r="AS4829"/>
      <c r="AT4829"/>
      <c r="AU4829"/>
      <c r="AV4829"/>
    </row>
    <row r="4830" spans="41:48" x14ac:dyDescent="0.35">
      <c r="AO4830"/>
      <c r="AP4830"/>
      <c r="AQ4830"/>
      <c r="AR4830"/>
      <c r="AS4830"/>
      <c r="AT4830"/>
      <c r="AU4830"/>
      <c r="AV4830"/>
    </row>
    <row r="4831" spans="41:48" x14ac:dyDescent="0.35">
      <c r="AO4831"/>
      <c r="AP4831"/>
      <c r="AQ4831"/>
      <c r="AR4831"/>
      <c r="AS4831"/>
      <c r="AT4831"/>
      <c r="AU4831"/>
      <c r="AV4831"/>
    </row>
    <row r="4832" spans="41:48" x14ac:dyDescent="0.35">
      <c r="AO4832"/>
      <c r="AP4832"/>
      <c r="AQ4832"/>
      <c r="AR4832"/>
      <c r="AS4832"/>
      <c r="AT4832"/>
      <c r="AU4832"/>
      <c r="AV4832"/>
    </row>
    <row r="4833" spans="41:48" x14ac:dyDescent="0.35">
      <c r="AO4833"/>
      <c r="AP4833"/>
      <c r="AQ4833"/>
      <c r="AR4833"/>
      <c r="AS4833"/>
      <c r="AT4833"/>
      <c r="AU4833"/>
      <c r="AV4833"/>
    </row>
    <row r="4834" spans="41:48" x14ac:dyDescent="0.35">
      <c r="AO4834"/>
      <c r="AP4834"/>
      <c r="AQ4834"/>
      <c r="AR4834"/>
      <c r="AS4834"/>
      <c r="AT4834"/>
      <c r="AU4834"/>
      <c r="AV4834"/>
    </row>
    <row r="4835" spans="41:48" x14ac:dyDescent="0.35">
      <c r="AO4835"/>
      <c r="AP4835"/>
      <c r="AQ4835"/>
      <c r="AR4835"/>
      <c r="AS4835"/>
      <c r="AT4835"/>
      <c r="AU4835"/>
      <c r="AV4835"/>
    </row>
    <row r="4836" spans="41:48" x14ac:dyDescent="0.35">
      <c r="AO4836"/>
      <c r="AP4836"/>
      <c r="AQ4836"/>
      <c r="AR4836"/>
      <c r="AS4836"/>
      <c r="AT4836"/>
      <c r="AU4836"/>
      <c r="AV4836"/>
    </row>
    <row r="4837" spans="41:48" x14ac:dyDescent="0.35">
      <c r="AO4837"/>
      <c r="AP4837"/>
      <c r="AQ4837"/>
      <c r="AR4837"/>
      <c r="AS4837"/>
      <c r="AT4837"/>
      <c r="AU4837"/>
      <c r="AV4837"/>
    </row>
    <row r="4838" spans="41:48" x14ac:dyDescent="0.35">
      <c r="AO4838"/>
      <c r="AP4838"/>
      <c r="AQ4838"/>
      <c r="AR4838"/>
      <c r="AS4838"/>
      <c r="AT4838"/>
      <c r="AU4838"/>
      <c r="AV4838"/>
    </row>
    <row r="4839" spans="41:48" x14ac:dyDescent="0.35">
      <c r="AO4839"/>
      <c r="AP4839"/>
      <c r="AQ4839"/>
      <c r="AR4839"/>
      <c r="AS4839"/>
      <c r="AT4839"/>
      <c r="AU4839"/>
      <c r="AV4839"/>
    </row>
    <row r="4840" spans="41:48" x14ac:dyDescent="0.35">
      <c r="AO4840"/>
      <c r="AP4840"/>
      <c r="AQ4840"/>
      <c r="AR4840"/>
      <c r="AS4840"/>
      <c r="AT4840"/>
      <c r="AU4840"/>
      <c r="AV4840"/>
    </row>
    <row r="4841" spans="41:48" x14ac:dyDescent="0.35">
      <c r="AO4841"/>
      <c r="AP4841"/>
      <c r="AQ4841"/>
      <c r="AR4841"/>
      <c r="AS4841"/>
      <c r="AT4841"/>
      <c r="AU4841"/>
      <c r="AV4841"/>
    </row>
    <row r="4842" spans="41:48" x14ac:dyDescent="0.35">
      <c r="AO4842"/>
      <c r="AP4842"/>
      <c r="AQ4842"/>
      <c r="AR4842"/>
      <c r="AS4842"/>
      <c r="AT4842"/>
      <c r="AU4842"/>
      <c r="AV4842"/>
    </row>
    <row r="4843" spans="41:48" x14ac:dyDescent="0.35">
      <c r="AO4843"/>
      <c r="AP4843"/>
      <c r="AQ4843"/>
      <c r="AR4843"/>
      <c r="AS4843"/>
      <c r="AT4843"/>
      <c r="AU4843"/>
      <c r="AV4843"/>
    </row>
    <row r="4844" spans="41:48" x14ac:dyDescent="0.35">
      <c r="AO4844"/>
      <c r="AP4844"/>
      <c r="AQ4844"/>
      <c r="AR4844"/>
      <c r="AS4844"/>
      <c r="AT4844"/>
      <c r="AU4844"/>
      <c r="AV4844"/>
    </row>
    <row r="4845" spans="41:48" x14ac:dyDescent="0.35">
      <c r="AO4845"/>
      <c r="AP4845"/>
      <c r="AQ4845"/>
      <c r="AR4845"/>
      <c r="AS4845"/>
      <c r="AT4845"/>
      <c r="AU4845"/>
      <c r="AV4845"/>
    </row>
    <row r="4846" spans="41:48" x14ac:dyDescent="0.35">
      <c r="AO4846"/>
      <c r="AP4846"/>
      <c r="AQ4846"/>
      <c r="AR4846"/>
      <c r="AS4846"/>
      <c r="AT4846"/>
      <c r="AU4846"/>
      <c r="AV4846"/>
    </row>
    <row r="4847" spans="41:48" x14ac:dyDescent="0.35">
      <c r="AO4847"/>
      <c r="AP4847"/>
      <c r="AQ4847"/>
      <c r="AR4847"/>
      <c r="AS4847"/>
      <c r="AT4847"/>
      <c r="AU4847"/>
      <c r="AV4847"/>
    </row>
    <row r="4848" spans="41:48" x14ac:dyDescent="0.35">
      <c r="AO4848"/>
      <c r="AP4848"/>
      <c r="AQ4848"/>
      <c r="AR4848"/>
      <c r="AS4848"/>
      <c r="AT4848"/>
      <c r="AU4848"/>
      <c r="AV4848"/>
    </row>
    <row r="4849" spans="41:48" x14ac:dyDescent="0.35">
      <c r="AO4849"/>
      <c r="AP4849"/>
      <c r="AQ4849"/>
      <c r="AR4849"/>
      <c r="AS4849"/>
      <c r="AT4849"/>
      <c r="AU4849"/>
      <c r="AV4849"/>
    </row>
    <row r="4850" spans="41:48" x14ac:dyDescent="0.35">
      <c r="AO4850"/>
      <c r="AP4850"/>
      <c r="AQ4850"/>
      <c r="AR4850"/>
      <c r="AS4850"/>
      <c r="AT4850"/>
      <c r="AU4850"/>
      <c r="AV4850"/>
    </row>
    <row r="4851" spans="41:48" x14ac:dyDescent="0.35">
      <c r="AO4851"/>
      <c r="AP4851"/>
      <c r="AQ4851"/>
      <c r="AR4851"/>
      <c r="AS4851"/>
      <c r="AT4851"/>
      <c r="AU4851"/>
      <c r="AV4851"/>
    </row>
    <row r="4852" spans="41:48" x14ac:dyDescent="0.35">
      <c r="AO4852"/>
      <c r="AP4852"/>
      <c r="AQ4852"/>
      <c r="AR4852"/>
      <c r="AS4852"/>
      <c r="AT4852"/>
      <c r="AU4852"/>
      <c r="AV4852"/>
    </row>
    <row r="4853" spans="41:48" x14ac:dyDescent="0.35">
      <c r="AO4853"/>
      <c r="AP4853"/>
      <c r="AQ4853"/>
      <c r="AR4853"/>
      <c r="AS4853"/>
      <c r="AT4853"/>
      <c r="AU4853"/>
      <c r="AV4853"/>
    </row>
    <row r="4854" spans="41:48" x14ac:dyDescent="0.35">
      <c r="AO4854"/>
      <c r="AP4854"/>
      <c r="AQ4854"/>
      <c r="AR4854"/>
      <c r="AS4854"/>
      <c r="AT4854"/>
      <c r="AU4854"/>
      <c r="AV4854"/>
    </row>
    <row r="4855" spans="41:48" x14ac:dyDescent="0.35">
      <c r="AO4855"/>
      <c r="AP4855"/>
      <c r="AQ4855"/>
      <c r="AR4855"/>
      <c r="AS4855"/>
      <c r="AT4855"/>
      <c r="AU4855"/>
      <c r="AV4855"/>
    </row>
    <row r="4856" spans="41:48" x14ac:dyDescent="0.35">
      <c r="AO4856"/>
      <c r="AP4856"/>
      <c r="AQ4856"/>
      <c r="AR4856"/>
      <c r="AS4856"/>
      <c r="AT4856"/>
      <c r="AU4856"/>
      <c r="AV4856"/>
    </row>
    <row r="4857" spans="41:48" x14ac:dyDescent="0.35">
      <c r="AO4857"/>
      <c r="AP4857"/>
      <c r="AQ4857"/>
      <c r="AR4857"/>
      <c r="AS4857"/>
      <c r="AT4857"/>
      <c r="AU4857"/>
      <c r="AV4857"/>
    </row>
    <row r="4858" spans="41:48" x14ac:dyDescent="0.35">
      <c r="AO4858"/>
      <c r="AP4858"/>
      <c r="AQ4858"/>
      <c r="AR4858"/>
      <c r="AS4858"/>
      <c r="AT4858"/>
      <c r="AU4858"/>
      <c r="AV4858"/>
    </row>
    <row r="4859" spans="41:48" x14ac:dyDescent="0.35">
      <c r="AO4859"/>
      <c r="AP4859"/>
      <c r="AQ4859"/>
      <c r="AR4859"/>
      <c r="AS4859"/>
      <c r="AT4859"/>
      <c r="AU4859"/>
      <c r="AV4859"/>
    </row>
    <row r="4860" spans="41:48" x14ac:dyDescent="0.35">
      <c r="AO4860"/>
      <c r="AP4860"/>
      <c r="AQ4860"/>
      <c r="AR4860"/>
      <c r="AS4860"/>
      <c r="AT4860"/>
      <c r="AU4860"/>
      <c r="AV4860"/>
    </row>
    <row r="4861" spans="41:48" x14ac:dyDescent="0.35">
      <c r="AO4861"/>
      <c r="AP4861"/>
      <c r="AQ4861"/>
      <c r="AR4861"/>
      <c r="AS4861"/>
      <c r="AT4861"/>
      <c r="AU4861"/>
      <c r="AV4861"/>
    </row>
    <row r="4862" spans="41:48" x14ac:dyDescent="0.35">
      <c r="AO4862"/>
      <c r="AP4862"/>
      <c r="AQ4862"/>
      <c r="AR4862"/>
      <c r="AS4862"/>
      <c r="AT4862"/>
      <c r="AU4862"/>
      <c r="AV4862"/>
    </row>
    <row r="4863" spans="41:48" x14ac:dyDescent="0.35">
      <c r="AO4863"/>
      <c r="AP4863"/>
      <c r="AQ4863"/>
      <c r="AR4863"/>
      <c r="AS4863"/>
      <c r="AT4863"/>
      <c r="AU4863"/>
      <c r="AV4863"/>
    </row>
    <row r="4864" spans="41:48" x14ac:dyDescent="0.35">
      <c r="AO4864"/>
      <c r="AP4864"/>
      <c r="AQ4864"/>
      <c r="AR4864"/>
      <c r="AS4864"/>
      <c r="AT4864"/>
      <c r="AU4864"/>
      <c r="AV4864"/>
    </row>
    <row r="4865" spans="41:48" x14ac:dyDescent="0.35">
      <c r="AO4865"/>
      <c r="AP4865"/>
      <c r="AQ4865"/>
      <c r="AR4865"/>
      <c r="AS4865"/>
      <c r="AT4865"/>
      <c r="AU4865"/>
      <c r="AV4865"/>
    </row>
    <row r="4866" spans="41:48" x14ac:dyDescent="0.35">
      <c r="AO4866"/>
      <c r="AP4866"/>
      <c r="AQ4866"/>
      <c r="AR4866"/>
      <c r="AS4866"/>
      <c r="AT4866"/>
      <c r="AU4866"/>
      <c r="AV4866"/>
    </row>
    <row r="4867" spans="41:48" x14ac:dyDescent="0.35">
      <c r="AO4867"/>
      <c r="AP4867"/>
      <c r="AQ4867"/>
      <c r="AR4867"/>
      <c r="AS4867"/>
      <c r="AT4867"/>
      <c r="AU4867"/>
      <c r="AV4867"/>
    </row>
    <row r="4868" spans="41:48" x14ac:dyDescent="0.35">
      <c r="AO4868"/>
      <c r="AP4868"/>
      <c r="AQ4868"/>
      <c r="AR4868"/>
      <c r="AS4868"/>
      <c r="AT4868"/>
      <c r="AU4868"/>
      <c r="AV4868"/>
    </row>
    <row r="4869" spans="41:48" x14ac:dyDescent="0.35">
      <c r="AO4869"/>
      <c r="AP4869"/>
      <c r="AQ4869"/>
      <c r="AR4869"/>
      <c r="AS4869"/>
      <c r="AT4869"/>
      <c r="AU4869"/>
      <c r="AV4869"/>
    </row>
    <row r="4870" spans="41:48" x14ac:dyDescent="0.35">
      <c r="AO4870"/>
      <c r="AP4870"/>
      <c r="AQ4870"/>
      <c r="AR4870"/>
      <c r="AS4870"/>
      <c r="AT4870"/>
      <c r="AU4870"/>
      <c r="AV4870"/>
    </row>
    <row r="4871" spans="41:48" x14ac:dyDescent="0.35">
      <c r="AO4871"/>
      <c r="AP4871"/>
      <c r="AQ4871"/>
      <c r="AR4871"/>
      <c r="AS4871"/>
      <c r="AT4871"/>
      <c r="AU4871"/>
      <c r="AV4871"/>
    </row>
    <row r="4872" spans="41:48" x14ac:dyDescent="0.35">
      <c r="AO4872"/>
      <c r="AP4872"/>
      <c r="AQ4872"/>
      <c r="AR4872"/>
      <c r="AS4872"/>
      <c r="AT4872"/>
      <c r="AU4872"/>
      <c r="AV4872"/>
    </row>
    <row r="4873" spans="41:48" x14ac:dyDescent="0.35">
      <c r="AO4873"/>
      <c r="AP4873"/>
      <c r="AQ4873"/>
      <c r="AR4873"/>
      <c r="AS4873"/>
      <c r="AT4873"/>
      <c r="AU4873"/>
      <c r="AV4873"/>
    </row>
    <row r="4874" spans="41:48" x14ac:dyDescent="0.35">
      <c r="AO4874"/>
      <c r="AP4874"/>
      <c r="AQ4874"/>
      <c r="AR4874"/>
      <c r="AS4874"/>
      <c r="AT4874"/>
      <c r="AU4874"/>
      <c r="AV4874"/>
    </row>
    <row r="4875" spans="41:48" x14ac:dyDescent="0.35">
      <c r="AO4875"/>
      <c r="AP4875"/>
      <c r="AQ4875"/>
      <c r="AR4875"/>
      <c r="AS4875"/>
      <c r="AT4875"/>
      <c r="AU4875"/>
      <c r="AV4875"/>
    </row>
    <row r="4876" spans="41:48" x14ac:dyDescent="0.35">
      <c r="AO4876"/>
      <c r="AP4876"/>
      <c r="AQ4876"/>
      <c r="AR4876"/>
      <c r="AS4876"/>
      <c r="AT4876"/>
      <c r="AU4876"/>
      <c r="AV4876"/>
    </row>
    <row r="4877" spans="41:48" x14ac:dyDescent="0.35">
      <c r="AO4877"/>
      <c r="AP4877"/>
      <c r="AQ4877"/>
      <c r="AR4877"/>
      <c r="AS4877"/>
      <c r="AT4877"/>
      <c r="AU4877"/>
      <c r="AV4877"/>
    </row>
    <row r="4878" spans="41:48" x14ac:dyDescent="0.35">
      <c r="AO4878"/>
      <c r="AP4878"/>
      <c r="AQ4878"/>
      <c r="AR4878"/>
      <c r="AS4878"/>
      <c r="AT4878"/>
      <c r="AU4878"/>
      <c r="AV4878"/>
    </row>
    <row r="4879" spans="41:48" x14ac:dyDescent="0.35">
      <c r="AO4879"/>
      <c r="AP4879"/>
      <c r="AQ4879"/>
      <c r="AR4879"/>
      <c r="AS4879"/>
      <c r="AT4879"/>
      <c r="AU4879"/>
      <c r="AV4879"/>
    </row>
    <row r="4880" spans="41:48" x14ac:dyDescent="0.35">
      <c r="AO4880"/>
      <c r="AP4880"/>
      <c r="AQ4880"/>
      <c r="AR4880"/>
      <c r="AS4880"/>
      <c r="AT4880"/>
      <c r="AU4880"/>
      <c r="AV4880"/>
    </row>
    <row r="4881" spans="41:48" x14ac:dyDescent="0.35">
      <c r="AO4881"/>
      <c r="AP4881"/>
      <c r="AQ4881"/>
      <c r="AR4881"/>
      <c r="AS4881"/>
      <c r="AT4881"/>
      <c r="AU4881"/>
      <c r="AV4881"/>
    </row>
    <row r="4882" spans="41:48" x14ac:dyDescent="0.35">
      <c r="AO4882"/>
      <c r="AP4882"/>
      <c r="AQ4882"/>
      <c r="AR4882"/>
      <c r="AS4882"/>
      <c r="AT4882"/>
      <c r="AU4882"/>
      <c r="AV4882"/>
    </row>
    <row r="4883" spans="41:48" x14ac:dyDescent="0.35">
      <c r="AO4883"/>
      <c r="AP4883"/>
      <c r="AQ4883"/>
      <c r="AR4883"/>
      <c r="AS4883"/>
      <c r="AT4883"/>
      <c r="AU4883"/>
      <c r="AV4883"/>
    </row>
    <row r="4884" spans="41:48" x14ac:dyDescent="0.35">
      <c r="AO4884"/>
      <c r="AP4884"/>
      <c r="AQ4884"/>
      <c r="AR4884"/>
      <c r="AS4884"/>
      <c r="AT4884"/>
      <c r="AU4884"/>
      <c r="AV4884"/>
    </row>
    <row r="4885" spans="41:48" x14ac:dyDescent="0.35">
      <c r="AO4885"/>
      <c r="AP4885"/>
      <c r="AQ4885"/>
      <c r="AR4885"/>
      <c r="AS4885"/>
      <c r="AT4885"/>
      <c r="AU4885"/>
      <c r="AV4885"/>
    </row>
    <row r="4886" spans="41:48" x14ac:dyDescent="0.35">
      <c r="AO4886"/>
      <c r="AP4886"/>
      <c r="AQ4886"/>
      <c r="AR4886"/>
      <c r="AS4886"/>
      <c r="AT4886"/>
      <c r="AU4886"/>
      <c r="AV4886"/>
    </row>
    <row r="4887" spans="41:48" x14ac:dyDescent="0.35">
      <c r="AO4887"/>
      <c r="AP4887"/>
      <c r="AQ4887"/>
      <c r="AR4887"/>
      <c r="AS4887"/>
      <c r="AT4887"/>
      <c r="AU4887"/>
      <c r="AV4887"/>
    </row>
    <row r="4888" spans="41:48" x14ac:dyDescent="0.35">
      <c r="AO4888"/>
      <c r="AP4888"/>
      <c r="AQ4888"/>
      <c r="AR4888"/>
      <c r="AS4888"/>
      <c r="AT4888"/>
      <c r="AU4888"/>
      <c r="AV4888"/>
    </row>
    <row r="4889" spans="41:48" x14ac:dyDescent="0.35">
      <c r="AO4889"/>
      <c r="AP4889"/>
      <c r="AQ4889"/>
      <c r="AR4889"/>
      <c r="AS4889"/>
      <c r="AT4889"/>
      <c r="AU4889"/>
      <c r="AV4889"/>
    </row>
    <row r="4890" spans="41:48" x14ac:dyDescent="0.35">
      <c r="AO4890"/>
      <c r="AP4890"/>
      <c r="AQ4890"/>
      <c r="AR4890"/>
      <c r="AS4890"/>
      <c r="AT4890"/>
      <c r="AU4890"/>
      <c r="AV4890"/>
    </row>
    <row r="4891" spans="41:48" x14ac:dyDescent="0.35">
      <c r="AO4891"/>
      <c r="AP4891"/>
      <c r="AQ4891"/>
      <c r="AR4891"/>
      <c r="AS4891"/>
      <c r="AT4891"/>
      <c r="AU4891"/>
      <c r="AV4891"/>
    </row>
    <row r="4892" spans="41:48" x14ac:dyDescent="0.35">
      <c r="AO4892"/>
      <c r="AP4892"/>
      <c r="AQ4892"/>
      <c r="AR4892"/>
      <c r="AS4892"/>
      <c r="AT4892"/>
      <c r="AU4892"/>
      <c r="AV4892"/>
    </row>
    <row r="4893" spans="41:48" x14ac:dyDescent="0.35">
      <c r="AO4893"/>
      <c r="AP4893"/>
      <c r="AQ4893"/>
      <c r="AR4893"/>
      <c r="AS4893"/>
      <c r="AT4893"/>
      <c r="AU4893"/>
      <c r="AV4893"/>
    </row>
    <row r="4894" spans="41:48" x14ac:dyDescent="0.35">
      <c r="AO4894"/>
      <c r="AP4894"/>
      <c r="AQ4894"/>
      <c r="AR4894"/>
      <c r="AS4894"/>
      <c r="AT4894"/>
      <c r="AU4894"/>
      <c r="AV4894"/>
    </row>
    <row r="4895" spans="41:48" x14ac:dyDescent="0.35">
      <c r="AO4895"/>
      <c r="AP4895"/>
      <c r="AQ4895"/>
      <c r="AR4895"/>
      <c r="AS4895"/>
      <c r="AT4895"/>
      <c r="AU4895"/>
      <c r="AV4895"/>
    </row>
    <row r="4896" spans="41:48" x14ac:dyDescent="0.35">
      <c r="AO4896"/>
      <c r="AP4896"/>
      <c r="AQ4896"/>
      <c r="AR4896"/>
      <c r="AS4896"/>
      <c r="AT4896"/>
      <c r="AU4896"/>
      <c r="AV4896"/>
    </row>
    <row r="4897" spans="41:48" x14ac:dyDescent="0.35">
      <c r="AO4897"/>
      <c r="AP4897"/>
      <c r="AQ4897"/>
      <c r="AR4897"/>
      <c r="AS4897"/>
      <c r="AT4897"/>
      <c r="AU4897"/>
      <c r="AV4897"/>
    </row>
    <row r="4898" spans="41:48" x14ac:dyDescent="0.35">
      <c r="AO4898"/>
      <c r="AP4898"/>
      <c r="AQ4898"/>
      <c r="AR4898"/>
      <c r="AS4898"/>
      <c r="AT4898"/>
      <c r="AU4898"/>
      <c r="AV4898"/>
    </row>
    <row r="4899" spans="41:48" x14ac:dyDescent="0.35">
      <c r="AO4899"/>
      <c r="AP4899"/>
      <c r="AQ4899"/>
      <c r="AR4899"/>
      <c r="AS4899"/>
      <c r="AT4899"/>
      <c r="AU4899"/>
      <c r="AV4899"/>
    </row>
    <row r="4900" spans="41:48" x14ac:dyDescent="0.35">
      <c r="AO4900"/>
      <c r="AP4900"/>
      <c r="AQ4900"/>
      <c r="AR4900"/>
      <c r="AS4900"/>
      <c r="AT4900"/>
      <c r="AU4900"/>
      <c r="AV4900"/>
    </row>
    <row r="4901" spans="41:48" x14ac:dyDescent="0.35">
      <c r="AO4901"/>
      <c r="AP4901"/>
      <c r="AQ4901"/>
      <c r="AR4901"/>
      <c r="AS4901"/>
      <c r="AT4901"/>
      <c r="AU4901"/>
      <c r="AV4901"/>
    </row>
    <row r="4902" spans="41:48" x14ac:dyDescent="0.35">
      <c r="AO4902"/>
      <c r="AP4902"/>
      <c r="AQ4902"/>
      <c r="AR4902"/>
      <c r="AS4902"/>
      <c r="AT4902"/>
      <c r="AU4902"/>
      <c r="AV4902"/>
    </row>
    <row r="4903" spans="41:48" x14ac:dyDescent="0.35">
      <c r="AO4903"/>
      <c r="AP4903"/>
      <c r="AQ4903"/>
      <c r="AR4903"/>
      <c r="AS4903"/>
      <c r="AT4903"/>
      <c r="AU4903"/>
      <c r="AV4903"/>
    </row>
    <row r="4904" spans="41:48" x14ac:dyDescent="0.35">
      <c r="AO4904"/>
      <c r="AP4904"/>
      <c r="AQ4904"/>
      <c r="AR4904"/>
      <c r="AS4904"/>
      <c r="AT4904"/>
      <c r="AU4904"/>
      <c r="AV4904"/>
    </row>
    <row r="4905" spans="41:48" x14ac:dyDescent="0.35">
      <c r="AO4905"/>
      <c r="AP4905"/>
      <c r="AQ4905"/>
      <c r="AR4905"/>
      <c r="AS4905"/>
      <c r="AT4905"/>
      <c r="AU4905"/>
      <c r="AV4905"/>
    </row>
    <row r="4906" spans="41:48" x14ac:dyDescent="0.35">
      <c r="AO4906"/>
      <c r="AP4906"/>
      <c r="AQ4906"/>
      <c r="AR4906"/>
      <c r="AS4906"/>
      <c r="AT4906"/>
      <c r="AU4906"/>
      <c r="AV4906"/>
    </row>
    <row r="4907" spans="41:48" x14ac:dyDescent="0.35">
      <c r="AO4907"/>
      <c r="AP4907"/>
      <c r="AQ4907"/>
      <c r="AR4907"/>
      <c r="AS4907"/>
      <c r="AT4907"/>
      <c r="AU4907"/>
      <c r="AV4907"/>
    </row>
    <row r="4908" spans="41:48" x14ac:dyDescent="0.35">
      <c r="AO4908"/>
      <c r="AP4908"/>
      <c r="AQ4908"/>
      <c r="AR4908"/>
      <c r="AS4908"/>
      <c r="AT4908"/>
      <c r="AU4908"/>
      <c r="AV4908"/>
    </row>
    <row r="4909" spans="41:48" x14ac:dyDescent="0.35">
      <c r="AO4909"/>
      <c r="AP4909"/>
      <c r="AQ4909"/>
      <c r="AR4909"/>
      <c r="AS4909"/>
      <c r="AT4909"/>
      <c r="AU4909"/>
      <c r="AV4909"/>
    </row>
    <row r="4910" spans="41:48" x14ac:dyDescent="0.35">
      <c r="AO4910"/>
      <c r="AP4910"/>
      <c r="AQ4910"/>
      <c r="AR4910"/>
      <c r="AS4910"/>
      <c r="AT4910"/>
      <c r="AU4910"/>
      <c r="AV4910"/>
    </row>
    <row r="4911" spans="41:48" x14ac:dyDescent="0.35">
      <c r="AO4911"/>
      <c r="AP4911"/>
      <c r="AQ4911"/>
      <c r="AR4911"/>
      <c r="AS4911"/>
      <c r="AT4911"/>
      <c r="AU4911"/>
      <c r="AV4911"/>
    </row>
    <row r="4912" spans="41:48" x14ac:dyDescent="0.35">
      <c r="AO4912"/>
      <c r="AP4912"/>
      <c r="AQ4912"/>
      <c r="AR4912"/>
      <c r="AS4912"/>
      <c r="AT4912"/>
      <c r="AU4912"/>
      <c r="AV4912"/>
    </row>
    <row r="4913" spans="41:48" x14ac:dyDescent="0.35">
      <c r="AO4913"/>
      <c r="AP4913"/>
      <c r="AQ4913"/>
      <c r="AR4913"/>
      <c r="AS4913"/>
      <c r="AT4913"/>
      <c r="AU4913"/>
      <c r="AV4913"/>
    </row>
    <row r="4914" spans="41:48" x14ac:dyDescent="0.35">
      <c r="AO4914"/>
      <c r="AP4914"/>
      <c r="AQ4914"/>
      <c r="AR4914"/>
      <c r="AS4914"/>
      <c r="AT4914"/>
      <c r="AU4914"/>
      <c r="AV4914"/>
    </row>
    <row r="4915" spans="41:48" x14ac:dyDescent="0.35">
      <c r="AO4915"/>
      <c r="AP4915"/>
      <c r="AQ4915"/>
      <c r="AR4915"/>
      <c r="AS4915"/>
      <c r="AT4915"/>
      <c r="AU4915"/>
      <c r="AV4915"/>
    </row>
    <row r="4916" spans="41:48" x14ac:dyDescent="0.35">
      <c r="AO4916"/>
      <c r="AP4916"/>
      <c r="AQ4916"/>
      <c r="AR4916"/>
      <c r="AS4916"/>
      <c r="AT4916"/>
      <c r="AU4916"/>
      <c r="AV4916"/>
    </row>
    <row r="4917" spans="41:48" x14ac:dyDescent="0.35">
      <c r="AO4917"/>
      <c r="AP4917"/>
      <c r="AQ4917"/>
      <c r="AR4917"/>
      <c r="AS4917"/>
      <c r="AT4917"/>
      <c r="AU4917"/>
      <c r="AV4917"/>
    </row>
    <row r="4918" spans="41:48" x14ac:dyDescent="0.35">
      <c r="AO4918"/>
      <c r="AP4918"/>
      <c r="AQ4918"/>
      <c r="AR4918"/>
      <c r="AS4918"/>
      <c r="AT4918"/>
      <c r="AU4918"/>
      <c r="AV4918"/>
    </row>
    <row r="4919" spans="41:48" x14ac:dyDescent="0.35">
      <c r="AO4919"/>
      <c r="AP4919"/>
      <c r="AQ4919"/>
      <c r="AR4919"/>
      <c r="AS4919"/>
      <c r="AT4919"/>
      <c r="AU4919"/>
      <c r="AV4919"/>
    </row>
    <row r="4920" spans="41:48" x14ac:dyDescent="0.35">
      <c r="AO4920"/>
      <c r="AP4920"/>
      <c r="AQ4920"/>
      <c r="AR4920"/>
      <c r="AS4920"/>
      <c r="AT4920"/>
      <c r="AU4920"/>
      <c r="AV4920"/>
    </row>
    <row r="4921" spans="41:48" x14ac:dyDescent="0.35">
      <c r="AO4921"/>
      <c r="AP4921"/>
      <c r="AQ4921"/>
      <c r="AR4921"/>
      <c r="AS4921"/>
      <c r="AT4921"/>
      <c r="AU4921"/>
      <c r="AV4921"/>
    </row>
    <row r="4922" spans="41:48" x14ac:dyDescent="0.35">
      <c r="AO4922"/>
      <c r="AP4922"/>
      <c r="AQ4922"/>
      <c r="AR4922"/>
      <c r="AS4922"/>
      <c r="AT4922"/>
      <c r="AU4922"/>
      <c r="AV4922"/>
    </row>
    <row r="4923" spans="41:48" x14ac:dyDescent="0.35">
      <c r="AO4923"/>
      <c r="AP4923"/>
      <c r="AQ4923"/>
      <c r="AR4923"/>
      <c r="AS4923"/>
      <c r="AT4923"/>
      <c r="AU4923"/>
      <c r="AV4923"/>
    </row>
    <row r="4924" spans="41:48" x14ac:dyDescent="0.35">
      <c r="AO4924"/>
      <c r="AP4924"/>
      <c r="AQ4924"/>
      <c r="AR4924"/>
      <c r="AS4924"/>
      <c r="AT4924"/>
      <c r="AU4924"/>
      <c r="AV4924"/>
    </row>
    <row r="4925" spans="41:48" x14ac:dyDescent="0.35">
      <c r="AO4925"/>
      <c r="AP4925"/>
      <c r="AQ4925"/>
      <c r="AR4925"/>
      <c r="AS4925"/>
      <c r="AT4925"/>
      <c r="AU4925"/>
      <c r="AV4925"/>
    </row>
    <row r="4926" spans="41:48" x14ac:dyDescent="0.35">
      <c r="AO4926"/>
      <c r="AP4926"/>
      <c r="AQ4926"/>
      <c r="AR4926"/>
      <c r="AS4926"/>
      <c r="AT4926"/>
      <c r="AU4926"/>
      <c r="AV4926"/>
    </row>
    <row r="4927" spans="41:48" x14ac:dyDescent="0.35">
      <c r="AO4927"/>
      <c r="AP4927"/>
      <c r="AQ4927"/>
      <c r="AR4927"/>
      <c r="AS4927"/>
      <c r="AT4927"/>
      <c r="AU4927"/>
      <c r="AV4927"/>
    </row>
    <row r="4928" spans="41:48" x14ac:dyDescent="0.35">
      <c r="AO4928"/>
      <c r="AP4928"/>
      <c r="AQ4928"/>
      <c r="AR4928"/>
      <c r="AS4928"/>
      <c r="AT4928"/>
      <c r="AU4928"/>
      <c r="AV4928"/>
    </row>
    <row r="4929" spans="41:48" x14ac:dyDescent="0.35">
      <c r="AO4929"/>
      <c r="AP4929"/>
      <c r="AQ4929"/>
      <c r="AR4929"/>
      <c r="AS4929"/>
      <c r="AT4929"/>
      <c r="AU4929"/>
      <c r="AV4929"/>
    </row>
    <row r="4930" spans="41:48" x14ac:dyDescent="0.35">
      <c r="AO4930"/>
      <c r="AP4930"/>
      <c r="AQ4930"/>
      <c r="AR4930"/>
      <c r="AS4930"/>
      <c r="AT4930"/>
      <c r="AU4930"/>
      <c r="AV4930"/>
    </row>
    <row r="4931" spans="41:48" x14ac:dyDescent="0.35">
      <c r="AO4931"/>
      <c r="AP4931"/>
      <c r="AQ4931"/>
      <c r="AR4931"/>
      <c r="AS4931"/>
      <c r="AT4931"/>
      <c r="AU4931"/>
      <c r="AV4931"/>
    </row>
    <row r="4932" spans="41:48" x14ac:dyDescent="0.35">
      <c r="AO4932"/>
      <c r="AP4932"/>
      <c r="AQ4932"/>
      <c r="AR4932"/>
      <c r="AS4932"/>
      <c r="AT4932"/>
      <c r="AU4932"/>
      <c r="AV4932"/>
    </row>
    <row r="4933" spans="41:48" x14ac:dyDescent="0.35">
      <c r="AO4933"/>
      <c r="AP4933"/>
      <c r="AQ4933"/>
      <c r="AR4933"/>
      <c r="AS4933"/>
      <c r="AT4933"/>
      <c r="AU4933"/>
      <c r="AV4933"/>
    </row>
    <row r="4934" spans="41:48" x14ac:dyDescent="0.35">
      <c r="AO4934"/>
      <c r="AP4934"/>
      <c r="AQ4934"/>
      <c r="AR4934"/>
      <c r="AS4934"/>
      <c r="AT4934"/>
      <c r="AU4934"/>
      <c r="AV4934"/>
    </row>
    <row r="4935" spans="41:48" x14ac:dyDescent="0.35">
      <c r="AO4935"/>
      <c r="AP4935"/>
      <c r="AQ4935"/>
      <c r="AR4935"/>
      <c r="AS4935"/>
      <c r="AT4935"/>
      <c r="AU4935"/>
      <c r="AV4935"/>
    </row>
    <row r="4936" spans="41:48" x14ac:dyDescent="0.35">
      <c r="AO4936"/>
      <c r="AP4936"/>
      <c r="AQ4936"/>
      <c r="AR4936"/>
      <c r="AS4936"/>
      <c r="AT4936"/>
      <c r="AU4936"/>
      <c r="AV4936"/>
    </row>
    <row r="4937" spans="41:48" x14ac:dyDescent="0.35">
      <c r="AO4937"/>
      <c r="AP4937"/>
      <c r="AQ4937"/>
      <c r="AR4937"/>
      <c r="AS4937"/>
      <c r="AT4937"/>
      <c r="AU4937"/>
      <c r="AV4937"/>
    </row>
    <row r="4938" spans="41:48" x14ac:dyDescent="0.35">
      <c r="AO4938"/>
      <c r="AP4938"/>
      <c r="AQ4938"/>
      <c r="AR4938"/>
      <c r="AS4938"/>
      <c r="AT4938"/>
      <c r="AU4938"/>
      <c r="AV4938"/>
    </row>
    <row r="4939" spans="41:48" x14ac:dyDescent="0.35">
      <c r="AO4939"/>
      <c r="AP4939"/>
      <c r="AQ4939"/>
      <c r="AR4939"/>
      <c r="AS4939"/>
      <c r="AT4939"/>
      <c r="AU4939"/>
      <c r="AV4939"/>
    </row>
    <row r="4940" spans="41:48" x14ac:dyDescent="0.35">
      <c r="AO4940"/>
      <c r="AP4940"/>
      <c r="AQ4940"/>
      <c r="AR4940"/>
      <c r="AS4940"/>
      <c r="AT4940"/>
      <c r="AU4940"/>
      <c r="AV4940"/>
    </row>
    <row r="4941" spans="41:48" x14ac:dyDescent="0.35">
      <c r="AO4941"/>
      <c r="AP4941"/>
      <c r="AQ4941"/>
      <c r="AR4941"/>
      <c r="AS4941"/>
      <c r="AT4941"/>
      <c r="AU4941"/>
      <c r="AV4941"/>
    </row>
    <row r="4942" spans="41:48" x14ac:dyDescent="0.35">
      <c r="AO4942"/>
      <c r="AP4942"/>
      <c r="AQ4942"/>
      <c r="AR4942"/>
      <c r="AS4942"/>
      <c r="AT4942"/>
      <c r="AU4942"/>
      <c r="AV4942"/>
    </row>
    <row r="4943" spans="41:48" x14ac:dyDescent="0.35">
      <c r="AO4943"/>
      <c r="AP4943"/>
      <c r="AQ4943"/>
      <c r="AR4943"/>
      <c r="AS4943"/>
      <c r="AT4943"/>
      <c r="AU4943"/>
      <c r="AV4943"/>
    </row>
    <row r="4944" spans="41:48" x14ac:dyDescent="0.35">
      <c r="AO4944"/>
      <c r="AP4944"/>
      <c r="AQ4944"/>
      <c r="AR4944"/>
      <c r="AS4944"/>
      <c r="AT4944"/>
      <c r="AU4944"/>
      <c r="AV4944"/>
    </row>
    <row r="4945" spans="41:48" x14ac:dyDescent="0.35">
      <c r="AO4945"/>
      <c r="AP4945"/>
      <c r="AQ4945"/>
      <c r="AR4945"/>
      <c r="AS4945"/>
      <c r="AT4945"/>
      <c r="AU4945"/>
      <c r="AV4945"/>
    </row>
    <row r="4946" spans="41:48" x14ac:dyDescent="0.35">
      <c r="AO4946"/>
      <c r="AP4946"/>
      <c r="AQ4946"/>
      <c r="AR4946"/>
      <c r="AS4946"/>
      <c r="AT4946"/>
      <c r="AU4946"/>
      <c r="AV4946"/>
    </row>
    <row r="4947" spans="41:48" x14ac:dyDescent="0.35">
      <c r="AO4947"/>
      <c r="AP4947"/>
      <c r="AQ4947"/>
      <c r="AR4947"/>
      <c r="AS4947"/>
      <c r="AT4947"/>
      <c r="AU4947"/>
      <c r="AV4947"/>
    </row>
    <row r="4948" spans="41:48" x14ac:dyDescent="0.35">
      <c r="AO4948"/>
      <c r="AP4948"/>
      <c r="AQ4948"/>
      <c r="AR4948"/>
      <c r="AS4948"/>
      <c r="AT4948"/>
      <c r="AU4948"/>
      <c r="AV4948"/>
    </row>
    <row r="4949" spans="41:48" x14ac:dyDescent="0.35">
      <c r="AO4949"/>
      <c r="AP4949"/>
      <c r="AQ4949"/>
      <c r="AR4949"/>
      <c r="AS4949"/>
      <c r="AT4949"/>
      <c r="AU4949"/>
      <c r="AV4949"/>
    </row>
    <row r="4950" spans="41:48" x14ac:dyDescent="0.35">
      <c r="AO4950"/>
      <c r="AP4950"/>
      <c r="AQ4950"/>
      <c r="AR4950"/>
      <c r="AS4950"/>
      <c r="AT4950"/>
      <c r="AU4950"/>
      <c r="AV4950"/>
    </row>
    <row r="4951" spans="41:48" x14ac:dyDescent="0.35">
      <c r="AO4951"/>
      <c r="AP4951"/>
      <c r="AQ4951"/>
      <c r="AR4951"/>
      <c r="AS4951"/>
      <c r="AT4951"/>
      <c r="AU4951"/>
      <c r="AV4951"/>
    </row>
    <row r="4952" spans="41:48" x14ac:dyDescent="0.35">
      <c r="AO4952"/>
      <c r="AP4952"/>
      <c r="AQ4952"/>
      <c r="AR4952"/>
      <c r="AS4952"/>
      <c r="AT4952"/>
      <c r="AU4952"/>
      <c r="AV4952"/>
    </row>
    <row r="4953" spans="41:48" x14ac:dyDescent="0.35">
      <c r="AO4953"/>
      <c r="AP4953"/>
      <c r="AQ4953"/>
      <c r="AR4953"/>
      <c r="AS4953"/>
      <c r="AT4953"/>
      <c r="AU4953"/>
      <c r="AV4953"/>
    </row>
    <row r="4954" spans="41:48" x14ac:dyDescent="0.35">
      <c r="AO4954"/>
      <c r="AP4954"/>
      <c r="AQ4954"/>
      <c r="AR4954"/>
      <c r="AS4954"/>
      <c r="AT4954"/>
      <c r="AU4954"/>
      <c r="AV4954"/>
    </row>
    <row r="4955" spans="41:48" x14ac:dyDescent="0.35">
      <c r="AO4955"/>
      <c r="AP4955"/>
      <c r="AQ4955"/>
      <c r="AR4955"/>
      <c r="AS4955"/>
      <c r="AT4955"/>
      <c r="AU4955"/>
      <c r="AV4955"/>
    </row>
    <row r="4956" spans="41:48" x14ac:dyDescent="0.35">
      <c r="AO4956"/>
      <c r="AP4956"/>
      <c r="AQ4956"/>
      <c r="AR4956"/>
      <c r="AS4956"/>
      <c r="AT4956"/>
      <c r="AU4956"/>
      <c r="AV4956"/>
    </row>
    <row r="4957" spans="41:48" x14ac:dyDescent="0.35">
      <c r="AO4957"/>
      <c r="AP4957"/>
      <c r="AQ4957"/>
      <c r="AR4957"/>
      <c r="AS4957"/>
      <c r="AT4957"/>
      <c r="AU4957"/>
      <c r="AV4957"/>
    </row>
    <row r="4958" spans="41:48" x14ac:dyDescent="0.35">
      <c r="AO4958"/>
      <c r="AP4958"/>
      <c r="AQ4958"/>
      <c r="AR4958"/>
      <c r="AS4958"/>
      <c r="AT4958"/>
      <c r="AU4958"/>
      <c r="AV4958"/>
    </row>
    <row r="4959" spans="41:48" x14ac:dyDescent="0.35">
      <c r="AO4959"/>
      <c r="AP4959"/>
      <c r="AQ4959"/>
      <c r="AR4959"/>
      <c r="AS4959"/>
      <c r="AT4959"/>
      <c r="AU4959"/>
      <c r="AV4959"/>
    </row>
    <row r="4960" spans="41:48" x14ac:dyDescent="0.35">
      <c r="AO4960"/>
      <c r="AP4960"/>
      <c r="AQ4960"/>
      <c r="AR4960"/>
      <c r="AS4960"/>
      <c r="AT4960"/>
      <c r="AU4960"/>
      <c r="AV4960"/>
    </row>
    <row r="4961" spans="41:48" x14ac:dyDescent="0.35">
      <c r="AO4961"/>
      <c r="AP4961"/>
      <c r="AQ4961"/>
      <c r="AR4961"/>
      <c r="AS4961"/>
      <c r="AT4961"/>
      <c r="AU4961"/>
      <c r="AV4961"/>
    </row>
    <row r="4962" spans="41:48" x14ac:dyDescent="0.35">
      <c r="AO4962"/>
      <c r="AP4962"/>
      <c r="AQ4962"/>
      <c r="AR4962"/>
      <c r="AS4962"/>
      <c r="AT4962"/>
      <c r="AU4962"/>
      <c r="AV4962"/>
    </row>
    <row r="4963" spans="41:48" x14ac:dyDescent="0.35">
      <c r="AO4963"/>
      <c r="AP4963"/>
      <c r="AQ4963"/>
      <c r="AR4963"/>
      <c r="AS4963"/>
      <c r="AT4963"/>
      <c r="AU4963"/>
      <c r="AV4963"/>
    </row>
    <row r="4964" spans="41:48" x14ac:dyDescent="0.35">
      <c r="AO4964"/>
      <c r="AP4964"/>
      <c r="AQ4964"/>
      <c r="AR4964"/>
      <c r="AS4964"/>
      <c r="AT4964"/>
      <c r="AU4964"/>
      <c r="AV4964"/>
    </row>
    <row r="4965" spans="41:48" x14ac:dyDescent="0.35">
      <c r="AO4965"/>
      <c r="AP4965"/>
      <c r="AQ4965"/>
      <c r="AR4965"/>
      <c r="AS4965"/>
      <c r="AT4965"/>
      <c r="AU4965"/>
      <c r="AV4965"/>
    </row>
    <row r="4966" spans="41:48" x14ac:dyDescent="0.35">
      <c r="AO4966"/>
      <c r="AP4966"/>
      <c r="AQ4966"/>
      <c r="AR4966"/>
      <c r="AS4966"/>
      <c r="AT4966"/>
      <c r="AU4966"/>
      <c r="AV4966"/>
    </row>
    <row r="4967" spans="41:48" x14ac:dyDescent="0.35">
      <c r="AO4967"/>
      <c r="AP4967"/>
      <c r="AQ4967"/>
      <c r="AR4967"/>
      <c r="AS4967"/>
      <c r="AT4967"/>
      <c r="AU4967"/>
      <c r="AV4967"/>
    </row>
    <row r="4968" spans="41:48" x14ac:dyDescent="0.35">
      <c r="AO4968"/>
      <c r="AP4968"/>
      <c r="AQ4968"/>
      <c r="AR4968"/>
      <c r="AS4968"/>
      <c r="AT4968"/>
      <c r="AU4968"/>
      <c r="AV4968"/>
    </row>
    <row r="4969" spans="41:48" x14ac:dyDescent="0.35">
      <c r="AO4969"/>
      <c r="AP4969"/>
      <c r="AQ4969"/>
      <c r="AR4969"/>
      <c r="AS4969"/>
      <c r="AT4969"/>
      <c r="AU4969"/>
      <c r="AV4969"/>
    </row>
    <row r="4970" spans="41:48" x14ac:dyDescent="0.35">
      <c r="AO4970"/>
      <c r="AP4970"/>
      <c r="AQ4970"/>
      <c r="AR4970"/>
      <c r="AS4970"/>
      <c r="AT4970"/>
      <c r="AU4970"/>
      <c r="AV4970"/>
    </row>
    <row r="4971" spans="41:48" x14ac:dyDescent="0.35">
      <c r="AO4971"/>
      <c r="AP4971"/>
      <c r="AQ4971"/>
      <c r="AR4971"/>
      <c r="AS4971"/>
      <c r="AT4971"/>
      <c r="AU4971"/>
      <c r="AV4971"/>
    </row>
    <row r="4972" spans="41:48" x14ac:dyDescent="0.35">
      <c r="AO4972"/>
      <c r="AP4972"/>
      <c r="AQ4972"/>
      <c r="AR4972"/>
      <c r="AS4972"/>
      <c r="AT4972"/>
      <c r="AU4972"/>
      <c r="AV4972"/>
    </row>
    <row r="4973" spans="41:48" x14ac:dyDescent="0.35">
      <c r="AO4973"/>
      <c r="AP4973"/>
      <c r="AQ4973"/>
      <c r="AR4973"/>
      <c r="AS4973"/>
      <c r="AT4973"/>
      <c r="AU4973"/>
      <c r="AV4973"/>
    </row>
    <row r="4974" spans="41:48" x14ac:dyDescent="0.35">
      <c r="AO4974"/>
      <c r="AP4974"/>
      <c r="AQ4974"/>
      <c r="AR4974"/>
      <c r="AS4974"/>
      <c r="AT4974"/>
      <c r="AU4974"/>
      <c r="AV4974"/>
    </row>
    <row r="4975" spans="41:48" x14ac:dyDescent="0.35">
      <c r="AO4975"/>
      <c r="AP4975"/>
      <c r="AQ4975"/>
      <c r="AR4975"/>
      <c r="AS4975"/>
      <c r="AT4975"/>
      <c r="AU4975"/>
      <c r="AV4975"/>
    </row>
    <row r="4976" spans="41:48" x14ac:dyDescent="0.35">
      <c r="AO4976"/>
      <c r="AP4976"/>
      <c r="AQ4976"/>
      <c r="AR4976"/>
      <c r="AS4976"/>
      <c r="AT4976"/>
      <c r="AU4976"/>
      <c r="AV4976"/>
    </row>
    <row r="4977" spans="41:48" x14ac:dyDescent="0.35">
      <c r="AO4977"/>
      <c r="AP4977"/>
      <c r="AQ4977"/>
      <c r="AR4977"/>
      <c r="AS4977"/>
      <c r="AT4977"/>
      <c r="AU4977"/>
      <c r="AV4977"/>
    </row>
    <row r="4978" spans="41:48" x14ac:dyDescent="0.35">
      <c r="AO4978"/>
      <c r="AP4978"/>
      <c r="AQ4978"/>
      <c r="AR4978"/>
      <c r="AS4978"/>
      <c r="AT4978"/>
      <c r="AU4978"/>
      <c r="AV4978"/>
    </row>
    <row r="4979" spans="41:48" x14ac:dyDescent="0.35">
      <c r="AO4979"/>
      <c r="AP4979"/>
      <c r="AQ4979"/>
      <c r="AR4979"/>
      <c r="AS4979"/>
      <c r="AT4979"/>
      <c r="AU4979"/>
      <c r="AV4979"/>
    </row>
    <row r="4980" spans="41:48" x14ac:dyDescent="0.35">
      <c r="AO4980"/>
      <c r="AP4980"/>
      <c r="AQ4980"/>
      <c r="AR4980"/>
      <c r="AS4980"/>
      <c r="AT4980"/>
      <c r="AU4980"/>
      <c r="AV4980"/>
    </row>
    <row r="4981" spans="41:48" x14ac:dyDescent="0.35">
      <c r="AO4981"/>
      <c r="AP4981"/>
      <c r="AQ4981"/>
      <c r="AR4981"/>
      <c r="AS4981"/>
      <c r="AT4981"/>
      <c r="AU4981"/>
      <c r="AV4981"/>
    </row>
    <row r="4982" spans="41:48" x14ac:dyDescent="0.35">
      <c r="AO4982"/>
      <c r="AP4982"/>
      <c r="AQ4982"/>
      <c r="AR4982"/>
      <c r="AS4982"/>
      <c r="AT4982"/>
      <c r="AU4982"/>
      <c r="AV4982"/>
    </row>
    <row r="4983" spans="41:48" x14ac:dyDescent="0.35">
      <c r="AO4983"/>
      <c r="AP4983"/>
      <c r="AQ4983"/>
      <c r="AR4983"/>
      <c r="AS4983"/>
      <c r="AT4983"/>
      <c r="AU4983"/>
      <c r="AV4983"/>
    </row>
    <row r="4984" spans="41:48" x14ac:dyDescent="0.35">
      <c r="AO4984"/>
      <c r="AP4984"/>
      <c r="AQ4984"/>
      <c r="AR4984"/>
      <c r="AS4984"/>
      <c r="AT4984"/>
      <c r="AU4984"/>
      <c r="AV4984"/>
    </row>
    <row r="4985" spans="41:48" x14ac:dyDescent="0.35">
      <c r="AO4985"/>
      <c r="AP4985"/>
      <c r="AQ4985"/>
      <c r="AR4985"/>
      <c r="AS4985"/>
      <c r="AT4985"/>
      <c r="AU4985"/>
      <c r="AV4985"/>
    </row>
    <row r="4986" spans="41:48" x14ac:dyDescent="0.35">
      <c r="AO4986"/>
      <c r="AP4986"/>
      <c r="AQ4986"/>
      <c r="AR4986"/>
      <c r="AS4986"/>
      <c r="AT4986"/>
      <c r="AU4986"/>
      <c r="AV4986"/>
    </row>
    <row r="4987" spans="41:48" x14ac:dyDescent="0.35">
      <c r="AO4987"/>
      <c r="AP4987"/>
      <c r="AQ4987"/>
      <c r="AR4987"/>
      <c r="AS4987"/>
      <c r="AT4987"/>
      <c r="AU4987"/>
      <c r="AV4987"/>
    </row>
    <row r="4988" spans="41:48" x14ac:dyDescent="0.35">
      <c r="AO4988"/>
      <c r="AP4988"/>
      <c r="AQ4988"/>
      <c r="AR4988"/>
      <c r="AS4988"/>
      <c r="AT4988"/>
      <c r="AU4988"/>
      <c r="AV4988"/>
    </row>
    <row r="4989" spans="41:48" x14ac:dyDescent="0.35">
      <c r="AO4989"/>
      <c r="AP4989"/>
      <c r="AQ4989"/>
      <c r="AR4989"/>
      <c r="AS4989"/>
      <c r="AT4989"/>
      <c r="AU4989"/>
      <c r="AV4989"/>
    </row>
    <row r="4990" spans="41:48" x14ac:dyDescent="0.35">
      <c r="AO4990"/>
      <c r="AP4990"/>
      <c r="AQ4990"/>
      <c r="AR4990"/>
      <c r="AS4990"/>
      <c r="AT4990"/>
      <c r="AU4990"/>
      <c r="AV4990"/>
    </row>
    <row r="4991" spans="41:48" x14ac:dyDescent="0.35">
      <c r="AO4991"/>
      <c r="AP4991"/>
      <c r="AQ4991"/>
      <c r="AR4991"/>
      <c r="AS4991"/>
      <c r="AT4991"/>
      <c r="AU4991"/>
      <c r="AV4991"/>
    </row>
    <row r="4992" spans="41:48" x14ac:dyDescent="0.35">
      <c r="AO4992"/>
      <c r="AP4992"/>
      <c r="AQ4992"/>
      <c r="AR4992"/>
      <c r="AS4992"/>
      <c r="AT4992"/>
      <c r="AU4992"/>
      <c r="AV4992"/>
    </row>
    <row r="4993" spans="41:48" x14ac:dyDescent="0.35">
      <c r="AO4993"/>
      <c r="AP4993"/>
      <c r="AQ4993"/>
      <c r="AR4993"/>
      <c r="AS4993"/>
      <c r="AT4993"/>
      <c r="AU4993"/>
      <c r="AV4993"/>
    </row>
    <row r="4994" spans="41:48" x14ac:dyDescent="0.35">
      <c r="AO4994"/>
      <c r="AP4994"/>
      <c r="AQ4994"/>
      <c r="AR4994"/>
      <c r="AS4994"/>
      <c r="AT4994"/>
      <c r="AU4994"/>
      <c r="AV4994"/>
    </row>
    <row r="4995" spans="41:48" x14ac:dyDescent="0.35">
      <c r="AO4995"/>
      <c r="AP4995"/>
      <c r="AQ4995"/>
      <c r="AR4995"/>
      <c r="AS4995"/>
      <c r="AT4995"/>
      <c r="AU4995"/>
      <c r="AV4995"/>
    </row>
    <row r="4996" spans="41:48" x14ac:dyDescent="0.35">
      <c r="AO4996"/>
      <c r="AP4996"/>
      <c r="AQ4996"/>
      <c r="AR4996"/>
      <c r="AS4996"/>
      <c r="AT4996"/>
      <c r="AU4996"/>
      <c r="AV4996"/>
    </row>
    <row r="4997" spans="41:48" x14ac:dyDescent="0.35">
      <c r="AO4997"/>
      <c r="AP4997"/>
      <c r="AQ4997"/>
      <c r="AR4997"/>
      <c r="AS4997"/>
      <c r="AT4997"/>
      <c r="AU4997"/>
      <c r="AV4997"/>
    </row>
    <row r="4998" spans="41:48" x14ac:dyDescent="0.35">
      <c r="AO4998"/>
      <c r="AP4998"/>
      <c r="AQ4998"/>
      <c r="AR4998"/>
      <c r="AS4998"/>
      <c r="AT4998"/>
      <c r="AU4998"/>
      <c r="AV4998"/>
    </row>
    <row r="4999" spans="41:48" x14ac:dyDescent="0.35">
      <c r="AO4999"/>
      <c r="AP4999"/>
      <c r="AQ4999"/>
      <c r="AR4999"/>
      <c r="AS4999"/>
      <c r="AT4999"/>
      <c r="AU4999"/>
      <c r="AV4999"/>
    </row>
    <row r="5000" spans="41:48" x14ac:dyDescent="0.35">
      <c r="AO5000"/>
      <c r="AP5000"/>
      <c r="AQ5000"/>
      <c r="AR5000"/>
      <c r="AS5000"/>
      <c r="AT5000"/>
      <c r="AU5000"/>
      <c r="AV5000"/>
    </row>
    <row r="5001" spans="41:48" x14ac:dyDescent="0.35">
      <c r="AO5001"/>
      <c r="AP5001"/>
      <c r="AQ5001"/>
      <c r="AR5001"/>
      <c r="AS5001"/>
      <c r="AT5001"/>
      <c r="AU5001"/>
      <c r="AV5001"/>
    </row>
    <row r="5002" spans="41:48" x14ac:dyDescent="0.35">
      <c r="AO5002"/>
      <c r="AP5002"/>
      <c r="AQ5002"/>
      <c r="AR5002"/>
      <c r="AS5002"/>
      <c r="AT5002"/>
      <c r="AU5002"/>
      <c r="AV5002"/>
    </row>
    <row r="5003" spans="41:48" x14ac:dyDescent="0.35">
      <c r="AO5003"/>
      <c r="AP5003"/>
      <c r="AQ5003"/>
      <c r="AR5003"/>
      <c r="AS5003"/>
      <c r="AT5003"/>
      <c r="AU5003"/>
      <c r="AV5003"/>
    </row>
    <row r="5004" spans="41:48" x14ac:dyDescent="0.35">
      <c r="AO5004"/>
      <c r="AP5004"/>
      <c r="AQ5004"/>
      <c r="AR5004"/>
      <c r="AS5004"/>
      <c r="AT5004"/>
      <c r="AU5004"/>
      <c r="AV5004"/>
    </row>
    <row r="5005" spans="41:48" x14ac:dyDescent="0.35">
      <c r="AO5005"/>
      <c r="AP5005"/>
      <c r="AQ5005"/>
      <c r="AR5005"/>
      <c r="AS5005"/>
      <c r="AT5005"/>
      <c r="AU5005"/>
      <c r="AV5005"/>
    </row>
    <row r="5006" spans="41:48" x14ac:dyDescent="0.35">
      <c r="AO5006"/>
      <c r="AP5006"/>
      <c r="AQ5006"/>
      <c r="AR5006"/>
      <c r="AS5006"/>
      <c r="AT5006"/>
      <c r="AU5006"/>
      <c r="AV5006"/>
    </row>
    <row r="5007" spans="41:48" x14ac:dyDescent="0.35">
      <c r="AO5007"/>
      <c r="AP5007"/>
      <c r="AQ5007"/>
      <c r="AR5007"/>
      <c r="AS5007"/>
      <c r="AT5007"/>
      <c r="AU5007"/>
      <c r="AV5007"/>
    </row>
    <row r="5008" spans="41:48" x14ac:dyDescent="0.35">
      <c r="AO5008"/>
      <c r="AP5008"/>
      <c r="AQ5008"/>
      <c r="AR5008"/>
      <c r="AS5008"/>
      <c r="AT5008"/>
      <c r="AU5008"/>
      <c r="AV5008"/>
    </row>
    <row r="5009" spans="41:48" x14ac:dyDescent="0.35">
      <c r="AO5009"/>
      <c r="AP5009"/>
      <c r="AQ5009"/>
      <c r="AR5009"/>
      <c r="AS5009"/>
      <c r="AT5009"/>
      <c r="AU5009"/>
      <c r="AV5009"/>
    </row>
    <row r="5010" spans="41:48" x14ac:dyDescent="0.35">
      <c r="AO5010"/>
      <c r="AP5010"/>
      <c r="AQ5010"/>
      <c r="AR5010"/>
      <c r="AS5010"/>
      <c r="AT5010"/>
      <c r="AU5010"/>
      <c r="AV5010"/>
    </row>
    <row r="5011" spans="41:48" x14ac:dyDescent="0.35">
      <c r="AO5011"/>
      <c r="AP5011"/>
      <c r="AQ5011"/>
      <c r="AR5011"/>
      <c r="AS5011"/>
      <c r="AT5011"/>
      <c r="AU5011"/>
      <c r="AV5011"/>
    </row>
    <row r="5012" spans="41:48" x14ac:dyDescent="0.35">
      <c r="AO5012"/>
      <c r="AP5012"/>
      <c r="AQ5012"/>
      <c r="AR5012"/>
      <c r="AS5012"/>
      <c r="AT5012"/>
      <c r="AU5012"/>
      <c r="AV5012"/>
    </row>
    <row r="5013" spans="41:48" x14ac:dyDescent="0.35">
      <c r="AO5013"/>
      <c r="AP5013"/>
      <c r="AQ5013"/>
      <c r="AR5013"/>
      <c r="AS5013"/>
      <c r="AT5013"/>
      <c r="AU5013"/>
      <c r="AV5013"/>
    </row>
    <row r="5014" spans="41:48" x14ac:dyDescent="0.35">
      <c r="AO5014"/>
      <c r="AP5014"/>
      <c r="AQ5014"/>
      <c r="AR5014"/>
      <c r="AS5014"/>
      <c r="AT5014"/>
      <c r="AU5014"/>
      <c r="AV5014"/>
    </row>
    <row r="5015" spans="41:48" x14ac:dyDescent="0.35">
      <c r="AO5015"/>
      <c r="AP5015"/>
      <c r="AQ5015"/>
      <c r="AR5015"/>
      <c r="AS5015"/>
      <c r="AT5015"/>
      <c r="AU5015"/>
      <c r="AV5015"/>
    </row>
    <row r="5016" spans="41:48" x14ac:dyDescent="0.35">
      <c r="AO5016"/>
      <c r="AP5016"/>
      <c r="AQ5016"/>
      <c r="AR5016"/>
      <c r="AS5016"/>
      <c r="AT5016"/>
      <c r="AU5016"/>
      <c r="AV5016"/>
    </row>
    <row r="5017" spans="41:48" x14ac:dyDescent="0.35">
      <c r="AO5017"/>
      <c r="AP5017"/>
      <c r="AQ5017"/>
      <c r="AR5017"/>
      <c r="AS5017"/>
      <c r="AT5017"/>
      <c r="AU5017"/>
      <c r="AV5017"/>
    </row>
    <row r="5018" spans="41:48" x14ac:dyDescent="0.35">
      <c r="AO5018"/>
      <c r="AP5018"/>
      <c r="AQ5018"/>
      <c r="AR5018"/>
      <c r="AS5018"/>
      <c r="AT5018"/>
      <c r="AU5018"/>
      <c r="AV5018"/>
    </row>
    <row r="5019" spans="41:48" x14ac:dyDescent="0.35">
      <c r="AO5019"/>
      <c r="AP5019"/>
      <c r="AQ5019"/>
      <c r="AR5019"/>
      <c r="AS5019"/>
      <c r="AT5019"/>
      <c r="AU5019"/>
      <c r="AV5019"/>
    </row>
    <row r="5020" spans="41:48" x14ac:dyDescent="0.35">
      <c r="AO5020"/>
      <c r="AP5020"/>
      <c r="AQ5020"/>
      <c r="AR5020"/>
      <c r="AS5020"/>
      <c r="AT5020"/>
      <c r="AU5020"/>
      <c r="AV5020"/>
    </row>
    <row r="5021" spans="41:48" x14ac:dyDescent="0.35">
      <c r="AO5021"/>
      <c r="AP5021"/>
      <c r="AQ5021"/>
      <c r="AR5021"/>
      <c r="AS5021"/>
      <c r="AT5021"/>
      <c r="AU5021"/>
      <c r="AV5021"/>
    </row>
    <row r="5022" spans="41:48" x14ac:dyDescent="0.35">
      <c r="AO5022"/>
      <c r="AP5022"/>
      <c r="AQ5022"/>
      <c r="AR5022"/>
      <c r="AS5022"/>
      <c r="AT5022"/>
      <c r="AU5022"/>
      <c r="AV5022"/>
    </row>
    <row r="5023" spans="41:48" x14ac:dyDescent="0.35">
      <c r="AO5023"/>
      <c r="AP5023"/>
      <c r="AQ5023"/>
      <c r="AR5023"/>
      <c r="AS5023"/>
      <c r="AT5023"/>
      <c r="AU5023"/>
      <c r="AV5023"/>
    </row>
    <row r="5024" spans="41:48" x14ac:dyDescent="0.35">
      <c r="AO5024"/>
      <c r="AP5024"/>
      <c r="AQ5024"/>
      <c r="AR5024"/>
      <c r="AS5024"/>
      <c r="AT5024"/>
      <c r="AU5024"/>
      <c r="AV5024"/>
    </row>
    <row r="5025" spans="41:48" x14ac:dyDescent="0.35">
      <c r="AO5025"/>
      <c r="AP5025"/>
      <c r="AQ5025"/>
      <c r="AR5025"/>
      <c r="AS5025"/>
      <c r="AT5025"/>
      <c r="AU5025"/>
      <c r="AV5025"/>
    </row>
    <row r="5026" spans="41:48" x14ac:dyDescent="0.35">
      <c r="AO5026"/>
      <c r="AP5026"/>
      <c r="AQ5026"/>
      <c r="AR5026"/>
      <c r="AS5026"/>
      <c r="AT5026"/>
      <c r="AU5026"/>
      <c r="AV5026"/>
    </row>
    <row r="5027" spans="41:48" x14ac:dyDescent="0.35">
      <c r="AO5027"/>
      <c r="AP5027"/>
      <c r="AQ5027"/>
      <c r="AR5027"/>
      <c r="AS5027"/>
      <c r="AT5027"/>
      <c r="AU5027"/>
      <c r="AV5027"/>
    </row>
    <row r="5028" spans="41:48" x14ac:dyDescent="0.35">
      <c r="AO5028"/>
      <c r="AP5028"/>
      <c r="AQ5028"/>
      <c r="AR5028"/>
      <c r="AS5028"/>
      <c r="AT5028"/>
      <c r="AU5028"/>
      <c r="AV5028"/>
    </row>
    <row r="5029" spans="41:48" x14ac:dyDescent="0.35">
      <c r="AO5029"/>
      <c r="AP5029"/>
      <c r="AQ5029"/>
      <c r="AR5029"/>
      <c r="AS5029"/>
      <c r="AT5029"/>
      <c r="AU5029"/>
      <c r="AV5029"/>
    </row>
    <row r="5030" spans="41:48" x14ac:dyDescent="0.35">
      <c r="AO5030"/>
      <c r="AP5030"/>
      <c r="AQ5030"/>
      <c r="AR5030"/>
      <c r="AS5030"/>
      <c r="AT5030"/>
      <c r="AU5030"/>
      <c r="AV5030"/>
    </row>
    <row r="5031" spans="41:48" x14ac:dyDescent="0.35">
      <c r="AO5031"/>
      <c r="AP5031"/>
      <c r="AQ5031"/>
      <c r="AR5031"/>
      <c r="AS5031"/>
      <c r="AT5031"/>
      <c r="AU5031"/>
      <c r="AV5031"/>
    </row>
    <row r="5032" spans="41:48" x14ac:dyDescent="0.35">
      <c r="AO5032"/>
      <c r="AP5032"/>
      <c r="AQ5032"/>
      <c r="AR5032"/>
      <c r="AS5032"/>
      <c r="AT5032"/>
      <c r="AU5032"/>
      <c r="AV5032"/>
    </row>
    <row r="5033" spans="41:48" x14ac:dyDescent="0.35">
      <c r="AO5033"/>
      <c r="AP5033"/>
      <c r="AQ5033"/>
      <c r="AR5033"/>
      <c r="AS5033"/>
      <c r="AT5033"/>
      <c r="AU5033"/>
      <c r="AV5033"/>
    </row>
    <row r="5034" spans="41:48" x14ac:dyDescent="0.35">
      <c r="AO5034"/>
      <c r="AP5034"/>
      <c r="AQ5034"/>
      <c r="AR5034"/>
      <c r="AS5034"/>
      <c r="AT5034"/>
      <c r="AU5034"/>
      <c r="AV5034"/>
    </row>
    <row r="5035" spans="41:48" x14ac:dyDescent="0.35">
      <c r="AO5035"/>
      <c r="AP5035"/>
      <c r="AQ5035"/>
      <c r="AR5035"/>
      <c r="AS5035"/>
      <c r="AT5035"/>
      <c r="AU5035"/>
      <c r="AV5035"/>
    </row>
    <row r="5036" spans="41:48" x14ac:dyDescent="0.35">
      <c r="AO5036"/>
      <c r="AP5036"/>
      <c r="AQ5036"/>
      <c r="AR5036"/>
      <c r="AS5036"/>
      <c r="AT5036"/>
      <c r="AU5036"/>
      <c r="AV5036"/>
    </row>
    <row r="5037" spans="41:48" x14ac:dyDescent="0.35">
      <c r="AO5037"/>
      <c r="AP5037"/>
      <c r="AQ5037"/>
      <c r="AR5037"/>
      <c r="AS5037"/>
      <c r="AT5037"/>
      <c r="AU5037"/>
      <c r="AV5037"/>
    </row>
    <row r="5038" spans="41:48" x14ac:dyDescent="0.35">
      <c r="AO5038"/>
      <c r="AP5038"/>
      <c r="AQ5038"/>
      <c r="AR5038"/>
      <c r="AS5038"/>
      <c r="AT5038"/>
      <c r="AU5038"/>
      <c r="AV5038"/>
    </row>
    <row r="5039" spans="41:48" x14ac:dyDescent="0.35">
      <c r="AO5039"/>
      <c r="AP5039"/>
      <c r="AQ5039"/>
      <c r="AR5039"/>
      <c r="AS5039"/>
      <c r="AT5039"/>
      <c r="AU5039"/>
      <c r="AV5039"/>
    </row>
    <row r="5040" spans="41:48" x14ac:dyDescent="0.35">
      <c r="AO5040"/>
      <c r="AP5040"/>
      <c r="AQ5040"/>
      <c r="AR5040"/>
      <c r="AS5040"/>
      <c r="AT5040"/>
      <c r="AU5040"/>
      <c r="AV5040"/>
    </row>
    <row r="5041" spans="41:48" x14ac:dyDescent="0.35">
      <c r="AO5041"/>
      <c r="AP5041"/>
      <c r="AQ5041"/>
      <c r="AR5041"/>
      <c r="AS5041"/>
      <c r="AT5041"/>
      <c r="AU5041"/>
      <c r="AV5041"/>
    </row>
    <row r="5042" spans="41:48" x14ac:dyDescent="0.35">
      <c r="AO5042"/>
      <c r="AP5042"/>
      <c r="AQ5042"/>
      <c r="AR5042"/>
      <c r="AS5042"/>
      <c r="AT5042"/>
      <c r="AU5042"/>
      <c r="AV5042"/>
    </row>
    <row r="5043" spans="41:48" x14ac:dyDescent="0.35">
      <c r="AO5043"/>
      <c r="AP5043"/>
      <c r="AQ5043"/>
      <c r="AR5043"/>
      <c r="AS5043"/>
      <c r="AT5043"/>
      <c r="AU5043"/>
      <c r="AV5043"/>
    </row>
    <row r="5044" spans="41:48" x14ac:dyDescent="0.35">
      <c r="AO5044"/>
      <c r="AP5044"/>
      <c r="AQ5044"/>
      <c r="AR5044"/>
      <c r="AS5044"/>
      <c r="AT5044"/>
      <c r="AU5044"/>
      <c r="AV5044"/>
    </row>
    <row r="5045" spans="41:48" x14ac:dyDescent="0.35">
      <c r="AO5045"/>
      <c r="AP5045"/>
      <c r="AQ5045"/>
      <c r="AR5045"/>
      <c r="AS5045"/>
      <c r="AT5045"/>
      <c r="AU5045"/>
      <c r="AV5045"/>
    </row>
    <row r="5046" spans="41:48" x14ac:dyDescent="0.35">
      <c r="AO5046"/>
      <c r="AP5046"/>
      <c r="AQ5046"/>
      <c r="AR5046"/>
      <c r="AS5046"/>
      <c r="AT5046"/>
      <c r="AU5046"/>
      <c r="AV5046"/>
    </row>
    <row r="5047" spans="41:48" x14ac:dyDescent="0.35">
      <c r="AO5047"/>
      <c r="AP5047"/>
      <c r="AQ5047"/>
      <c r="AR5047"/>
      <c r="AS5047"/>
      <c r="AT5047"/>
      <c r="AU5047"/>
      <c r="AV5047"/>
    </row>
    <row r="5048" spans="41:48" x14ac:dyDescent="0.35">
      <c r="AO5048"/>
      <c r="AP5048"/>
      <c r="AQ5048"/>
      <c r="AR5048"/>
      <c r="AS5048"/>
      <c r="AT5048"/>
      <c r="AU5048"/>
      <c r="AV5048"/>
    </row>
    <row r="5049" spans="41:48" x14ac:dyDescent="0.35">
      <c r="AO5049"/>
      <c r="AP5049"/>
      <c r="AQ5049"/>
      <c r="AR5049"/>
      <c r="AS5049"/>
      <c r="AT5049"/>
      <c r="AU5049"/>
      <c r="AV5049"/>
    </row>
    <row r="5050" spans="41:48" x14ac:dyDescent="0.35">
      <c r="AO5050"/>
      <c r="AP5050"/>
      <c r="AQ5050"/>
      <c r="AR5050"/>
      <c r="AS5050"/>
      <c r="AT5050"/>
      <c r="AU5050"/>
      <c r="AV5050"/>
    </row>
    <row r="5051" spans="41:48" x14ac:dyDescent="0.35">
      <c r="AO5051"/>
      <c r="AP5051"/>
      <c r="AQ5051"/>
      <c r="AR5051"/>
      <c r="AS5051"/>
      <c r="AT5051"/>
      <c r="AU5051"/>
      <c r="AV5051"/>
    </row>
    <row r="5052" spans="41:48" x14ac:dyDescent="0.35">
      <c r="AO5052"/>
      <c r="AP5052"/>
      <c r="AQ5052"/>
      <c r="AR5052"/>
      <c r="AS5052"/>
      <c r="AT5052"/>
      <c r="AU5052"/>
      <c r="AV5052"/>
    </row>
    <row r="5053" spans="41:48" x14ac:dyDescent="0.35">
      <c r="AO5053"/>
      <c r="AP5053"/>
      <c r="AQ5053"/>
      <c r="AR5053"/>
      <c r="AS5053"/>
      <c r="AT5053"/>
      <c r="AU5053"/>
      <c r="AV5053"/>
    </row>
    <row r="5054" spans="41:48" x14ac:dyDescent="0.35">
      <c r="AO5054"/>
      <c r="AP5054"/>
      <c r="AQ5054"/>
      <c r="AR5054"/>
      <c r="AS5054"/>
      <c r="AT5054"/>
      <c r="AU5054"/>
      <c r="AV5054"/>
    </row>
    <row r="5055" spans="41:48" x14ac:dyDescent="0.35">
      <c r="AO5055"/>
      <c r="AP5055"/>
      <c r="AQ5055"/>
      <c r="AR5055"/>
      <c r="AS5055"/>
      <c r="AT5055"/>
      <c r="AU5055"/>
      <c r="AV5055"/>
    </row>
    <row r="5056" spans="41:48" x14ac:dyDescent="0.35">
      <c r="AO5056"/>
      <c r="AP5056"/>
      <c r="AQ5056"/>
      <c r="AR5056"/>
      <c r="AS5056"/>
      <c r="AT5056"/>
      <c r="AU5056"/>
      <c r="AV5056"/>
    </row>
    <row r="5057" spans="41:48" x14ac:dyDescent="0.35">
      <c r="AO5057"/>
      <c r="AP5057"/>
      <c r="AQ5057"/>
      <c r="AR5057"/>
      <c r="AS5057"/>
      <c r="AT5057"/>
      <c r="AU5057"/>
      <c r="AV5057"/>
    </row>
    <row r="5058" spans="41:48" x14ac:dyDescent="0.35">
      <c r="AO5058"/>
      <c r="AP5058"/>
      <c r="AQ5058"/>
      <c r="AR5058"/>
      <c r="AS5058"/>
      <c r="AT5058"/>
      <c r="AU5058"/>
      <c r="AV5058"/>
    </row>
    <row r="5059" spans="41:48" x14ac:dyDescent="0.35">
      <c r="AO5059"/>
      <c r="AP5059"/>
      <c r="AQ5059"/>
      <c r="AR5059"/>
      <c r="AS5059"/>
      <c r="AT5059"/>
      <c r="AU5059"/>
      <c r="AV5059"/>
    </row>
    <row r="5060" spans="41:48" x14ac:dyDescent="0.35">
      <c r="AO5060"/>
      <c r="AP5060"/>
      <c r="AQ5060"/>
      <c r="AR5060"/>
      <c r="AS5060"/>
      <c r="AT5060"/>
      <c r="AU5060"/>
      <c r="AV5060"/>
    </row>
    <row r="5061" spans="41:48" x14ac:dyDescent="0.35">
      <c r="AO5061"/>
      <c r="AP5061"/>
      <c r="AQ5061"/>
      <c r="AR5061"/>
      <c r="AS5061"/>
      <c r="AT5061"/>
      <c r="AU5061"/>
      <c r="AV5061"/>
    </row>
    <row r="5062" spans="41:48" x14ac:dyDescent="0.35">
      <c r="AO5062"/>
      <c r="AP5062"/>
      <c r="AQ5062"/>
      <c r="AR5062"/>
      <c r="AS5062"/>
      <c r="AT5062"/>
      <c r="AU5062"/>
      <c r="AV5062"/>
    </row>
    <row r="5063" spans="41:48" x14ac:dyDescent="0.35">
      <c r="AO5063"/>
      <c r="AP5063"/>
      <c r="AQ5063"/>
      <c r="AR5063"/>
      <c r="AS5063"/>
      <c r="AT5063"/>
      <c r="AU5063"/>
      <c r="AV5063"/>
    </row>
    <row r="5064" spans="41:48" x14ac:dyDescent="0.35">
      <c r="AO5064"/>
      <c r="AP5064"/>
      <c r="AQ5064"/>
      <c r="AR5064"/>
      <c r="AS5064"/>
      <c r="AT5064"/>
      <c r="AU5064"/>
      <c r="AV5064"/>
    </row>
    <row r="5065" spans="41:48" x14ac:dyDescent="0.35">
      <c r="AO5065"/>
      <c r="AP5065"/>
      <c r="AQ5065"/>
      <c r="AR5065"/>
      <c r="AS5065"/>
      <c r="AT5065"/>
      <c r="AU5065"/>
      <c r="AV5065"/>
    </row>
    <row r="5066" spans="41:48" x14ac:dyDescent="0.35">
      <c r="AO5066"/>
      <c r="AP5066"/>
      <c r="AQ5066"/>
      <c r="AR5066"/>
      <c r="AS5066"/>
      <c r="AT5066"/>
      <c r="AU5066"/>
      <c r="AV5066"/>
    </row>
    <row r="5067" spans="41:48" x14ac:dyDescent="0.35">
      <c r="AO5067"/>
      <c r="AP5067"/>
      <c r="AQ5067"/>
      <c r="AR5067"/>
      <c r="AS5067"/>
      <c r="AT5067"/>
      <c r="AU5067"/>
      <c r="AV5067"/>
    </row>
    <row r="5068" spans="41:48" x14ac:dyDescent="0.35">
      <c r="AO5068"/>
      <c r="AP5068"/>
      <c r="AQ5068"/>
      <c r="AR5068"/>
      <c r="AS5068"/>
      <c r="AT5068"/>
      <c r="AU5068"/>
      <c r="AV5068"/>
    </row>
    <row r="5069" spans="41:48" x14ac:dyDescent="0.35">
      <c r="AO5069"/>
      <c r="AP5069"/>
      <c r="AQ5069"/>
      <c r="AR5069"/>
      <c r="AS5069"/>
      <c r="AT5069"/>
      <c r="AU5069"/>
      <c r="AV5069"/>
    </row>
    <row r="5070" spans="41:48" x14ac:dyDescent="0.35">
      <c r="AO5070"/>
      <c r="AP5070"/>
      <c r="AQ5070"/>
      <c r="AR5070"/>
      <c r="AS5070"/>
      <c r="AT5070"/>
      <c r="AU5070"/>
      <c r="AV5070"/>
    </row>
    <row r="5071" spans="41:48" x14ac:dyDescent="0.35">
      <c r="AO5071"/>
      <c r="AP5071"/>
      <c r="AQ5071"/>
      <c r="AR5071"/>
      <c r="AS5071"/>
      <c r="AT5071"/>
      <c r="AU5071"/>
      <c r="AV5071"/>
    </row>
    <row r="5072" spans="41:48" x14ac:dyDescent="0.35">
      <c r="AO5072"/>
      <c r="AP5072"/>
      <c r="AQ5072"/>
      <c r="AR5072"/>
      <c r="AS5072"/>
      <c r="AT5072"/>
      <c r="AU5072"/>
      <c r="AV5072"/>
    </row>
    <row r="5073" spans="41:48" x14ac:dyDescent="0.35">
      <c r="AO5073"/>
      <c r="AP5073"/>
      <c r="AQ5073"/>
      <c r="AR5073"/>
      <c r="AS5073"/>
      <c r="AT5073"/>
      <c r="AU5073"/>
      <c r="AV5073"/>
    </row>
    <row r="5074" spans="41:48" x14ac:dyDescent="0.35">
      <c r="AO5074"/>
      <c r="AP5074"/>
      <c r="AQ5074"/>
      <c r="AR5074"/>
      <c r="AS5074"/>
      <c r="AT5074"/>
      <c r="AU5074"/>
      <c r="AV5074"/>
    </row>
    <row r="5075" spans="41:48" x14ac:dyDescent="0.35">
      <c r="AO5075"/>
      <c r="AP5075"/>
      <c r="AQ5075"/>
      <c r="AR5075"/>
      <c r="AS5075"/>
      <c r="AT5075"/>
      <c r="AU5075"/>
      <c r="AV5075"/>
    </row>
    <row r="5076" spans="41:48" x14ac:dyDescent="0.35">
      <c r="AO5076"/>
      <c r="AP5076"/>
      <c r="AQ5076"/>
      <c r="AR5076"/>
      <c r="AS5076"/>
      <c r="AT5076"/>
      <c r="AU5076"/>
      <c r="AV5076"/>
    </row>
    <row r="5077" spans="41:48" x14ac:dyDescent="0.35">
      <c r="AO5077"/>
      <c r="AP5077"/>
      <c r="AQ5077"/>
      <c r="AR5077"/>
      <c r="AS5077"/>
      <c r="AT5077"/>
      <c r="AU5077"/>
      <c r="AV5077"/>
    </row>
    <row r="5078" spans="41:48" x14ac:dyDescent="0.35">
      <c r="AO5078"/>
      <c r="AP5078"/>
      <c r="AQ5078"/>
      <c r="AR5078"/>
      <c r="AS5078"/>
      <c r="AT5078"/>
      <c r="AU5078"/>
      <c r="AV5078"/>
    </row>
    <row r="5079" spans="41:48" x14ac:dyDescent="0.35">
      <c r="AO5079"/>
      <c r="AP5079"/>
      <c r="AQ5079"/>
      <c r="AR5079"/>
      <c r="AS5079"/>
      <c r="AT5079"/>
      <c r="AU5079"/>
      <c r="AV5079"/>
    </row>
    <row r="5080" spans="41:48" x14ac:dyDescent="0.35">
      <c r="AO5080"/>
      <c r="AP5080"/>
      <c r="AQ5080"/>
      <c r="AR5080"/>
      <c r="AS5080"/>
      <c r="AT5080"/>
      <c r="AU5080"/>
      <c r="AV5080"/>
    </row>
    <row r="5081" spans="41:48" x14ac:dyDescent="0.35">
      <c r="AO5081"/>
      <c r="AP5081"/>
      <c r="AQ5081"/>
      <c r="AR5081"/>
      <c r="AS5081"/>
      <c r="AT5081"/>
      <c r="AU5081"/>
      <c r="AV5081"/>
    </row>
    <row r="5082" spans="41:48" x14ac:dyDescent="0.35">
      <c r="AO5082"/>
      <c r="AP5082"/>
      <c r="AQ5082"/>
      <c r="AR5082"/>
      <c r="AS5082"/>
      <c r="AT5082"/>
      <c r="AU5082"/>
      <c r="AV5082"/>
    </row>
    <row r="5083" spans="41:48" x14ac:dyDescent="0.35">
      <c r="AO5083"/>
      <c r="AP5083"/>
      <c r="AQ5083"/>
      <c r="AR5083"/>
      <c r="AS5083"/>
      <c r="AT5083"/>
      <c r="AU5083"/>
      <c r="AV5083"/>
    </row>
    <row r="5084" spans="41:48" x14ac:dyDescent="0.35">
      <c r="AO5084"/>
      <c r="AP5084"/>
      <c r="AQ5084"/>
      <c r="AR5084"/>
      <c r="AS5084"/>
      <c r="AT5084"/>
      <c r="AU5084"/>
      <c r="AV5084"/>
    </row>
    <row r="5085" spans="41:48" x14ac:dyDescent="0.35">
      <c r="AO5085"/>
      <c r="AP5085"/>
      <c r="AQ5085"/>
      <c r="AR5085"/>
      <c r="AS5085"/>
      <c r="AT5085"/>
      <c r="AU5085"/>
      <c r="AV5085"/>
    </row>
    <row r="5086" spans="41:48" x14ac:dyDescent="0.35">
      <c r="AO5086"/>
      <c r="AP5086"/>
      <c r="AQ5086"/>
      <c r="AR5086"/>
      <c r="AS5086"/>
      <c r="AT5086"/>
      <c r="AU5086"/>
      <c r="AV5086"/>
    </row>
    <row r="5087" spans="41:48" x14ac:dyDescent="0.35">
      <c r="AO5087"/>
      <c r="AP5087"/>
      <c r="AQ5087"/>
      <c r="AR5087"/>
      <c r="AS5087"/>
      <c r="AT5087"/>
      <c r="AU5087"/>
      <c r="AV5087"/>
    </row>
    <row r="5088" spans="41:48" x14ac:dyDescent="0.35">
      <c r="AO5088"/>
      <c r="AP5088"/>
      <c r="AQ5088"/>
      <c r="AR5088"/>
      <c r="AS5088"/>
      <c r="AT5088"/>
      <c r="AU5088"/>
      <c r="AV5088"/>
    </row>
    <row r="5089" spans="41:48" x14ac:dyDescent="0.35">
      <c r="AO5089"/>
      <c r="AP5089"/>
      <c r="AQ5089"/>
      <c r="AR5089"/>
      <c r="AS5089"/>
      <c r="AT5089"/>
      <c r="AU5089"/>
      <c r="AV5089"/>
    </row>
    <row r="5090" spans="41:48" x14ac:dyDescent="0.35">
      <c r="AO5090"/>
      <c r="AP5090"/>
      <c r="AQ5090"/>
      <c r="AR5090"/>
      <c r="AS5090"/>
      <c r="AT5090"/>
      <c r="AU5090"/>
      <c r="AV5090"/>
    </row>
    <row r="5091" spans="41:48" x14ac:dyDescent="0.35">
      <c r="AO5091"/>
      <c r="AP5091"/>
      <c r="AQ5091"/>
      <c r="AR5091"/>
      <c r="AS5091"/>
      <c r="AT5091"/>
      <c r="AU5091"/>
      <c r="AV5091"/>
    </row>
    <row r="5092" spans="41:48" x14ac:dyDescent="0.35">
      <c r="AO5092"/>
      <c r="AP5092"/>
      <c r="AQ5092"/>
      <c r="AR5092"/>
      <c r="AS5092"/>
      <c r="AT5092"/>
      <c r="AU5092"/>
      <c r="AV5092"/>
    </row>
    <row r="5093" spans="41:48" x14ac:dyDescent="0.35">
      <c r="AO5093"/>
      <c r="AP5093"/>
      <c r="AQ5093"/>
      <c r="AR5093"/>
      <c r="AS5093"/>
      <c r="AT5093"/>
      <c r="AU5093"/>
      <c r="AV5093"/>
    </row>
    <row r="5094" spans="41:48" x14ac:dyDescent="0.35">
      <c r="AO5094"/>
      <c r="AP5094"/>
      <c r="AQ5094"/>
      <c r="AR5094"/>
      <c r="AS5094"/>
      <c r="AT5094"/>
      <c r="AU5094"/>
      <c r="AV5094"/>
    </row>
    <row r="5095" spans="41:48" x14ac:dyDescent="0.35">
      <c r="AO5095"/>
      <c r="AP5095"/>
      <c r="AQ5095"/>
      <c r="AR5095"/>
      <c r="AS5095"/>
      <c r="AT5095"/>
      <c r="AU5095"/>
      <c r="AV5095"/>
    </row>
    <row r="5096" spans="41:48" x14ac:dyDescent="0.35">
      <c r="AO5096"/>
      <c r="AP5096"/>
      <c r="AQ5096"/>
      <c r="AR5096"/>
      <c r="AS5096"/>
      <c r="AT5096"/>
      <c r="AU5096"/>
      <c r="AV5096"/>
    </row>
    <row r="5097" spans="41:48" x14ac:dyDescent="0.35">
      <c r="AO5097"/>
      <c r="AP5097"/>
      <c r="AQ5097"/>
      <c r="AR5097"/>
      <c r="AS5097"/>
      <c r="AT5097"/>
      <c r="AU5097"/>
      <c r="AV5097"/>
    </row>
    <row r="5098" spans="41:48" x14ac:dyDescent="0.35">
      <c r="AO5098"/>
      <c r="AP5098"/>
      <c r="AQ5098"/>
      <c r="AR5098"/>
      <c r="AS5098"/>
      <c r="AT5098"/>
      <c r="AU5098"/>
      <c r="AV5098"/>
    </row>
    <row r="5099" spans="41:48" x14ac:dyDescent="0.35">
      <c r="AO5099"/>
      <c r="AP5099"/>
      <c r="AQ5099"/>
      <c r="AR5099"/>
      <c r="AS5099"/>
      <c r="AT5099"/>
      <c r="AU5099"/>
      <c r="AV5099"/>
    </row>
    <row r="5100" spans="41:48" x14ac:dyDescent="0.35">
      <c r="AO5100"/>
      <c r="AP5100"/>
      <c r="AQ5100"/>
      <c r="AR5100"/>
      <c r="AS5100"/>
      <c r="AT5100"/>
      <c r="AU5100"/>
      <c r="AV5100"/>
    </row>
    <row r="5101" spans="41:48" x14ac:dyDescent="0.35">
      <c r="AO5101"/>
      <c r="AP5101"/>
      <c r="AQ5101"/>
      <c r="AR5101"/>
      <c r="AS5101"/>
      <c r="AT5101"/>
      <c r="AU5101"/>
      <c r="AV5101"/>
    </row>
    <row r="5102" spans="41:48" x14ac:dyDescent="0.35">
      <c r="AO5102"/>
      <c r="AP5102"/>
      <c r="AQ5102"/>
      <c r="AR5102"/>
      <c r="AS5102"/>
      <c r="AT5102"/>
      <c r="AU5102"/>
      <c r="AV5102"/>
    </row>
    <row r="5103" spans="41:48" x14ac:dyDescent="0.35">
      <c r="AO5103"/>
      <c r="AP5103"/>
      <c r="AQ5103"/>
      <c r="AR5103"/>
      <c r="AS5103"/>
      <c r="AT5103"/>
      <c r="AU5103"/>
      <c r="AV5103"/>
    </row>
    <row r="5104" spans="41:48" x14ac:dyDescent="0.35">
      <c r="AO5104"/>
      <c r="AP5104"/>
      <c r="AQ5104"/>
      <c r="AR5104"/>
      <c r="AS5104"/>
      <c r="AT5104"/>
      <c r="AU5104"/>
      <c r="AV5104"/>
    </row>
    <row r="5105" spans="41:48" x14ac:dyDescent="0.35">
      <c r="AO5105"/>
      <c r="AP5105"/>
      <c r="AQ5105"/>
      <c r="AR5105"/>
      <c r="AS5105"/>
      <c r="AT5105"/>
      <c r="AU5105"/>
      <c r="AV5105"/>
    </row>
    <row r="5106" spans="41:48" x14ac:dyDescent="0.35">
      <c r="AO5106"/>
      <c r="AP5106"/>
      <c r="AQ5106"/>
      <c r="AR5106"/>
      <c r="AS5106"/>
      <c r="AT5106"/>
      <c r="AU5106"/>
      <c r="AV5106"/>
    </row>
    <row r="5107" spans="41:48" x14ac:dyDescent="0.35">
      <c r="AO5107"/>
      <c r="AP5107"/>
      <c r="AQ5107"/>
      <c r="AR5107"/>
      <c r="AS5107"/>
      <c r="AT5107"/>
      <c r="AU5107"/>
      <c r="AV5107"/>
    </row>
    <row r="5108" spans="41:48" x14ac:dyDescent="0.35">
      <c r="AO5108"/>
      <c r="AP5108"/>
      <c r="AQ5108"/>
      <c r="AR5108"/>
      <c r="AS5108"/>
      <c r="AT5108"/>
      <c r="AU5108"/>
      <c r="AV5108"/>
    </row>
    <row r="5109" spans="41:48" x14ac:dyDescent="0.35">
      <c r="AO5109"/>
      <c r="AP5109"/>
      <c r="AQ5109"/>
      <c r="AR5109"/>
      <c r="AS5109"/>
      <c r="AT5109"/>
      <c r="AU5109"/>
      <c r="AV5109"/>
    </row>
    <row r="5110" spans="41:48" x14ac:dyDescent="0.35">
      <c r="AO5110"/>
      <c r="AP5110"/>
      <c r="AQ5110"/>
      <c r="AR5110"/>
      <c r="AS5110"/>
      <c r="AT5110"/>
      <c r="AU5110"/>
      <c r="AV5110"/>
    </row>
    <row r="5111" spans="41:48" x14ac:dyDescent="0.35">
      <c r="AO5111"/>
      <c r="AP5111"/>
      <c r="AQ5111"/>
      <c r="AR5111"/>
      <c r="AS5111"/>
      <c r="AT5111"/>
      <c r="AU5111"/>
      <c r="AV5111"/>
    </row>
    <row r="5112" spans="41:48" x14ac:dyDescent="0.35">
      <c r="AO5112"/>
      <c r="AP5112"/>
      <c r="AQ5112"/>
      <c r="AR5112"/>
      <c r="AS5112"/>
      <c r="AT5112"/>
      <c r="AU5112"/>
      <c r="AV5112"/>
    </row>
    <row r="5113" spans="41:48" x14ac:dyDescent="0.35">
      <c r="AO5113"/>
      <c r="AP5113"/>
      <c r="AQ5113"/>
      <c r="AR5113"/>
      <c r="AS5113"/>
      <c r="AT5113"/>
      <c r="AU5113"/>
      <c r="AV5113"/>
    </row>
    <row r="5114" spans="41:48" x14ac:dyDescent="0.35">
      <c r="AO5114"/>
      <c r="AP5114"/>
      <c r="AQ5114"/>
      <c r="AR5114"/>
      <c r="AS5114"/>
      <c r="AT5114"/>
      <c r="AU5114"/>
      <c r="AV5114"/>
    </row>
    <row r="5115" spans="41:48" x14ac:dyDescent="0.35">
      <c r="AO5115"/>
      <c r="AP5115"/>
      <c r="AQ5115"/>
      <c r="AR5115"/>
      <c r="AS5115"/>
      <c r="AT5115"/>
      <c r="AU5115"/>
      <c r="AV5115"/>
    </row>
    <row r="5116" spans="41:48" x14ac:dyDescent="0.35">
      <c r="AO5116"/>
      <c r="AP5116"/>
      <c r="AQ5116"/>
      <c r="AR5116"/>
      <c r="AS5116"/>
      <c r="AT5116"/>
      <c r="AU5116"/>
      <c r="AV5116"/>
    </row>
    <row r="5117" spans="41:48" x14ac:dyDescent="0.35">
      <c r="AO5117"/>
      <c r="AP5117"/>
      <c r="AQ5117"/>
      <c r="AR5117"/>
      <c r="AS5117"/>
      <c r="AT5117"/>
      <c r="AU5117"/>
      <c r="AV5117"/>
    </row>
    <row r="5118" spans="41:48" x14ac:dyDescent="0.35">
      <c r="AO5118"/>
      <c r="AP5118"/>
      <c r="AQ5118"/>
      <c r="AR5118"/>
      <c r="AS5118"/>
      <c r="AT5118"/>
      <c r="AU5118"/>
      <c r="AV5118"/>
    </row>
    <row r="5119" spans="41:48" x14ac:dyDescent="0.35">
      <c r="AO5119"/>
      <c r="AP5119"/>
      <c r="AQ5119"/>
      <c r="AR5119"/>
      <c r="AS5119"/>
      <c r="AT5119"/>
      <c r="AU5119"/>
      <c r="AV5119"/>
    </row>
    <row r="5120" spans="41:48" x14ac:dyDescent="0.35">
      <c r="AO5120"/>
      <c r="AP5120"/>
      <c r="AQ5120"/>
      <c r="AR5120"/>
      <c r="AS5120"/>
      <c r="AT5120"/>
      <c r="AU5120"/>
      <c r="AV5120"/>
    </row>
    <row r="5121" spans="41:48" x14ac:dyDescent="0.35">
      <c r="AO5121"/>
      <c r="AP5121"/>
      <c r="AQ5121"/>
      <c r="AR5121"/>
      <c r="AS5121"/>
      <c r="AT5121"/>
      <c r="AU5121"/>
      <c r="AV5121"/>
    </row>
    <row r="5122" spans="41:48" x14ac:dyDescent="0.35">
      <c r="AO5122"/>
      <c r="AP5122"/>
      <c r="AQ5122"/>
      <c r="AR5122"/>
      <c r="AS5122"/>
      <c r="AT5122"/>
      <c r="AU5122"/>
      <c r="AV5122"/>
    </row>
    <row r="5123" spans="41:48" x14ac:dyDescent="0.35">
      <c r="AO5123"/>
      <c r="AP5123"/>
      <c r="AQ5123"/>
      <c r="AR5123"/>
      <c r="AS5123"/>
      <c r="AT5123"/>
      <c r="AU5123"/>
      <c r="AV5123"/>
    </row>
    <row r="5124" spans="41:48" x14ac:dyDescent="0.35">
      <c r="AO5124"/>
      <c r="AP5124"/>
      <c r="AQ5124"/>
      <c r="AR5124"/>
      <c r="AS5124"/>
      <c r="AT5124"/>
      <c r="AU5124"/>
      <c r="AV5124"/>
    </row>
    <row r="5125" spans="41:48" x14ac:dyDescent="0.35">
      <c r="AO5125"/>
      <c r="AP5125"/>
      <c r="AQ5125"/>
      <c r="AR5125"/>
      <c r="AS5125"/>
      <c r="AT5125"/>
      <c r="AU5125"/>
      <c r="AV5125"/>
    </row>
    <row r="5126" spans="41:48" x14ac:dyDescent="0.35">
      <c r="AO5126"/>
      <c r="AP5126"/>
      <c r="AQ5126"/>
      <c r="AR5126"/>
      <c r="AS5126"/>
      <c r="AT5126"/>
      <c r="AU5126"/>
      <c r="AV5126"/>
    </row>
    <row r="5127" spans="41:48" x14ac:dyDescent="0.35">
      <c r="AO5127"/>
      <c r="AP5127"/>
      <c r="AQ5127"/>
      <c r="AR5127"/>
      <c r="AS5127"/>
      <c r="AT5127"/>
      <c r="AU5127"/>
      <c r="AV5127"/>
    </row>
    <row r="5128" spans="41:48" x14ac:dyDescent="0.35">
      <c r="AO5128"/>
      <c r="AP5128"/>
      <c r="AQ5128"/>
      <c r="AR5128"/>
      <c r="AS5128"/>
      <c r="AT5128"/>
      <c r="AU5128"/>
      <c r="AV5128"/>
    </row>
    <row r="5129" spans="41:48" x14ac:dyDescent="0.35">
      <c r="AO5129"/>
      <c r="AP5129"/>
      <c r="AQ5129"/>
      <c r="AR5129"/>
      <c r="AS5129"/>
      <c r="AT5129"/>
      <c r="AU5129"/>
      <c r="AV5129"/>
    </row>
    <row r="5130" spans="41:48" x14ac:dyDescent="0.35">
      <c r="AO5130"/>
      <c r="AP5130"/>
      <c r="AQ5130"/>
      <c r="AR5130"/>
      <c r="AS5130"/>
      <c r="AT5130"/>
      <c r="AU5130"/>
      <c r="AV5130"/>
    </row>
    <row r="5131" spans="41:48" x14ac:dyDescent="0.35">
      <c r="AO5131"/>
      <c r="AP5131"/>
      <c r="AQ5131"/>
      <c r="AR5131"/>
      <c r="AS5131"/>
      <c r="AT5131"/>
      <c r="AU5131"/>
      <c r="AV5131"/>
    </row>
    <row r="5132" spans="41:48" x14ac:dyDescent="0.35">
      <c r="AO5132"/>
      <c r="AP5132"/>
      <c r="AQ5132"/>
      <c r="AR5132"/>
      <c r="AS5132"/>
      <c r="AT5132"/>
      <c r="AU5132"/>
      <c r="AV5132"/>
    </row>
    <row r="5133" spans="41:48" x14ac:dyDescent="0.35">
      <c r="AO5133"/>
      <c r="AP5133"/>
      <c r="AQ5133"/>
      <c r="AR5133"/>
      <c r="AS5133"/>
      <c r="AT5133"/>
      <c r="AU5133"/>
      <c r="AV5133"/>
    </row>
    <row r="5134" spans="41:48" x14ac:dyDescent="0.35">
      <c r="AO5134"/>
      <c r="AP5134"/>
      <c r="AQ5134"/>
      <c r="AR5134"/>
      <c r="AS5134"/>
      <c r="AT5134"/>
      <c r="AU5134"/>
      <c r="AV5134"/>
    </row>
    <row r="5135" spans="41:48" x14ac:dyDescent="0.35">
      <c r="AO5135"/>
      <c r="AP5135"/>
      <c r="AQ5135"/>
      <c r="AR5135"/>
      <c r="AS5135"/>
      <c r="AT5135"/>
      <c r="AU5135"/>
      <c r="AV5135"/>
    </row>
    <row r="5136" spans="41:48" x14ac:dyDescent="0.35">
      <c r="AO5136"/>
      <c r="AP5136"/>
      <c r="AQ5136"/>
      <c r="AR5136"/>
      <c r="AS5136"/>
      <c r="AT5136"/>
      <c r="AU5136"/>
      <c r="AV5136"/>
    </row>
    <row r="5137" spans="41:48" x14ac:dyDescent="0.35">
      <c r="AO5137"/>
      <c r="AP5137"/>
      <c r="AQ5137"/>
      <c r="AR5137"/>
      <c r="AS5137"/>
      <c r="AT5137"/>
      <c r="AU5137"/>
      <c r="AV5137"/>
    </row>
    <row r="5138" spans="41:48" x14ac:dyDescent="0.35">
      <c r="AO5138"/>
      <c r="AP5138"/>
      <c r="AQ5138"/>
      <c r="AR5138"/>
      <c r="AS5138"/>
      <c r="AT5138"/>
      <c r="AU5138"/>
      <c r="AV5138"/>
    </row>
    <row r="5139" spans="41:48" x14ac:dyDescent="0.35">
      <c r="AO5139"/>
      <c r="AP5139"/>
      <c r="AQ5139"/>
      <c r="AR5139"/>
      <c r="AS5139"/>
      <c r="AT5139"/>
      <c r="AU5139"/>
      <c r="AV5139"/>
    </row>
    <row r="5140" spans="41:48" x14ac:dyDescent="0.35">
      <c r="AO5140"/>
      <c r="AP5140"/>
      <c r="AQ5140"/>
      <c r="AR5140"/>
      <c r="AS5140"/>
      <c r="AT5140"/>
      <c r="AU5140"/>
      <c r="AV5140"/>
    </row>
    <row r="5141" spans="41:48" x14ac:dyDescent="0.35">
      <c r="AO5141"/>
      <c r="AP5141"/>
      <c r="AQ5141"/>
      <c r="AR5141"/>
      <c r="AS5141"/>
      <c r="AT5141"/>
      <c r="AU5141"/>
      <c r="AV5141"/>
    </row>
    <row r="5142" spans="41:48" x14ac:dyDescent="0.35">
      <c r="AO5142"/>
      <c r="AP5142"/>
      <c r="AQ5142"/>
      <c r="AR5142"/>
      <c r="AS5142"/>
      <c r="AT5142"/>
      <c r="AU5142"/>
      <c r="AV5142"/>
    </row>
    <row r="5143" spans="41:48" x14ac:dyDescent="0.35">
      <c r="AO5143"/>
      <c r="AP5143"/>
      <c r="AQ5143"/>
      <c r="AR5143"/>
      <c r="AS5143"/>
      <c r="AT5143"/>
      <c r="AU5143"/>
      <c r="AV5143"/>
    </row>
    <row r="5144" spans="41:48" x14ac:dyDescent="0.35">
      <c r="AO5144"/>
      <c r="AP5144"/>
      <c r="AQ5144"/>
      <c r="AR5144"/>
      <c r="AS5144"/>
      <c r="AT5144"/>
      <c r="AU5144"/>
      <c r="AV5144"/>
    </row>
    <row r="5145" spans="41:48" x14ac:dyDescent="0.35">
      <c r="AO5145"/>
      <c r="AP5145"/>
      <c r="AQ5145"/>
      <c r="AR5145"/>
      <c r="AS5145"/>
      <c r="AT5145"/>
      <c r="AU5145"/>
      <c r="AV5145"/>
    </row>
    <row r="5146" spans="41:48" x14ac:dyDescent="0.35">
      <c r="AO5146"/>
      <c r="AP5146"/>
      <c r="AQ5146"/>
      <c r="AR5146"/>
      <c r="AS5146"/>
      <c r="AT5146"/>
      <c r="AU5146"/>
      <c r="AV5146"/>
    </row>
    <row r="5147" spans="41:48" x14ac:dyDescent="0.35">
      <c r="AO5147"/>
      <c r="AP5147"/>
      <c r="AQ5147"/>
      <c r="AR5147"/>
      <c r="AS5147"/>
      <c r="AT5147"/>
      <c r="AU5147"/>
      <c r="AV5147"/>
    </row>
    <row r="5148" spans="41:48" x14ac:dyDescent="0.35">
      <c r="AO5148"/>
      <c r="AP5148"/>
      <c r="AQ5148"/>
      <c r="AR5148"/>
      <c r="AS5148"/>
      <c r="AT5148"/>
      <c r="AU5148"/>
      <c r="AV5148"/>
    </row>
    <row r="5149" spans="41:48" x14ac:dyDescent="0.35">
      <c r="AO5149"/>
      <c r="AP5149"/>
      <c r="AQ5149"/>
      <c r="AR5149"/>
      <c r="AS5149"/>
      <c r="AT5149"/>
      <c r="AU5149"/>
      <c r="AV5149"/>
    </row>
    <row r="5150" spans="41:48" x14ac:dyDescent="0.35">
      <c r="AO5150"/>
      <c r="AP5150"/>
      <c r="AQ5150"/>
      <c r="AR5150"/>
      <c r="AS5150"/>
      <c r="AT5150"/>
      <c r="AU5150"/>
      <c r="AV5150"/>
    </row>
    <row r="5151" spans="41:48" x14ac:dyDescent="0.35">
      <c r="AO5151"/>
      <c r="AP5151"/>
      <c r="AQ5151"/>
      <c r="AR5151"/>
      <c r="AS5151"/>
      <c r="AT5151"/>
      <c r="AU5151"/>
      <c r="AV5151"/>
    </row>
    <row r="5152" spans="41:48" x14ac:dyDescent="0.35">
      <c r="AO5152"/>
      <c r="AP5152"/>
      <c r="AQ5152"/>
      <c r="AR5152"/>
      <c r="AS5152"/>
      <c r="AT5152"/>
      <c r="AU5152"/>
      <c r="AV5152"/>
    </row>
    <row r="5153" spans="41:48" x14ac:dyDescent="0.35">
      <c r="AO5153"/>
      <c r="AP5153"/>
      <c r="AQ5153"/>
      <c r="AR5153"/>
      <c r="AS5153"/>
      <c r="AT5153"/>
      <c r="AU5153"/>
      <c r="AV5153"/>
    </row>
    <row r="5154" spans="41:48" x14ac:dyDescent="0.35">
      <c r="AO5154"/>
      <c r="AP5154"/>
      <c r="AQ5154"/>
      <c r="AR5154"/>
      <c r="AS5154"/>
      <c r="AT5154"/>
      <c r="AU5154"/>
      <c r="AV5154"/>
    </row>
    <row r="5155" spans="41:48" x14ac:dyDescent="0.35">
      <c r="AO5155"/>
      <c r="AP5155"/>
      <c r="AQ5155"/>
      <c r="AR5155"/>
      <c r="AS5155"/>
      <c r="AT5155"/>
      <c r="AU5155"/>
      <c r="AV5155"/>
    </row>
    <row r="5156" spans="41:48" x14ac:dyDescent="0.35">
      <c r="AO5156"/>
      <c r="AP5156"/>
      <c r="AQ5156"/>
      <c r="AR5156"/>
      <c r="AS5156"/>
      <c r="AT5156"/>
      <c r="AU5156"/>
      <c r="AV5156"/>
    </row>
    <row r="5157" spans="41:48" x14ac:dyDescent="0.35">
      <c r="AO5157"/>
      <c r="AP5157"/>
      <c r="AQ5157"/>
      <c r="AR5157"/>
      <c r="AS5157"/>
      <c r="AT5157"/>
      <c r="AU5157"/>
      <c r="AV5157"/>
    </row>
    <row r="5158" spans="41:48" x14ac:dyDescent="0.35">
      <c r="AO5158"/>
      <c r="AP5158"/>
      <c r="AQ5158"/>
      <c r="AR5158"/>
      <c r="AS5158"/>
      <c r="AT5158"/>
      <c r="AU5158"/>
      <c r="AV5158"/>
    </row>
    <row r="5159" spans="41:48" x14ac:dyDescent="0.35">
      <c r="AO5159"/>
      <c r="AP5159"/>
      <c r="AQ5159"/>
      <c r="AR5159"/>
      <c r="AS5159"/>
      <c r="AT5159"/>
      <c r="AU5159"/>
      <c r="AV5159"/>
    </row>
    <row r="5160" spans="41:48" x14ac:dyDescent="0.35">
      <c r="AO5160"/>
      <c r="AP5160"/>
      <c r="AQ5160"/>
      <c r="AR5160"/>
      <c r="AS5160"/>
      <c r="AT5160"/>
      <c r="AU5160"/>
      <c r="AV5160"/>
    </row>
    <row r="5161" spans="41:48" x14ac:dyDescent="0.35">
      <c r="AO5161"/>
      <c r="AP5161"/>
      <c r="AQ5161"/>
      <c r="AR5161"/>
      <c r="AS5161"/>
      <c r="AT5161"/>
      <c r="AU5161"/>
      <c r="AV5161"/>
    </row>
    <row r="5162" spans="41:48" x14ac:dyDescent="0.35">
      <c r="AO5162"/>
      <c r="AP5162"/>
      <c r="AQ5162"/>
      <c r="AR5162"/>
      <c r="AS5162"/>
      <c r="AT5162"/>
      <c r="AU5162"/>
      <c r="AV5162"/>
    </row>
    <row r="5163" spans="41:48" x14ac:dyDescent="0.35">
      <c r="AO5163"/>
      <c r="AP5163"/>
      <c r="AQ5163"/>
      <c r="AR5163"/>
      <c r="AS5163"/>
      <c r="AT5163"/>
      <c r="AU5163"/>
      <c r="AV5163"/>
    </row>
    <row r="5164" spans="41:48" x14ac:dyDescent="0.35">
      <c r="AO5164"/>
      <c r="AP5164"/>
      <c r="AQ5164"/>
      <c r="AR5164"/>
      <c r="AS5164"/>
      <c r="AT5164"/>
      <c r="AU5164"/>
      <c r="AV5164"/>
    </row>
    <row r="5165" spans="41:48" x14ac:dyDescent="0.35">
      <c r="AO5165"/>
      <c r="AP5165"/>
      <c r="AQ5165"/>
      <c r="AR5165"/>
      <c r="AS5165"/>
      <c r="AT5165"/>
      <c r="AU5165"/>
      <c r="AV5165"/>
    </row>
    <row r="5166" spans="41:48" x14ac:dyDescent="0.35">
      <c r="AO5166"/>
      <c r="AP5166"/>
      <c r="AQ5166"/>
      <c r="AR5166"/>
      <c r="AS5166"/>
      <c r="AT5166"/>
      <c r="AU5166"/>
      <c r="AV5166"/>
    </row>
    <row r="5167" spans="41:48" x14ac:dyDescent="0.35">
      <c r="AO5167"/>
      <c r="AP5167"/>
      <c r="AQ5167"/>
      <c r="AR5167"/>
      <c r="AS5167"/>
      <c r="AT5167"/>
      <c r="AU5167"/>
      <c r="AV5167"/>
    </row>
    <row r="5168" spans="41:48" x14ac:dyDescent="0.35">
      <c r="AO5168"/>
      <c r="AP5168"/>
      <c r="AQ5168"/>
      <c r="AR5168"/>
      <c r="AS5168"/>
      <c r="AT5168"/>
      <c r="AU5168"/>
      <c r="AV5168"/>
    </row>
    <row r="5169" spans="41:48" x14ac:dyDescent="0.35">
      <c r="AO5169"/>
      <c r="AP5169"/>
      <c r="AQ5169"/>
      <c r="AR5169"/>
      <c r="AS5169"/>
      <c r="AT5169"/>
      <c r="AU5169"/>
      <c r="AV5169"/>
    </row>
    <row r="5170" spans="41:48" x14ac:dyDescent="0.35">
      <c r="AO5170"/>
      <c r="AP5170"/>
      <c r="AQ5170"/>
      <c r="AR5170"/>
      <c r="AS5170"/>
      <c r="AT5170"/>
      <c r="AU5170"/>
      <c r="AV5170"/>
    </row>
    <row r="5171" spans="41:48" x14ac:dyDescent="0.35">
      <c r="AO5171"/>
      <c r="AP5171"/>
      <c r="AQ5171"/>
      <c r="AR5171"/>
      <c r="AS5171"/>
      <c r="AT5171"/>
      <c r="AU5171"/>
      <c r="AV5171"/>
    </row>
    <row r="5172" spans="41:48" x14ac:dyDescent="0.35">
      <c r="AO5172"/>
      <c r="AP5172"/>
      <c r="AQ5172"/>
      <c r="AR5172"/>
      <c r="AS5172"/>
      <c r="AT5172"/>
      <c r="AU5172"/>
      <c r="AV5172"/>
    </row>
    <row r="5173" spans="41:48" x14ac:dyDescent="0.35">
      <c r="AO5173"/>
      <c r="AP5173"/>
      <c r="AQ5173"/>
      <c r="AR5173"/>
      <c r="AS5173"/>
      <c r="AT5173"/>
      <c r="AU5173"/>
      <c r="AV5173"/>
    </row>
    <row r="5174" spans="41:48" x14ac:dyDescent="0.35">
      <c r="AO5174"/>
      <c r="AP5174"/>
      <c r="AQ5174"/>
      <c r="AR5174"/>
      <c r="AS5174"/>
      <c r="AT5174"/>
      <c r="AU5174"/>
      <c r="AV5174"/>
    </row>
    <row r="5175" spans="41:48" x14ac:dyDescent="0.35">
      <c r="AO5175"/>
      <c r="AP5175"/>
      <c r="AQ5175"/>
      <c r="AR5175"/>
      <c r="AS5175"/>
      <c r="AT5175"/>
      <c r="AU5175"/>
      <c r="AV5175"/>
    </row>
    <row r="5176" spans="41:48" x14ac:dyDescent="0.35">
      <c r="AO5176"/>
      <c r="AP5176"/>
      <c r="AQ5176"/>
      <c r="AR5176"/>
      <c r="AS5176"/>
      <c r="AT5176"/>
      <c r="AU5176"/>
      <c r="AV5176"/>
    </row>
    <row r="5177" spans="41:48" x14ac:dyDescent="0.35">
      <c r="AO5177"/>
      <c r="AP5177"/>
      <c r="AQ5177"/>
      <c r="AR5177"/>
      <c r="AS5177"/>
      <c r="AT5177"/>
      <c r="AU5177"/>
      <c r="AV5177"/>
    </row>
    <row r="5178" spans="41:48" x14ac:dyDescent="0.35">
      <c r="AO5178"/>
      <c r="AP5178"/>
      <c r="AQ5178"/>
      <c r="AR5178"/>
      <c r="AS5178"/>
      <c r="AT5178"/>
      <c r="AU5178"/>
      <c r="AV5178"/>
    </row>
    <row r="5179" spans="41:48" x14ac:dyDescent="0.35">
      <c r="AO5179"/>
      <c r="AP5179"/>
      <c r="AQ5179"/>
      <c r="AR5179"/>
      <c r="AS5179"/>
      <c r="AT5179"/>
      <c r="AU5179"/>
      <c r="AV5179"/>
    </row>
    <row r="5180" spans="41:48" x14ac:dyDescent="0.35">
      <c r="AO5180"/>
      <c r="AP5180"/>
      <c r="AQ5180"/>
      <c r="AR5180"/>
      <c r="AS5180"/>
      <c r="AT5180"/>
      <c r="AU5180"/>
      <c r="AV5180"/>
    </row>
    <row r="5181" spans="41:48" x14ac:dyDescent="0.35">
      <c r="AO5181"/>
      <c r="AP5181"/>
      <c r="AQ5181"/>
      <c r="AR5181"/>
      <c r="AS5181"/>
      <c r="AT5181"/>
      <c r="AU5181"/>
      <c r="AV5181"/>
    </row>
    <row r="5182" spans="41:48" x14ac:dyDescent="0.35">
      <c r="AO5182"/>
      <c r="AP5182"/>
      <c r="AQ5182"/>
      <c r="AR5182"/>
      <c r="AS5182"/>
      <c r="AT5182"/>
      <c r="AU5182"/>
      <c r="AV5182"/>
    </row>
    <row r="5183" spans="41:48" x14ac:dyDescent="0.35">
      <c r="AO5183"/>
      <c r="AP5183"/>
      <c r="AQ5183"/>
      <c r="AR5183"/>
      <c r="AS5183"/>
      <c r="AT5183"/>
      <c r="AU5183"/>
      <c r="AV5183"/>
    </row>
    <row r="5184" spans="41:48" x14ac:dyDescent="0.35">
      <c r="AO5184"/>
      <c r="AP5184"/>
      <c r="AQ5184"/>
      <c r="AR5184"/>
      <c r="AS5184"/>
      <c r="AT5184"/>
      <c r="AU5184"/>
      <c r="AV5184"/>
    </row>
    <row r="5185" spans="41:48" x14ac:dyDescent="0.35">
      <c r="AO5185"/>
      <c r="AP5185"/>
      <c r="AQ5185"/>
      <c r="AR5185"/>
      <c r="AS5185"/>
      <c r="AT5185"/>
      <c r="AU5185"/>
      <c r="AV5185"/>
    </row>
    <row r="5186" spans="41:48" x14ac:dyDescent="0.35">
      <c r="AO5186"/>
      <c r="AP5186"/>
      <c r="AQ5186"/>
      <c r="AR5186"/>
      <c r="AS5186"/>
      <c r="AT5186"/>
      <c r="AU5186"/>
      <c r="AV5186"/>
    </row>
    <row r="5187" spans="41:48" x14ac:dyDescent="0.35">
      <c r="AO5187"/>
      <c r="AP5187"/>
      <c r="AQ5187"/>
      <c r="AR5187"/>
      <c r="AS5187"/>
      <c r="AT5187"/>
      <c r="AU5187"/>
      <c r="AV5187"/>
    </row>
    <row r="5188" spans="41:48" x14ac:dyDescent="0.35">
      <c r="AO5188"/>
      <c r="AP5188"/>
      <c r="AQ5188"/>
      <c r="AR5188"/>
      <c r="AS5188"/>
      <c r="AT5188"/>
      <c r="AU5188"/>
      <c r="AV5188"/>
    </row>
    <row r="5189" spans="41:48" x14ac:dyDescent="0.35">
      <c r="AO5189"/>
      <c r="AP5189"/>
      <c r="AQ5189"/>
      <c r="AR5189"/>
      <c r="AS5189"/>
      <c r="AT5189"/>
      <c r="AU5189"/>
      <c r="AV5189"/>
    </row>
    <row r="5190" spans="41:48" x14ac:dyDescent="0.35">
      <c r="AO5190"/>
      <c r="AP5190"/>
      <c r="AQ5190"/>
      <c r="AR5190"/>
      <c r="AS5190"/>
      <c r="AT5190"/>
      <c r="AU5190"/>
      <c r="AV5190"/>
    </row>
    <row r="5191" spans="41:48" x14ac:dyDescent="0.35">
      <c r="AO5191"/>
      <c r="AP5191"/>
      <c r="AQ5191"/>
      <c r="AR5191"/>
      <c r="AS5191"/>
      <c r="AT5191"/>
      <c r="AU5191"/>
      <c r="AV5191"/>
    </row>
    <row r="5192" spans="41:48" x14ac:dyDescent="0.35">
      <c r="AO5192"/>
      <c r="AP5192"/>
      <c r="AQ5192"/>
      <c r="AR5192"/>
      <c r="AS5192"/>
      <c r="AT5192"/>
      <c r="AU5192"/>
      <c r="AV5192"/>
    </row>
    <row r="5193" spans="41:48" x14ac:dyDescent="0.35">
      <c r="AO5193"/>
      <c r="AP5193"/>
      <c r="AQ5193"/>
      <c r="AR5193"/>
      <c r="AS5193"/>
      <c r="AT5193"/>
      <c r="AU5193"/>
      <c r="AV5193"/>
    </row>
    <row r="5194" spans="41:48" x14ac:dyDescent="0.35">
      <c r="AO5194"/>
      <c r="AP5194"/>
      <c r="AQ5194"/>
      <c r="AR5194"/>
      <c r="AS5194"/>
      <c r="AT5194"/>
      <c r="AU5194"/>
      <c r="AV5194"/>
    </row>
    <row r="5195" spans="41:48" x14ac:dyDescent="0.35">
      <c r="AO5195"/>
      <c r="AP5195"/>
      <c r="AQ5195"/>
      <c r="AR5195"/>
      <c r="AS5195"/>
      <c r="AT5195"/>
      <c r="AU5195"/>
      <c r="AV5195"/>
    </row>
    <row r="5196" spans="41:48" x14ac:dyDescent="0.35">
      <c r="AO5196"/>
      <c r="AP5196"/>
      <c r="AQ5196"/>
      <c r="AR5196"/>
      <c r="AS5196"/>
      <c r="AT5196"/>
      <c r="AU5196"/>
      <c r="AV5196"/>
    </row>
    <row r="5197" spans="41:48" x14ac:dyDescent="0.35">
      <c r="AO5197"/>
      <c r="AP5197"/>
      <c r="AQ5197"/>
      <c r="AR5197"/>
      <c r="AS5197"/>
      <c r="AT5197"/>
      <c r="AU5197"/>
      <c r="AV5197"/>
    </row>
    <row r="5198" spans="41:48" x14ac:dyDescent="0.35">
      <c r="AO5198"/>
      <c r="AP5198"/>
      <c r="AQ5198"/>
      <c r="AR5198"/>
      <c r="AS5198"/>
      <c r="AT5198"/>
      <c r="AU5198"/>
      <c r="AV5198"/>
    </row>
    <row r="5199" spans="41:48" x14ac:dyDescent="0.35">
      <c r="AO5199"/>
      <c r="AP5199"/>
      <c r="AQ5199"/>
      <c r="AR5199"/>
      <c r="AS5199"/>
      <c r="AT5199"/>
      <c r="AU5199"/>
      <c r="AV5199"/>
    </row>
    <row r="5200" spans="41:48" x14ac:dyDescent="0.35">
      <c r="AO5200"/>
      <c r="AP5200"/>
      <c r="AQ5200"/>
      <c r="AR5200"/>
      <c r="AS5200"/>
      <c r="AT5200"/>
      <c r="AU5200"/>
      <c r="AV5200"/>
    </row>
    <row r="5201" spans="41:48" x14ac:dyDescent="0.35">
      <c r="AO5201"/>
      <c r="AP5201"/>
      <c r="AQ5201"/>
      <c r="AR5201"/>
      <c r="AS5201"/>
      <c r="AT5201"/>
      <c r="AU5201"/>
      <c r="AV5201"/>
    </row>
    <row r="5202" spans="41:48" x14ac:dyDescent="0.35">
      <c r="AO5202"/>
      <c r="AP5202"/>
      <c r="AQ5202"/>
      <c r="AR5202"/>
      <c r="AS5202"/>
      <c r="AT5202"/>
      <c r="AU5202"/>
      <c r="AV5202"/>
    </row>
    <row r="5203" spans="41:48" x14ac:dyDescent="0.35">
      <c r="AO5203"/>
      <c r="AP5203"/>
      <c r="AQ5203"/>
      <c r="AR5203"/>
      <c r="AS5203"/>
      <c r="AT5203"/>
      <c r="AU5203"/>
      <c r="AV5203"/>
    </row>
    <row r="5204" spans="41:48" x14ac:dyDescent="0.35">
      <c r="AO5204"/>
      <c r="AP5204"/>
      <c r="AQ5204"/>
      <c r="AR5204"/>
      <c r="AS5204"/>
      <c r="AT5204"/>
      <c r="AU5204"/>
      <c r="AV5204"/>
    </row>
    <row r="5205" spans="41:48" x14ac:dyDescent="0.35">
      <c r="AO5205"/>
      <c r="AP5205"/>
      <c r="AQ5205"/>
      <c r="AR5205"/>
      <c r="AS5205"/>
      <c r="AT5205"/>
      <c r="AU5205"/>
      <c r="AV5205"/>
    </row>
    <row r="5206" spans="41:48" x14ac:dyDescent="0.35">
      <c r="AO5206"/>
      <c r="AP5206"/>
      <c r="AQ5206"/>
      <c r="AR5206"/>
      <c r="AS5206"/>
      <c r="AT5206"/>
      <c r="AU5206"/>
      <c r="AV5206"/>
    </row>
    <row r="5207" spans="41:48" x14ac:dyDescent="0.35">
      <c r="AO5207"/>
      <c r="AP5207"/>
      <c r="AQ5207"/>
      <c r="AR5207"/>
      <c r="AS5207"/>
      <c r="AT5207"/>
      <c r="AU5207"/>
      <c r="AV5207"/>
    </row>
    <row r="5208" spans="41:48" x14ac:dyDescent="0.35">
      <c r="AO5208"/>
      <c r="AP5208"/>
      <c r="AQ5208"/>
      <c r="AR5208"/>
      <c r="AS5208"/>
      <c r="AT5208"/>
      <c r="AU5208"/>
      <c r="AV5208"/>
    </row>
    <row r="5209" spans="41:48" x14ac:dyDescent="0.35">
      <c r="AO5209"/>
      <c r="AP5209"/>
      <c r="AQ5209"/>
      <c r="AR5209"/>
      <c r="AS5209"/>
      <c r="AT5209"/>
      <c r="AU5209"/>
      <c r="AV5209"/>
    </row>
    <row r="5210" spans="41:48" x14ac:dyDescent="0.35">
      <c r="AO5210"/>
      <c r="AP5210"/>
      <c r="AQ5210"/>
      <c r="AR5210"/>
      <c r="AS5210"/>
      <c r="AT5210"/>
      <c r="AU5210"/>
      <c r="AV5210"/>
    </row>
    <row r="5211" spans="41:48" x14ac:dyDescent="0.35">
      <c r="AO5211"/>
      <c r="AP5211"/>
      <c r="AQ5211"/>
      <c r="AR5211"/>
      <c r="AS5211"/>
      <c r="AT5211"/>
      <c r="AU5211"/>
      <c r="AV5211"/>
    </row>
    <row r="5212" spans="41:48" x14ac:dyDescent="0.35">
      <c r="AO5212"/>
      <c r="AP5212"/>
      <c r="AQ5212"/>
      <c r="AR5212"/>
      <c r="AS5212"/>
      <c r="AT5212"/>
      <c r="AU5212"/>
      <c r="AV5212"/>
    </row>
    <row r="5213" spans="41:48" x14ac:dyDescent="0.35">
      <c r="AO5213"/>
      <c r="AP5213"/>
      <c r="AQ5213"/>
      <c r="AR5213"/>
      <c r="AS5213"/>
      <c r="AT5213"/>
      <c r="AU5213"/>
      <c r="AV5213"/>
    </row>
    <row r="5214" spans="41:48" x14ac:dyDescent="0.35">
      <c r="AO5214"/>
      <c r="AP5214"/>
      <c r="AQ5214"/>
      <c r="AR5214"/>
      <c r="AS5214"/>
      <c r="AT5214"/>
      <c r="AU5214"/>
      <c r="AV5214"/>
    </row>
    <row r="5215" spans="41:48" x14ac:dyDescent="0.35">
      <c r="AO5215"/>
      <c r="AP5215"/>
      <c r="AQ5215"/>
      <c r="AR5215"/>
      <c r="AS5215"/>
      <c r="AT5215"/>
      <c r="AU5215"/>
      <c r="AV5215"/>
    </row>
    <row r="5216" spans="41:48" x14ac:dyDescent="0.35">
      <c r="AO5216"/>
      <c r="AP5216"/>
      <c r="AQ5216"/>
      <c r="AR5216"/>
      <c r="AS5216"/>
      <c r="AT5216"/>
      <c r="AU5216"/>
      <c r="AV5216"/>
    </row>
    <row r="5217" spans="41:48" x14ac:dyDescent="0.35">
      <c r="AO5217"/>
      <c r="AP5217"/>
      <c r="AQ5217"/>
      <c r="AR5217"/>
      <c r="AS5217"/>
      <c r="AT5217"/>
      <c r="AU5217"/>
      <c r="AV5217"/>
    </row>
    <row r="5218" spans="41:48" x14ac:dyDescent="0.35">
      <c r="AO5218"/>
      <c r="AP5218"/>
      <c r="AQ5218"/>
      <c r="AR5218"/>
      <c r="AS5218"/>
      <c r="AT5218"/>
      <c r="AU5218"/>
      <c r="AV5218"/>
    </row>
    <row r="5219" spans="41:48" x14ac:dyDescent="0.35">
      <c r="AO5219"/>
      <c r="AP5219"/>
      <c r="AQ5219"/>
      <c r="AR5219"/>
      <c r="AS5219"/>
      <c r="AT5219"/>
      <c r="AU5219"/>
      <c r="AV5219"/>
    </row>
    <row r="5220" spans="41:48" x14ac:dyDescent="0.35">
      <c r="AO5220"/>
      <c r="AP5220"/>
      <c r="AQ5220"/>
      <c r="AR5220"/>
      <c r="AS5220"/>
      <c r="AT5220"/>
      <c r="AU5220"/>
      <c r="AV5220"/>
    </row>
    <row r="5221" spans="41:48" x14ac:dyDescent="0.35">
      <c r="AO5221"/>
      <c r="AP5221"/>
      <c r="AQ5221"/>
      <c r="AR5221"/>
      <c r="AS5221"/>
      <c r="AT5221"/>
      <c r="AU5221"/>
      <c r="AV5221"/>
    </row>
    <row r="5222" spans="41:48" x14ac:dyDescent="0.35">
      <c r="AO5222"/>
      <c r="AP5222"/>
      <c r="AQ5222"/>
      <c r="AR5222"/>
      <c r="AS5222"/>
      <c r="AT5222"/>
      <c r="AU5222"/>
      <c r="AV5222"/>
    </row>
    <row r="5223" spans="41:48" x14ac:dyDescent="0.35">
      <c r="AO5223"/>
      <c r="AP5223"/>
      <c r="AQ5223"/>
      <c r="AR5223"/>
      <c r="AS5223"/>
      <c r="AT5223"/>
      <c r="AU5223"/>
      <c r="AV5223"/>
    </row>
    <row r="5224" spans="41:48" x14ac:dyDescent="0.35">
      <c r="AO5224"/>
      <c r="AP5224"/>
      <c r="AQ5224"/>
      <c r="AR5224"/>
      <c r="AS5224"/>
      <c r="AT5224"/>
      <c r="AU5224"/>
      <c r="AV5224"/>
    </row>
    <row r="5225" spans="41:48" x14ac:dyDescent="0.35">
      <c r="AO5225"/>
      <c r="AP5225"/>
      <c r="AQ5225"/>
      <c r="AR5225"/>
      <c r="AS5225"/>
      <c r="AT5225"/>
      <c r="AU5225"/>
      <c r="AV5225"/>
    </row>
    <row r="5226" spans="41:48" x14ac:dyDescent="0.35">
      <c r="AO5226"/>
      <c r="AP5226"/>
      <c r="AQ5226"/>
      <c r="AR5226"/>
      <c r="AS5226"/>
      <c r="AT5226"/>
      <c r="AU5226"/>
      <c r="AV5226"/>
    </row>
    <row r="5227" spans="41:48" x14ac:dyDescent="0.35">
      <c r="AO5227"/>
      <c r="AP5227"/>
      <c r="AQ5227"/>
      <c r="AR5227"/>
      <c r="AS5227"/>
      <c r="AT5227"/>
      <c r="AU5227"/>
      <c r="AV5227"/>
    </row>
    <row r="5228" spans="41:48" x14ac:dyDescent="0.35">
      <c r="AO5228"/>
      <c r="AP5228"/>
      <c r="AQ5228"/>
      <c r="AR5228"/>
      <c r="AS5228"/>
      <c r="AT5228"/>
      <c r="AU5228"/>
      <c r="AV5228"/>
    </row>
    <row r="5229" spans="41:48" x14ac:dyDescent="0.35">
      <c r="AO5229"/>
      <c r="AP5229"/>
      <c r="AQ5229"/>
      <c r="AR5229"/>
      <c r="AS5229"/>
      <c r="AT5229"/>
      <c r="AU5229"/>
      <c r="AV5229"/>
    </row>
    <row r="5230" spans="41:48" x14ac:dyDescent="0.35">
      <c r="AO5230"/>
      <c r="AP5230"/>
      <c r="AQ5230"/>
      <c r="AR5230"/>
      <c r="AS5230"/>
      <c r="AT5230"/>
      <c r="AU5230"/>
      <c r="AV5230"/>
    </row>
    <row r="5231" spans="41:48" x14ac:dyDescent="0.35">
      <c r="AO5231"/>
      <c r="AP5231"/>
      <c r="AQ5231"/>
      <c r="AR5231"/>
      <c r="AS5231"/>
      <c r="AT5231"/>
      <c r="AU5231"/>
      <c r="AV5231"/>
    </row>
    <row r="5232" spans="41:48" x14ac:dyDescent="0.35">
      <c r="AO5232"/>
      <c r="AP5232"/>
      <c r="AQ5232"/>
      <c r="AR5232"/>
      <c r="AS5232"/>
      <c r="AT5232"/>
      <c r="AU5232"/>
      <c r="AV5232"/>
    </row>
    <row r="5233" spans="41:48" x14ac:dyDescent="0.35">
      <c r="AO5233"/>
      <c r="AP5233"/>
      <c r="AQ5233"/>
      <c r="AR5233"/>
      <c r="AS5233"/>
      <c r="AT5233"/>
      <c r="AU5233"/>
      <c r="AV5233"/>
    </row>
    <row r="5234" spans="41:48" x14ac:dyDescent="0.35">
      <c r="AO5234"/>
      <c r="AP5234"/>
      <c r="AQ5234"/>
      <c r="AR5234"/>
      <c r="AS5234"/>
      <c r="AT5234"/>
      <c r="AU5234"/>
      <c r="AV5234"/>
    </row>
    <row r="5235" spans="41:48" x14ac:dyDescent="0.35">
      <c r="AO5235"/>
      <c r="AP5235"/>
      <c r="AQ5235"/>
      <c r="AR5235"/>
      <c r="AS5235"/>
      <c r="AT5235"/>
      <c r="AU5235"/>
      <c r="AV5235"/>
    </row>
    <row r="5236" spans="41:48" x14ac:dyDescent="0.35">
      <c r="AO5236"/>
      <c r="AP5236"/>
      <c r="AQ5236"/>
      <c r="AR5236"/>
      <c r="AS5236"/>
      <c r="AT5236"/>
      <c r="AU5236"/>
      <c r="AV5236"/>
    </row>
    <row r="5237" spans="41:48" x14ac:dyDescent="0.35">
      <c r="AO5237"/>
      <c r="AP5237"/>
      <c r="AQ5237"/>
      <c r="AR5237"/>
      <c r="AS5237"/>
      <c r="AT5237"/>
      <c r="AU5237"/>
      <c r="AV5237"/>
    </row>
    <row r="5238" spans="41:48" x14ac:dyDescent="0.35">
      <c r="AO5238"/>
      <c r="AP5238"/>
      <c r="AQ5238"/>
      <c r="AR5238"/>
      <c r="AS5238"/>
      <c r="AT5238"/>
      <c r="AU5238"/>
      <c r="AV5238"/>
    </row>
    <row r="5239" spans="41:48" x14ac:dyDescent="0.35">
      <c r="AO5239"/>
      <c r="AP5239"/>
      <c r="AQ5239"/>
      <c r="AR5239"/>
      <c r="AS5239"/>
      <c r="AT5239"/>
      <c r="AU5239"/>
      <c r="AV5239"/>
    </row>
    <row r="5240" spans="41:48" x14ac:dyDescent="0.35">
      <c r="AO5240"/>
      <c r="AP5240"/>
      <c r="AQ5240"/>
      <c r="AR5240"/>
      <c r="AS5240"/>
      <c r="AT5240"/>
      <c r="AU5240"/>
      <c r="AV5240"/>
    </row>
    <row r="5241" spans="41:48" x14ac:dyDescent="0.35">
      <c r="AO5241"/>
      <c r="AP5241"/>
      <c r="AQ5241"/>
      <c r="AR5241"/>
      <c r="AS5241"/>
      <c r="AT5241"/>
      <c r="AU5241"/>
      <c r="AV5241"/>
    </row>
    <row r="5242" spans="41:48" x14ac:dyDescent="0.35">
      <c r="AO5242"/>
      <c r="AP5242"/>
      <c r="AQ5242"/>
      <c r="AR5242"/>
      <c r="AS5242"/>
      <c r="AT5242"/>
      <c r="AU5242"/>
      <c r="AV5242"/>
    </row>
    <row r="5243" spans="41:48" x14ac:dyDescent="0.35">
      <c r="AO5243"/>
      <c r="AP5243"/>
      <c r="AQ5243"/>
      <c r="AR5243"/>
      <c r="AS5243"/>
      <c r="AT5243"/>
      <c r="AU5243"/>
      <c r="AV5243"/>
    </row>
    <row r="5244" spans="41:48" x14ac:dyDescent="0.35">
      <c r="AO5244"/>
      <c r="AP5244"/>
      <c r="AQ5244"/>
      <c r="AR5244"/>
      <c r="AS5244"/>
      <c r="AT5244"/>
      <c r="AU5244"/>
      <c r="AV5244"/>
    </row>
    <row r="5245" spans="41:48" x14ac:dyDescent="0.35">
      <c r="AO5245"/>
      <c r="AP5245"/>
      <c r="AQ5245"/>
      <c r="AR5245"/>
      <c r="AS5245"/>
      <c r="AT5245"/>
      <c r="AU5245"/>
      <c r="AV5245"/>
    </row>
    <row r="5246" spans="41:48" x14ac:dyDescent="0.35">
      <c r="AO5246"/>
      <c r="AP5246"/>
      <c r="AQ5246"/>
      <c r="AR5246"/>
      <c r="AS5246"/>
      <c r="AT5246"/>
      <c r="AU5246"/>
      <c r="AV5246"/>
    </row>
    <row r="5247" spans="41:48" x14ac:dyDescent="0.35">
      <c r="AO5247"/>
      <c r="AP5247"/>
      <c r="AQ5247"/>
      <c r="AR5247"/>
      <c r="AS5247"/>
      <c r="AT5247"/>
      <c r="AU5247"/>
      <c r="AV5247"/>
    </row>
    <row r="5248" spans="41:48" x14ac:dyDescent="0.35">
      <c r="AO5248"/>
      <c r="AP5248"/>
      <c r="AQ5248"/>
      <c r="AR5248"/>
      <c r="AS5248"/>
      <c r="AT5248"/>
      <c r="AU5248"/>
      <c r="AV5248"/>
    </row>
    <row r="5249" spans="41:48" x14ac:dyDescent="0.35">
      <c r="AO5249"/>
      <c r="AP5249"/>
      <c r="AQ5249"/>
      <c r="AR5249"/>
      <c r="AS5249"/>
      <c r="AT5249"/>
      <c r="AU5249"/>
      <c r="AV5249"/>
    </row>
    <row r="5250" spans="41:48" x14ac:dyDescent="0.35">
      <c r="AO5250"/>
      <c r="AP5250"/>
      <c r="AQ5250"/>
      <c r="AR5250"/>
      <c r="AS5250"/>
      <c r="AT5250"/>
      <c r="AU5250"/>
      <c r="AV5250"/>
    </row>
    <row r="5251" spans="41:48" x14ac:dyDescent="0.35">
      <c r="AO5251"/>
      <c r="AP5251"/>
      <c r="AQ5251"/>
      <c r="AR5251"/>
      <c r="AS5251"/>
      <c r="AT5251"/>
      <c r="AU5251"/>
      <c r="AV5251"/>
    </row>
    <row r="5252" spans="41:48" x14ac:dyDescent="0.35">
      <c r="AO5252"/>
      <c r="AP5252"/>
      <c r="AQ5252"/>
      <c r="AR5252"/>
      <c r="AS5252"/>
      <c r="AT5252"/>
      <c r="AU5252"/>
      <c r="AV5252"/>
    </row>
    <row r="5253" spans="41:48" x14ac:dyDescent="0.35">
      <c r="AO5253"/>
      <c r="AP5253"/>
      <c r="AQ5253"/>
      <c r="AR5253"/>
      <c r="AS5253"/>
      <c r="AT5253"/>
      <c r="AU5253"/>
      <c r="AV5253"/>
    </row>
    <row r="5254" spans="41:48" x14ac:dyDescent="0.35">
      <c r="AO5254"/>
      <c r="AP5254"/>
      <c r="AQ5254"/>
      <c r="AR5254"/>
      <c r="AS5254"/>
      <c r="AT5254"/>
      <c r="AU5254"/>
      <c r="AV5254"/>
    </row>
    <row r="5255" spans="41:48" x14ac:dyDescent="0.35">
      <c r="AO5255"/>
      <c r="AP5255"/>
      <c r="AQ5255"/>
      <c r="AR5255"/>
      <c r="AS5255"/>
      <c r="AT5255"/>
      <c r="AU5255"/>
      <c r="AV5255"/>
    </row>
    <row r="5256" spans="41:48" x14ac:dyDescent="0.35">
      <c r="AO5256"/>
      <c r="AP5256"/>
      <c r="AQ5256"/>
      <c r="AR5256"/>
      <c r="AS5256"/>
      <c r="AT5256"/>
      <c r="AU5256"/>
      <c r="AV5256"/>
    </row>
    <row r="5257" spans="41:48" x14ac:dyDescent="0.35">
      <c r="AO5257"/>
      <c r="AP5257"/>
      <c r="AQ5257"/>
      <c r="AR5257"/>
      <c r="AS5257"/>
      <c r="AT5257"/>
      <c r="AU5257"/>
      <c r="AV5257"/>
    </row>
    <row r="5258" spans="41:48" x14ac:dyDescent="0.35">
      <c r="AO5258"/>
      <c r="AP5258"/>
      <c r="AQ5258"/>
      <c r="AR5258"/>
      <c r="AS5258"/>
      <c r="AT5258"/>
      <c r="AU5258"/>
      <c r="AV5258"/>
    </row>
    <row r="5259" spans="41:48" x14ac:dyDescent="0.35">
      <c r="AO5259"/>
      <c r="AP5259"/>
      <c r="AQ5259"/>
      <c r="AR5259"/>
      <c r="AS5259"/>
      <c r="AT5259"/>
      <c r="AU5259"/>
      <c r="AV5259"/>
    </row>
    <row r="5260" spans="41:48" x14ac:dyDescent="0.35">
      <c r="AO5260"/>
      <c r="AP5260"/>
      <c r="AQ5260"/>
      <c r="AR5260"/>
      <c r="AS5260"/>
      <c r="AT5260"/>
      <c r="AU5260"/>
      <c r="AV5260"/>
    </row>
    <row r="5261" spans="41:48" x14ac:dyDescent="0.35">
      <c r="AO5261"/>
      <c r="AP5261"/>
      <c r="AQ5261"/>
      <c r="AR5261"/>
      <c r="AS5261"/>
      <c r="AT5261"/>
      <c r="AU5261"/>
      <c r="AV5261"/>
    </row>
    <row r="5262" spans="41:48" x14ac:dyDescent="0.35">
      <c r="AO5262"/>
      <c r="AP5262"/>
      <c r="AQ5262"/>
      <c r="AR5262"/>
      <c r="AS5262"/>
      <c r="AT5262"/>
      <c r="AU5262"/>
      <c r="AV5262"/>
    </row>
    <row r="5263" spans="41:48" x14ac:dyDescent="0.35">
      <c r="AO5263"/>
      <c r="AP5263"/>
      <c r="AQ5263"/>
      <c r="AR5263"/>
      <c r="AS5263"/>
      <c r="AT5263"/>
      <c r="AU5263"/>
      <c r="AV5263"/>
    </row>
    <row r="5264" spans="41:48" x14ac:dyDescent="0.35">
      <c r="AO5264"/>
      <c r="AP5264"/>
      <c r="AQ5264"/>
      <c r="AR5264"/>
      <c r="AS5264"/>
      <c r="AT5264"/>
      <c r="AU5264"/>
      <c r="AV5264"/>
    </row>
    <row r="5265" spans="41:48" x14ac:dyDescent="0.35">
      <c r="AO5265"/>
      <c r="AP5265"/>
      <c r="AQ5265"/>
      <c r="AR5265"/>
      <c r="AS5265"/>
      <c r="AT5265"/>
      <c r="AU5265"/>
      <c r="AV5265"/>
    </row>
    <row r="5266" spans="41:48" x14ac:dyDescent="0.35">
      <c r="AO5266"/>
      <c r="AP5266"/>
      <c r="AQ5266"/>
      <c r="AR5266"/>
      <c r="AS5266"/>
      <c r="AT5266"/>
      <c r="AU5266"/>
      <c r="AV5266"/>
    </row>
    <row r="5267" spans="41:48" x14ac:dyDescent="0.35">
      <c r="AO5267"/>
      <c r="AP5267"/>
      <c r="AQ5267"/>
      <c r="AR5267"/>
      <c r="AS5267"/>
      <c r="AT5267"/>
      <c r="AU5267"/>
      <c r="AV5267"/>
    </row>
    <row r="5268" spans="41:48" x14ac:dyDescent="0.35">
      <c r="AO5268"/>
      <c r="AP5268"/>
      <c r="AQ5268"/>
      <c r="AR5268"/>
      <c r="AS5268"/>
      <c r="AT5268"/>
      <c r="AU5268"/>
      <c r="AV5268"/>
    </row>
    <row r="5269" spans="41:48" x14ac:dyDescent="0.35">
      <c r="AO5269"/>
      <c r="AP5269"/>
      <c r="AQ5269"/>
      <c r="AR5269"/>
      <c r="AS5269"/>
      <c r="AT5269"/>
      <c r="AU5269"/>
      <c r="AV5269"/>
    </row>
    <row r="5270" spans="41:48" x14ac:dyDescent="0.35">
      <c r="AO5270"/>
      <c r="AP5270"/>
      <c r="AQ5270"/>
      <c r="AR5270"/>
      <c r="AS5270"/>
      <c r="AT5270"/>
      <c r="AU5270"/>
      <c r="AV5270"/>
    </row>
    <row r="5271" spans="41:48" x14ac:dyDescent="0.35">
      <c r="AO5271"/>
      <c r="AP5271"/>
      <c r="AQ5271"/>
      <c r="AR5271"/>
      <c r="AS5271"/>
      <c r="AT5271"/>
      <c r="AU5271"/>
      <c r="AV5271"/>
    </row>
    <row r="5272" spans="41:48" x14ac:dyDescent="0.35">
      <c r="AO5272"/>
      <c r="AP5272"/>
      <c r="AQ5272"/>
      <c r="AR5272"/>
      <c r="AS5272"/>
      <c r="AT5272"/>
      <c r="AU5272"/>
      <c r="AV5272"/>
    </row>
    <row r="5273" spans="41:48" x14ac:dyDescent="0.35">
      <c r="AO5273"/>
      <c r="AP5273"/>
      <c r="AQ5273"/>
      <c r="AR5273"/>
      <c r="AS5273"/>
      <c r="AT5273"/>
      <c r="AU5273"/>
      <c r="AV5273"/>
    </row>
    <row r="5274" spans="41:48" x14ac:dyDescent="0.35">
      <c r="AO5274"/>
      <c r="AP5274"/>
      <c r="AQ5274"/>
      <c r="AR5274"/>
      <c r="AS5274"/>
      <c r="AT5274"/>
      <c r="AU5274"/>
      <c r="AV5274"/>
    </row>
    <row r="5275" spans="41:48" x14ac:dyDescent="0.35">
      <c r="AO5275"/>
      <c r="AP5275"/>
      <c r="AQ5275"/>
      <c r="AR5275"/>
      <c r="AS5275"/>
      <c r="AT5275"/>
      <c r="AU5275"/>
      <c r="AV5275"/>
    </row>
    <row r="5276" spans="41:48" x14ac:dyDescent="0.35">
      <c r="AO5276"/>
      <c r="AP5276"/>
      <c r="AQ5276"/>
      <c r="AR5276"/>
      <c r="AS5276"/>
      <c r="AT5276"/>
      <c r="AU5276"/>
      <c r="AV5276"/>
    </row>
    <row r="5277" spans="41:48" x14ac:dyDescent="0.35">
      <c r="AO5277"/>
      <c r="AP5277"/>
      <c r="AQ5277"/>
      <c r="AR5277"/>
      <c r="AS5277"/>
      <c r="AT5277"/>
      <c r="AU5277"/>
      <c r="AV5277"/>
    </row>
    <row r="5278" spans="41:48" x14ac:dyDescent="0.35">
      <c r="AO5278"/>
      <c r="AP5278"/>
      <c r="AQ5278"/>
      <c r="AR5278"/>
      <c r="AS5278"/>
      <c r="AT5278"/>
      <c r="AU5278"/>
      <c r="AV5278"/>
    </row>
    <row r="5279" spans="41:48" x14ac:dyDescent="0.35">
      <c r="AO5279"/>
      <c r="AP5279"/>
      <c r="AQ5279"/>
      <c r="AR5279"/>
      <c r="AS5279"/>
      <c r="AT5279"/>
      <c r="AU5279"/>
      <c r="AV5279"/>
    </row>
    <row r="5280" spans="41:48" x14ac:dyDescent="0.35">
      <c r="AO5280"/>
      <c r="AP5280"/>
      <c r="AQ5280"/>
      <c r="AR5280"/>
      <c r="AS5280"/>
      <c r="AT5280"/>
      <c r="AU5280"/>
      <c r="AV5280"/>
    </row>
    <row r="5281" spans="41:48" x14ac:dyDescent="0.35">
      <c r="AO5281"/>
      <c r="AP5281"/>
      <c r="AQ5281"/>
      <c r="AR5281"/>
      <c r="AS5281"/>
      <c r="AT5281"/>
      <c r="AU5281"/>
      <c r="AV5281"/>
    </row>
    <row r="5282" spans="41:48" x14ac:dyDescent="0.35">
      <c r="AO5282"/>
      <c r="AP5282"/>
      <c r="AQ5282"/>
      <c r="AR5282"/>
      <c r="AS5282"/>
      <c r="AT5282"/>
      <c r="AU5282"/>
      <c r="AV5282"/>
    </row>
    <row r="5283" spans="41:48" x14ac:dyDescent="0.35">
      <c r="AO5283"/>
      <c r="AP5283"/>
      <c r="AQ5283"/>
      <c r="AR5283"/>
      <c r="AS5283"/>
      <c r="AT5283"/>
      <c r="AU5283"/>
      <c r="AV5283"/>
    </row>
    <row r="5284" spans="41:48" x14ac:dyDescent="0.35">
      <c r="AO5284"/>
      <c r="AP5284"/>
      <c r="AQ5284"/>
      <c r="AR5284"/>
      <c r="AS5284"/>
      <c r="AT5284"/>
      <c r="AU5284"/>
      <c r="AV5284"/>
    </row>
    <row r="5285" spans="41:48" x14ac:dyDescent="0.35">
      <c r="AO5285"/>
      <c r="AP5285"/>
      <c r="AQ5285"/>
      <c r="AR5285"/>
      <c r="AS5285"/>
      <c r="AT5285"/>
      <c r="AU5285"/>
      <c r="AV5285"/>
    </row>
    <row r="5286" spans="41:48" x14ac:dyDescent="0.35">
      <c r="AO5286"/>
      <c r="AP5286"/>
      <c r="AQ5286"/>
      <c r="AR5286"/>
      <c r="AS5286"/>
      <c r="AT5286"/>
      <c r="AU5286"/>
      <c r="AV5286"/>
    </row>
    <row r="5287" spans="41:48" x14ac:dyDescent="0.35">
      <c r="AO5287"/>
      <c r="AP5287"/>
      <c r="AQ5287"/>
      <c r="AR5287"/>
      <c r="AS5287"/>
      <c r="AT5287"/>
      <c r="AU5287"/>
      <c r="AV5287"/>
    </row>
    <row r="5288" spans="41:48" x14ac:dyDescent="0.35">
      <c r="AO5288"/>
      <c r="AP5288"/>
      <c r="AQ5288"/>
      <c r="AR5288"/>
      <c r="AS5288"/>
      <c r="AT5288"/>
      <c r="AU5288"/>
      <c r="AV5288"/>
    </row>
    <row r="5289" spans="41:48" x14ac:dyDescent="0.35">
      <c r="AO5289"/>
      <c r="AP5289"/>
      <c r="AQ5289"/>
      <c r="AR5289"/>
      <c r="AS5289"/>
      <c r="AT5289"/>
      <c r="AU5289"/>
      <c r="AV5289"/>
    </row>
    <row r="5290" spans="41:48" x14ac:dyDescent="0.35">
      <c r="AO5290"/>
      <c r="AP5290"/>
      <c r="AQ5290"/>
      <c r="AR5290"/>
      <c r="AS5290"/>
      <c r="AT5290"/>
      <c r="AU5290"/>
      <c r="AV5290"/>
    </row>
    <row r="5291" spans="41:48" x14ac:dyDescent="0.35">
      <c r="AO5291"/>
      <c r="AP5291"/>
      <c r="AQ5291"/>
      <c r="AR5291"/>
      <c r="AS5291"/>
      <c r="AT5291"/>
      <c r="AU5291"/>
      <c r="AV5291"/>
    </row>
    <row r="5292" spans="41:48" x14ac:dyDescent="0.35">
      <c r="AO5292"/>
      <c r="AP5292"/>
      <c r="AQ5292"/>
      <c r="AR5292"/>
      <c r="AS5292"/>
      <c r="AT5292"/>
      <c r="AU5292"/>
      <c r="AV5292"/>
    </row>
    <row r="5293" spans="41:48" x14ac:dyDescent="0.35">
      <c r="AO5293"/>
      <c r="AP5293"/>
      <c r="AQ5293"/>
      <c r="AR5293"/>
      <c r="AS5293"/>
      <c r="AT5293"/>
      <c r="AU5293"/>
      <c r="AV5293"/>
    </row>
    <row r="5294" spans="41:48" x14ac:dyDescent="0.35">
      <c r="AO5294"/>
      <c r="AP5294"/>
      <c r="AQ5294"/>
      <c r="AR5294"/>
      <c r="AS5294"/>
      <c r="AT5294"/>
      <c r="AU5294"/>
      <c r="AV5294"/>
    </row>
    <row r="5295" spans="41:48" x14ac:dyDescent="0.35">
      <c r="AO5295"/>
      <c r="AP5295"/>
      <c r="AQ5295"/>
      <c r="AR5295"/>
      <c r="AS5295"/>
      <c r="AT5295"/>
      <c r="AU5295"/>
      <c r="AV5295"/>
    </row>
    <row r="5296" spans="41:48" x14ac:dyDescent="0.35">
      <c r="AO5296"/>
      <c r="AP5296"/>
      <c r="AQ5296"/>
      <c r="AR5296"/>
      <c r="AS5296"/>
      <c r="AT5296"/>
      <c r="AU5296"/>
      <c r="AV5296"/>
    </row>
    <row r="5297" spans="41:48" x14ac:dyDescent="0.35">
      <c r="AO5297"/>
      <c r="AP5297"/>
      <c r="AQ5297"/>
      <c r="AR5297"/>
      <c r="AS5297"/>
      <c r="AT5297"/>
      <c r="AU5297"/>
      <c r="AV5297"/>
    </row>
    <row r="5298" spans="41:48" x14ac:dyDescent="0.35">
      <c r="AO5298"/>
      <c r="AP5298"/>
      <c r="AQ5298"/>
      <c r="AR5298"/>
      <c r="AS5298"/>
      <c r="AT5298"/>
      <c r="AU5298"/>
      <c r="AV5298"/>
    </row>
    <row r="5299" spans="41:48" x14ac:dyDescent="0.35">
      <c r="AO5299"/>
      <c r="AP5299"/>
      <c r="AQ5299"/>
      <c r="AR5299"/>
      <c r="AS5299"/>
      <c r="AT5299"/>
      <c r="AU5299"/>
      <c r="AV5299"/>
    </row>
    <row r="5300" spans="41:48" x14ac:dyDescent="0.35">
      <c r="AO5300"/>
      <c r="AP5300"/>
      <c r="AQ5300"/>
      <c r="AR5300"/>
      <c r="AS5300"/>
      <c r="AT5300"/>
      <c r="AU5300"/>
      <c r="AV5300"/>
    </row>
    <row r="5301" spans="41:48" x14ac:dyDescent="0.35">
      <c r="AO5301"/>
      <c r="AP5301"/>
      <c r="AQ5301"/>
      <c r="AR5301"/>
      <c r="AS5301"/>
      <c r="AT5301"/>
      <c r="AU5301"/>
      <c r="AV5301"/>
    </row>
    <row r="5302" spans="41:48" x14ac:dyDescent="0.35">
      <c r="AO5302"/>
      <c r="AP5302"/>
      <c r="AQ5302"/>
      <c r="AR5302"/>
      <c r="AS5302"/>
      <c r="AT5302"/>
      <c r="AU5302"/>
      <c r="AV5302"/>
    </row>
    <row r="5303" spans="41:48" x14ac:dyDescent="0.35">
      <c r="AO5303"/>
      <c r="AP5303"/>
      <c r="AQ5303"/>
      <c r="AR5303"/>
      <c r="AS5303"/>
      <c r="AT5303"/>
      <c r="AU5303"/>
      <c r="AV5303"/>
    </row>
    <row r="5304" spans="41:48" x14ac:dyDescent="0.35">
      <c r="AO5304"/>
      <c r="AP5304"/>
      <c r="AQ5304"/>
      <c r="AR5304"/>
      <c r="AS5304"/>
      <c r="AT5304"/>
      <c r="AU5304"/>
      <c r="AV5304"/>
    </row>
    <row r="5305" spans="41:48" x14ac:dyDescent="0.35">
      <c r="AO5305"/>
      <c r="AP5305"/>
      <c r="AQ5305"/>
      <c r="AR5305"/>
      <c r="AS5305"/>
      <c r="AT5305"/>
      <c r="AU5305"/>
      <c r="AV5305"/>
    </row>
    <row r="5306" spans="41:48" x14ac:dyDescent="0.35">
      <c r="AO5306"/>
      <c r="AP5306"/>
      <c r="AQ5306"/>
      <c r="AR5306"/>
      <c r="AS5306"/>
      <c r="AT5306"/>
      <c r="AU5306"/>
      <c r="AV5306"/>
    </row>
    <row r="5307" spans="41:48" x14ac:dyDescent="0.35">
      <c r="AO5307"/>
      <c r="AP5307"/>
      <c r="AQ5307"/>
      <c r="AR5307"/>
      <c r="AS5307"/>
      <c r="AT5307"/>
      <c r="AU5307"/>
      <c r="AV5307"/>
    </row>
    <row r="5308" spans="41:48" x14ac:dyDescent="0.35">
      <c r="AO5308"/>
      <c r="AP5308"/>
      <c r="AQ5308"/>
      <c r="AR5308"/>
      <c r="AS5308"/>
      <c r="AT5308"/>
      <c r="AU5308"/>
      <c r="AV5308"/>
    </row>
    <row r="5309" spans="41:48" x14ac:dyDescent="0.35">
      <c r="AO5309"/>
      <c r="AP5309"/>
      <c r="AQ5309"/>
      <c r="AR5309"/>
      <c r="AS5309"/>
      <c r="AT5309"/>
      <c r="AU5309"/>
      <c r="AV5309"/>
    </row>
    <row r="5310" spans="41:48" x14ac:dyDescent="0.35">
      <c r="AO5310"/>
      <c r="AP5310"/>
      <c r="AQ5310"/>
      <c r="AR5310"/>
      <c r="AS5310"/>
      <c r="AT5310"/>
      <c r="AU5310"/>
      <c r="AV5310"/>
    </row>
    <row r="5311" spans="41:48" x14ac:dyDescent="0.35">
      <c r="AO5311"/>
      <c r="AP5311"/>
      <c r="AQ5311"/>
      <c r="AR5311"/>
      <c r="AS5311"/>
      <c r="AT5311"/>
      <c r="AU5311"/>
      <c r="AV5311"/>
    </row>
    <row r="5312" spans="41:48" x14ac:dyDescent="0.35">
      <c r="AO5312"/>
      <c r="AP5312"/>
      <c r="AQ5312"/>
      <c r="AR5312"/>
      <c r="AS5312"/>
      <c r="AT5312"/>
      <c r="AU5312"/>
      <c r="AV5312"/>
    </row>
    <row r="5313" spans="41:48" x14ac:dyDescent="0.35">
      <c r="AO5313"/>
      <c r="AP5313"/>
      <c r="AQ5313"/>
      <c r="AR5313"/>
      <c r="AS5313"/>
      <c r="AT5313"/>
      <c r="AU5313"/>
      <c r="AV5313"/>
    </row>
    <row r="5314" spans="41:48" x14ac:dyDescent="0.35">
      <c r="AO5314"/>
      <c r="AP5314"/>
      <c r="AQ5314"/>
      <c r="AR5314"/>
      <c r="AS5314"/>
      <c r="AT5314"/>
      <c r="AU5314"/>
      <c r="AV5314"/>
    </row>
    <row r="5315" spans="41:48" x14ac:dyDescent="0.35">
      <c r="AO5315"/>
      <c r="AP5315"/>
      <c r="AQ5315"/>
      <c r="AR5315"/>
      <c r="AS5315"/>
      <c r="AT5315"/>
      <c r="AU5315"/>
      <c r="AV5315"/>
    </row>
    <row r="5316" spans="41:48" x14ac:dyDescent="0.35">
      <c r="AO5316"/>
      <c r="AP5316"/>
      <c r="AQ5316"/>
      <c r="AR5316"/>
      <c r="AS5316"/>
      <c r="AT5316"/>
      <c r="AU5316"/>
      <c r="AV5316"/>
    </row>
    <row r="5317" spans="41:48" x14ac:dyDescent="0.35">
      <c r="AO5317"/>
      <c r="AP5317"/>
      <c r="AQ5317"/>
      <c r="AR5317"/>
      <c r="AS5317"/>
      <c r="AT5317"/>
      <c r="AU5317"/>
      <c r="AV5317"/>
    </row>
    <row r="5318" spans="41:48" x14ac:dyDescent="0.35">
      <c r="AO5318"/>
      <c r="AP5318"/>
      <c r="AQ5318"/>
      <c r="AR5318"/>
      <c r="AS5318"/>
      <c r="AT5318"/>
      <c r="AU5318"/>
      <c r="AV5318"/>
    </row>
    <row r="5319" spans="41:48" x14ac:dyDescent="0.35">
      <c r="AO5319"/>
      <c r="AP5319"/>
      <c r="AQ5319"/>
      <c r="AR5319"/>
      <c r="AS5319"/>
      <c r="AT5319"/>
      <c r="AU5319"/>
      <c r="AV5319"/>
    </row>
    <row r="5320" spans="41:48" x14ac:dyDescent="0.35">
      <c r="AO5320"/>
      <c r="AP5320"/>
      <c r="AQ5320"/>
      <c r="AR5320"/>
      <c r="AS5320"/>
      <c r="AT5320"/>
      <c r="AU5320"/>
      <c r="AV5320"/>
    </row>
    <row r="5321" spans="41:48" x14ac:dyDescent="0.35">
      <c r="AO5321"/>
      <c r="AP5321"/>
      <c r="AQ5321"/>
      <c r="AR5321"/>
      <c r="AS5321"/>
      <c r="AT5321"/>
      <c r="AU5321"/>
      <c r="AV5321"/>
    </row>
    <row r="5322" spans="41:48" x14ac:dyDescent="0.35">
      <c r="AO5322"/>
      <c r="AP5322"/>
      <c r="AQ5322"/>
      <c r="AR5322"/>
      <c r="AS5322"/>
      <c r="AT5322"/>
      <c r="AU5322"/>
      <c r="AV5322"/>
    </row>
    <row r="5323" spans="41:48" x14ac:dyDescent="0.35">
      <c r="AO5323"/>
      <c r="AP5323"/>
      <c r="AQ5323"/>
      <c r="AR5323"/>
      <c r="AS5323"/>
      <c r="AT5323"/>
      <c r="AU5323"/>
      <c r="AV5323"/>
    </row>
    <row r="5324" spans="41:48" x14ac:dyDescent="0.35">
      <c r="AO5324"/>
      <c r="AP5324"/>
      <c r="AQ5324"/>
      <c r="AR5324"/>
      <c r="AS5324"/>
      <c r="AT5324"/>
      <c r="AU5324"/>
      <c r="AV5324"/>
    </row>
    <row r="5325" spans="41:48" x14ac:dyDescent="0.35">
      <c r="AO5325"/>
      <c r="AP5325"/>
      <c r="AQ5325"/>
      <c r="AR5325"/>
      <c r="AS5325"/>
      <c r="AT5325"/>
      <c r="AU5325"/>
      <c r="AV5325"/>
    </row>
    <row r="5326" spans="41:48" x14ac:dyDescent="0.35">
      <c r="AO5326"/>
      <c r="AP5326"/>
      <c r="AQ5326"/>
      <c r="AR5326"/>
      <c r="AS5326"/>
      <c r="AT5326"/>
      <c r="AU5326"/>
      <c r="AV5326"/>
    </row>
    <row r="5327" spans="41:48" x14ac:dyDescent="0.35">
      <c r="AO5327"/>
      <c r="AP5327"/>
      <c r="AQ5327"/>
      <c r="AR5327"/>
      <c r="AS5327"/>
      <c r="AT5327"/>
      <c r="AU5327"/>
      <c r="AV5327"/>
    </row>
    <row r="5328" spans="41:48" x14ac:dyDescent="0.35">
      <c r="AO5328"/>
      <c r="AP5328"/>
      <c r="AQ5328"/>
      <c r="AR5328"/>
      <c r="AS5328"/>
      <c r="AT5328"/>
      <c r="AU5328"/>
      <c r="AV5328"/>
    </row>
    <row r="5329" spans="41:48" x14ac:dyDescent="0.35">
      <c r="AO5329"/>
      <c r="AP5329"/>
      <c r="AQ5329"/>
      <c r="AR5329"/>
      <c r="AS5329"/>
      <c r="AT5329"/>
      <c r="AU5329"/>
      <c r="AV5329"/>
    </row>
    <row r="5330" spans="41:48" x14ac:dyDescent="0.35">
      <c r="AO5330"/>
      <c r="AP5330"/>
      <c r="AQ5330"/>
      <c r="AR5330"/>
      <c r="AS5330"/>
      <c r="AT5330"/>
      <c r="AU5330"/>
      <c r="AV5330"/>
    </row>
    <row r="5331" spans="41:48" x14ac:dyDescent="0.35">
      <c r="AO5331"/>
      <c r="AP5331"/>
      <c r="AQ5331"/>
      <c r="AR5331"/>
      <c r="AS5331"/>
      <c r="AT5331"/>
      <c r="AU5331"/>
      <c r="AV5331"/>
    </row>
    <row r="5332" spans="41:48" x14ac:dyDescent="0.35">
      <c r="AO5332"/>
      <c r="AP5332"/>
      <c r="AQ5332"/>
      <c r="AR5332"/>
      <c r="AS5332"/>
      <c r="AT5332"/>
      <c r="AU5332"/>
      <c r="AV5332"/>
    </row>
    <row r="5333" spans="41:48" x14ac:dyDescent="0.35">
      <c r="AO5333"/>
      <c r="AP5333"/>
      <c r="AQ5333"/>
      <c r="AR5333"/>
      <c r="AS5333"/>
      <c r="AT5333"/>
      <c r="AU5333"/>
      <c r="AV5333"/>
    </row>
    <row r="5334" spans="41:48" x14ac:dyDescent="0.35">
      <c r="AO5334"/>
      <c r="AP5334"/>
      <c r="AQ5334"/>
      <c r="AR5334"/>
      <c r="AS5334"/>
      <c r="AT5334"/>
      <c r="AU5334"/>
      <c r="AV5334"/>
    </row>
    <row r="5335" spans="41:48" x14ac:dyDescent="0.35">
      <c r="AO5335"/>
      <c r="AP5335"/>
      <c r="AQ5335"/>
      <c r="AR5335"/>
      <c r="AS5335"/>
      <c r="AT5335"/>
      <c r="AU5335"/>
      <c r="AV5335"/>
    </row>
    <row r="5336" spans="41:48" x14ac:dyDescent="0.35">
      <c r="AO5336"/>
      <c r="AP5336"/>
      <c r="AQ5336"/>
      <c r="AR5336"/>
      <c r="AS5336"/>
      <c r="AT5336"/>
      <c r="AU5336"/>
      <c r="AV5336"/>
    </row>
    <row r="5337" spans="41:48" x14ac:dyDescent="0.35">
      <c r="AO5337"/>
      <c r="AP5337"/>
      <c r="AQ5337"/>
      <c r="AR5337"/>
      <c r="AS5337"/>
      <c r="AT5337"/>
      <c r="AU5337"/>
      <c r="AV5337"/>
    </row>
    <row r="5338" spans="41:48" x14ac:dyDescent="0.35">
      <c r="AO5338"/>
      <c r="AP5338"/>
      <c r="AQ5338"/>
      <c r="AR5338"/>
      <c r="AS5338"/>
      <c r="AT5338"/>
      <c r="AU5338"/>
      <c r="AV5338"/>
    </row>
    <row r="5339" spans="41:48" x14ac:dyDescent="0.35">
      <c r="AO5339"/>
      <c r="AP5339"/>
      <c r="AQ5339"/>
      <c r="AR5339"/>
      <c r="AS5339"/>
      <c r="AT5339"/>
      <c r="AU5339"/>
      <c r="AV5339"/>
    </row>
    <row r="5340" spans="41:48" x14ac:dyDescent="0.35">
      <c r="AO5340"/>
      <c r="AP5340"/>
      <c r="AQ5340"/>
      <c r="AR5340"/>
      <c r="AS5340"/>
      <c r="AT5340"/>
      <c r="AU5340"/>
      <c r="AV5340"/>
    </row>
    <row r="5341" spans="41:48" x14ac:dyDescent="0.35">
      <c r="AO5341"/>
      <c r="AP5341"/>
      <c r="AQ5341"/>
      <c r="AR5341"/>
      <c r="AS5341"/>
      <c r="AT5341"/>
      <c r="AU5341"/>
      <c r="AV5341"/>
    </row>
    <row r="5342" spans="41:48" x14ac:dyDescent="0.35">
      <c r="AO5342"/>
      <c r="AP5342"/>
      <c r="AQ5342"/>
      <c r="AR5342"/>
      <c r="AS5342"/>
      <c r="AT5342"/>
      <c r="AU5342"/>
      <c r="AV5342"/>
    </row>
    <row r="5343" spans="41:48" x14ac:dyDescent="0.35">
      <c r="AO5343"/>
      <c r="AP5343"/>
      <c r="AQ5343"/>
      <c r="AR5343"/>
      <c r="AS5343"/>
      <c r="AT5343"/>
      <c r="AU5343"/>
      <c r="AV5343"/>
    </row>
    <row r="5344" spans="41:48" x14ac:dyDescent="0.35">
      <c r="AO5344"/>
      <c r="AP5344"/>
      <c r="AQ5344"/>
      <c r="AR5344"/>
      <c r="AS5344"/>
      <c r="AT5344"/>
      <c r="AU5344"/>
      <c r="AV5344"/>
    </row>
    <row r="5345" spans="41:48" x14ac:dyDescent="0.35">
      <c r="AO5345"/>
      <c r="AP5345"/>
      <c r="AQ5345"/>
      <c r="AR5345"/>
      <c r="AS5345"/>
      <c r="AT5345"/>
      <c r="AU5345"/>
      <c r="AV5345"/>
    </row>
    <row r="5346" spans="41:48" x14ac:dyDescent="0.35">
      <c r="AO5346"/>
      <c r="AP5346"/>
      <c r="AQ5346"/>
      <c r="AR5346"/>
      <c r="AS5346"/>
      <c r="AT5346"/>
      <c r="AU5346"/>
      <c r="AV5346"/>
    </row>
    <row r="5347" spans="41:48" x14ac:dyDescent="0.35">
      <c r="AO5347"/>
      <c r="AP5347"/>
      <c r="AQ5347"/>
      <c r="AR5347"/>
      <c r="AS5347"/>
      <c r="AT5347"/>
      <c r="AU5347"/>
      <c r="AV5347"/>
    </row>
    <row r="5348" spans="41:48" x14ac:dyDescent="0.35">
      <c r="AO5348"/>
      <c r="AP5348"/>
      <c r="AQ5348"/>
      <c r="AR5348"/>
      <c r="AS5348"/>
      <c r="AT5348"/>
      <c r="AU5348"/>
      <c r="AV5348"/>
    </row>
    <row r="5349" spans="41:48" x14ac:dyDescent="0.35">
      <c r="AO5349"/>
      <c r="AP5349"/>
      <c r="AQ5349"/>
      <c r="AR5349"/>
      <c r="AS5349"/>
      <c r="AT5349"/>
      <c r="AU5349"/>
      <c r="AV5349"/>
    </row>
    <row r="5350" spans="41:48" x14ac:dyDescent="0.35">
      <c r="AO5350"/>
      <c r="AP5350"/>
      <c r="AQ5350"/>
      <c r="AR5350"/>
      <c r="AS5350"/>
      <c r="AT5350"/>
      <c r="AU5350"/>
      <c r="AV5350"/>
    </row>
    <row r="5351" spans="41:48" x14ac:dyDescent="0.35">
      <c r="AO5351"/>
      <c r="AP5351"/>
      <c r="AQ5351"/>
      <c r="AR5351"/>
      <c r="AS5351"/>
      <c r="AT5351"/>
      <c r="AU5351"/>
      <c r="AV5351"/>
    </row>
    <row r="5352" spans="41:48" x14ac:dyDescent="0.35">
      <c r="AO5352"/>
      <c r="AP5352"/>
      <c r="AQ5352"/>
      <c r="AR5352"/>
      <c r="AS5352"/>
      <c r="AT5352"/>
      <c r="AU5352"/>
      <c r="AV5352"/>
    </row>
    <row r="5353" spans="41:48" x14ac:dyDescent="0.35">
      <c r="AO5353"/>
      <c r="AP5353"/>
      <c r="AQ5353"/>
      <c r="AR5353"/>
      <c r="AS5353"/>
      <c r="AT5353"/>
      <c r="AU5353"/>
      <c r="AV5353"/>
    </row>
    <row r="5354" spans="41:48" x14ac:dyDescent="0.35">
      <c r="AO5354"/>
      <c r="AP5354"/>
      <c r="AQ5354"/>
      <c r="AR5354"/>
      <c r="AS5354"/>
      <c r="AT5354"/>
      <c r="AU5354"/>
      <c r="AV5354"/>
    </row>
    <row r="5355" spans="41:48" x14ac:dyDescent="0.35">
      <c r="AO5355"/>
      <c r="AP5355"/>
      <c r="AQ5355"/>
      <c r="AR5355"/>
      <c r="AS5355"/>
      <c r="AT5355"/>
      <c r="AU5355"/>
      <c r="AV5355"/>
    </row>
    <row r="5356" spans="41:48" x14ac:dyDescent="0.35">
      <c r="AO5356"/>
      <c r="AP5356"/>
      <c r="AQ5356"/>
      <c r="AR5356"/>
      <c r="AS5356"/>
      <c r="AT5356"/>
      <c r="AU5356"/>
      <c r="AV5356"/>
    </row>
    <row r="5357" spans="41:48" x14ac:dyDescent="0.35">
      <c r="AO5357"/>
      <c r="AP5357"/>
      <c r="AQ5357"/>
      <c r="AR5357"/>
      <c r="AS5357"/>
      <c r="AT5357"/>
      <c r="AU5357"/>
      <c r="AV5357"/>
    </row>
    <row r="5358" spans="41:48" x14ac:dyDescent="0.35">
      <c r="AO5358"/>
      <c r="AP5358"/>
      <c r="AQ5358"/>
      <c r="AR5358"/>
      <c r="AS5358"/>
      <c r="AT5358"/>
      <c r="AU5358"/>
      <c r="AV5358"/>
    </row>
    <row r="5359" spans="41:48" x14ac:dyDescent="0.35">
      <c r="AO5359"/>
      <c r="AP5359"/>
      <c r="AQ5359"/>
      <c r="AR5359"/>
      <c r="AS5359"/>
      <c r="AT5359"/>
      <c r="AU5359"/>
      <c r="AV5359"/>
    </row>
    <row r="5360" spans="41:48" x14ac:dyDescent="0.35">
      <c r="AO5360"/>
      <c r="AP5360"/>
      <c r="AQ5360"/>
      <c r="AR5360"/>
      <c r="AS5360"/>
      <c r="AT5360"/>
      <c r="AU5360"/>
      <c r="AV5360"/>
    </row>
    <row r="5361" spans="41:48" x14ac:dyDescent="0.35">
      <c r="AO5361"/>
      <c r="AP5361"/>
      <c r="AQ5361"/>
      <c r="AR5361"/>
      <c r="AS5361"/>
      <c r="AT5361"/>
      <c r="AU5361"/>
      <c r="AV5361"/>
    </row>
    <row r="5362" spans="41:48" x14ac:dyDescent="0.35">
      <c r="AO5362"/>
      <c r="AP5362"/>
      <c r="AQ5362"/>
      <c r="AR5362"/>
      <c r="AS5362"/>
      <c r="AT5362"/>
      <c r="AU5362"/>
      <c r="AV5362"/>
    </row>
    <row r="5363" spans="41:48" x14ac:dyDescent="0.35">
      <c r="AO5363"/>
      <c r="AP5363"/>
      <c r="AQ5363"/>
      <c r="AR5363"/>
      <c r="AS5363"/>
      <c r="AT5363"/>
      <c r="AU5363"/>
      <c r="AV5363"/>
    </row>
    <row r="5364" spans="41:48" x14ac:dyDescent="0.35">
      <c r="AO5364"/>
      <c r="AP5364"/>
      <c r="AQ5364"/>
      <c r="AR5364"/>
      <c r="AS5364"/>
      <c r="AT5364"/>
      <c r="AU5364"/>
      <c r="AV5364"/>
    </row>
    <row r="5365" spans="41:48" x14ac:dyDescent="0.35">
      <c r="AO5365"/>
      <c r="AP5365"/>
      <c r="AQ5365"/>
      <c r="AR5365"/>
      <c r="AS5365"/>
      <c r="AT5365"/>
      <c r="AU5365"/>
      <c r="AV5365"/>
    </row>
    <row r="5366" spans="41:48" x14ac:dyDescent="0.35">
      <c r="AO5366"/>
      <c r="AP5366"/>
      <c r="AQ5366"/>
      <c r="AR5366"/>
      <c r="AS5366"/>
      <c r="AT5366"/>
      <c r="AU5366"/>
      <c r="AV5366"/>
    </row>
    <row r="5367" spans="41:48" x14ac:dyDescent="0.35">
      <c r="AO5367"/>
      <c r="AP5367"/>
      <c r="AQ5367"/>
      <c r="AR5367"/>
      <c r="AS5367"/>
      <c r="AT5367"/>
      <c r="AU5367"/>
      <c r="AV5367"/>
    </row>
    <row r="5368" spans="41:48" x14ac:dyDescent="0.35">
      <c r="AO5368"/>
      <c r="AP5368"/>
      <c r="AQ5368"/>
      <c r="AR5368"/>
      <c r="AS5368"/>
      <c r="AT5368"/>
      <c r="AU5368"/>
      <c r="AV5368"/>
    </row>
    <row r="5369" spans="41:48" x14ac:dyDescent="0.35">
      <c r="AO5369"/>
      <c r="AP5369"/>
      <c r="AQ5369"/>
      <c r="AR5369"/>
      <c r="AS5369"/>
      <c r="AT5369"/>
      <c r="AU5369"/>
      <c r="AV5369"/>
    </row>
    <row r="5370" spans="41:48" x14ac:dyDescent="0.35">
      <c r="AO5370"/>
      <c r="AP5370"/>
      <c r="AQ5370"/>
      <c r="AR5370"/>
      <c r="AS5370"/>
      <c r="AT5370"/>
      <c r="AU5370"/>
      <c r="AV5370"/>
    </row>
    <row r="5371" spans="41:48" x14ac:dyDescent="0.35">
      <c r="AO5371"/>
      <c r="AP5371"/>
      <c r="AQ5371"/>
      <c r="AR5371"/>
      <c r="AS5371"/>
      <c r="AT5371"/>
      <c r="AU5371"/>
      <c r="AV5371"/>
    </row>
    <row r="5372" spans="41:48" x14ac:dyDescent="0.35">
      <c r="AO5372"/>
      <c r="AP5372"/>
      <c r="AQ5372"/>
      <c r="AR5372"/>
      <c r="AS5372"/>
      <c r="AT5372"/>
      <c r="AU5372"/>
      <c r="AV5372"/>
    </row>
    <row r="5373" spans="41:48" x14ac:dyDescent="0.35">
      <c r="AO5373"/>
      <c r="AP5373"/>
      <c r="AQ5373"/>
      <c r="AR5373"/>
      <c r="AS5373"/>
      <c r="AT5373"/>
      <c r="AU5373"/>
      <c r="AV5373"/>
    </row>
    <row r="5374" spans="41:48" x14ac:dyDescent="0.35">
      <c r="AO5374"/>
      <c r="AP5374"/>
      <c r="AQ5374"/>
      <c r="AR5374"/>
      <c r="AS5374"/>
      <c r="AT5374"/>
      <c r="AU5374"/>
      <c r="AV5374"/>
    </row>
    <row r="5375" spans="41:48" x14ac:dyDescent="0.35">
      <c r="AO5375"/>
      <c r="AP5375"/>
      <c r="AQ5375"/>
      <c r="AR5375"/>
      <c r="AS5375"/>
      <c r="AT5375"/>
      <c r="AU5375"/>
      <c r="AV5375"/>
    </row>
    <row r="5376" spans="41:48" x14ac:dyDescent="0.35">
      <c r="AO5376"/>
      <c r="AP5376"/>
      <c r="AQ5376"/>
      <c r="AR5376"/>
      <c r="AS5376"/>
      <c r="AT5376"/>
      <c r="AU5376"/>
      <c r="AV5376"/>
    </row>
    <row r="5377" spans="41:48" x14ac:dyDescent="0.35">
      <c r="AO5377"/>
      <c r="AP5377"/>
      <c r="AQ5377"/>
      <c r="AR5377"/>
      <c r="AS5377"/>
      <c r="AT5377"/>
      <c r="AU5377"/>
      <c r="AV5377"/>
    </row>
    <row r="5378" spans="41:48" x14ac:dyDescent="0.35">
      <c r="AO5378"/>
      <c r="AP5378"/>
      <c r="AQ5378"/>
      <c r="AR5378"/>
      <c r="AS5378"/>
      <c r="AT5378"/>
      <c r="AU5378"/>
      <c r="AV5378"/>
    </row>
    <row r="5379" spans="41:48" x14ac:dyDescent="0.35">
      <c r="AO5379"/>
      <c r="AP5379"/>
      <c r="AQ5379"/>
      <c r="AR5379"/>
      <c r="AS5379"/>
      <c r="AT5379"/>
      <c r="AU5379"/>
      <c r="AV5379"/>
    </row>
    <row r="5380" spans="41:48" x14ac:dyDescent="0.35">
      <c r="AO5380"/>
      <c r="AP5380"/>
      <c r="AQ5380"/>
      <c r="AR5380"/>
      <c r="AS5380"/>
      <c r="AT5380"/>
      <c r="AU5380"/>
      <c r="AV5380"/>
    </row>
    <row r="5381" spans="41:48" x14ac:dyDescent="0.35">
      <c r="AO5381"/>
      <c r="AP5381"/>
      <c r="AQ5381"/>
      <c r="AR5381"/>
      <c r="AS5381"/>
      <c r="AT5381"/>
      <c r="AU5381"/>
      <c r="AV5381"/>
    </row>
    <row r="5382" spans="41:48" x14ac:dyDescent="0.35">
      <c r="AO5382"/>
      <c r="AP5382"/>
      <c r="AQ5382"/>
      <c r="AR5382"/>
      <c r="AS5382"/>
      <c r="AT5382"/>
      <c r="AU5382"/>
      <c r="AV5382"/>
    </row>
    <row r="5383" spans="41:48" x14ac:dyDescent="0.35">
      <c r="AO5383"/>
      <c r="AP5383"/>
      <c r="AQ5383"/>
      <c r="AR5383"/>
      <c r="AS5383"/>
      <c r="AT5383"/>
      <c r="AU5383"/>
      <c r="AV5383"/>
    </row>
    <row r="5384" spans="41:48" x14ac:dyDescent="0.35">
      <c r="AO5384"/>
      <c r="AP5384"/>
      <c r="AQ5384"/>
      <c r="AR5384"/>
      <c r="AS5384"/>
      <c r="AT5384"/>
      <c r="AU5384"/>
      <c r="AV5384"/>
    </row>
    <row r="5385" spans="41:48" x14ac:dyDescent="0.35">
      <c r="AO5385"/>
      <c r="AP5385"/>
      <c r="AQ5385"/>
      <c r="AR5385"/>
      <c r="AS5385"/>
      <c r="AT5385"/>
      <c r="AU5385"/>
      <c r="AV5385"/>
    </row>
    <row r="5386" spans="41:48" x14ac:dyDescent="0.35">
      <c r="AO5386"/>
      <c r="AP5386"/>
      <c r="AQ5386"/>
      <c r="AR5386"/>
      <c r="AS5386"/>
      <c r="AT5386"/>
      <c r="AU5386"/>
      <c r="AV5386"/>
    </row>
    <row r="5387" spans="41:48" x14ac:dyDescent="0.35">
      <c r="AO5387"/>
      <c r="AP5387"/>
      <c r="AQ5387"/>
      <c r="AR5387"/>
      <c r="AS5387"/>
      <c r="AT5387"/>
      <c r="AU5387"/>
      <c r="AV5387"/>
    </row>
    <row r="5388" spans="41:48" x14ac:dyDescent="0.35">
      <c r="AO5388"/>
      <c r="AP5388"/>
      <c r="AQ5388"/>
      <c r="AR5388"/>
      <c r="AS5388"/>
      <c r="AT5388"/>
      <c r="AU5388"/>
      <c r="AV5388"/>
    </row>
    <row r="5389" spans="41:48" x14ac:dyDescent="0.35">
      <c r="AO5389"/>
      <c r="AP5389"/>
      <c r="AQ5389"/>
      <c r="AR5389"/>
      <c r="AS5389"/>
      <c r="AT5389"/>
      <c r="AU5389"/>
      <c r="AV5389"/>
    </row>
    <row r="5390" spans="41:48" x14ac:dyDescent="0.35">
      <c r="AO5390"/>
      <c r="AP5390"/>
      <c r="AQ5390"/>
      <c r="AR5390"/>
      <c r="AS5390"/>
      <c r="AT5390"/>
      <c r="AU5390"/>
      <c r="AV5390"/>
    </row>
    <row r="5391" spans="41:48" x14ac:dyDescent="0.35">
      <c r="AO5391"/>
      <c r="AP5391"/>
      <c r="AQ5391"/>
      <c r="AR5391"/>
      <c r="AS5391"/>
      <c r="AT5391"/>
      <c r="AU5391"/>
      <c r="AV5391"/>
    </row>
    <row r="5392" spans="41:48" x14ac:dyDescent="0.35">
      <c r="AO5392"/>
      <c r="AP5392"/>
      <c r="AQ5392"/>
      <c r="AR5392"/>
      <c r="AS5392"/>
      <c r="AT5392"/>
      <c r="AU5392"/>
      <c r="AV5392"/>
    </row>
    <row r="5393" spans="41:48" x14ac:dyDescent="0.35">
      <c r="AO5393"/>
      <c r="AP5393"/>
      <c r="AQ5393"/>
      <c r="AR5393"/>
      <c r="AS5393"/>
      <c r="AT5393"/>
      <c r="AU5393"/>
      <c r="AV5393"/>
    </row>
    <row r="5394" spans="41:48" x14ac:dyDescent="0.35">
      <c r="AO5394"/>
      <c r="AP5394"/>
      <c r="AQ5394"/>
      <c r="AR5394"/>
      <c r="AS5394"/>
      <c r="AT5394"/>
      <c r="AU5394"/>
      <c r="AV5394"/>
    </row>
    <row r="5395" spans="41:48" x14ac:dyDescent="0.35">
      <c r="AO5395"/>
      <c r="AP5395"/>
      <c r="AQ5395"/>
      <c r="AR5395"/>
      <c r="AS5395"/>
      <c r="AT5395"/>
      <c r="AU5395"/>
      <c r="AV5395"/>
    </row>
    <row r="5396" spans="41:48" x14ac:dyDescent="0.35">
      <c r="AO5396"/>
      <c r="AP5396"/>
      <c r="AQ5396"/>
      <c r="AR5396"/>
      <c r="AS5396"/>
      <c r="AT5396"/>
      <c r="AU5396"/>
      <c r="AV5396"/>
    </row>
    <row r="5397" spans="41:48" x14ac:dyDescent="0.35">
      <c r="AO5397"/>
      <c r="AP5397"/>
      <c r="AQ5397"/>
      <c r="AR5397"/>
      <c r="AS5397"/>
      <c r="AT5397"/>
      <c r="AU5397"/>
      <c r="AV5397"/>
    </row>
    <row r="5398" spans="41:48" x14ac:dyDescent="0.35">
      <c r="AO5398"/>
      <c r="AP5398"/>
      <c r="AQ5398"/>
      <c r="AR5398"/>
      <c r="AS5398"/>
      <c r="AT5398"/>
      <c r="AU5398"/>
      <c r="AV5398"/>
    </row>
    <row r="5399" spans="41:48" x14ac:dyDescent="0.35">
      <c r="AO5399"/>
      <c r="AP5399"/>
      <c r="AQ5399"/>
      <c r="AR5399"/>
      <c r="AS5399"/>
      <c r="AT5399"/>
      <c r="AU5399"/>
      <c r="AV5399"/>
    </row>
    <row r="5400" spans="41:48" x14ac:dyDescent="0.35">
      <c r="AO5400"/>
      <c r="AP5400"/>
      <c r="AQ5400"/>
      <c r="AR5400"/>
      <c r="AS5400"/>
      <c r="AT5400"/>
      <c r="AU5400"/>
      <c r="AV5400"/>
    </row>
    <row r="5401" spans="41:48" x14ac:dyDescent="0.35">
      <c r="AO5401"/>
      <c r="AP5401"/>
      <c r="AQ5401"/>
      <c r="AR5401"/>
      <c r="AS5401"/>
      <c r="AT5401"/>
      <c r="AU5401"/>
      <c r="AV5401"/>
    </row>
    <row r="5402" spans="41:48" x14ac:dyDescent="0.35">
      <c r="AO5402"/>
      <c r="AP5402"/>
      <c r="AQ5402"/>
      <c r="AR5402"/>
      <c r="AS5402"/>
      <c r="AT5402"/>
      <c r="AU5402"/>
      <c r="AV5402"/>
    </row>
    <row r="5403" spans="41:48" x14ac:dyDescent="0.35">
      <c r="AO5403"/>
      <c r="AP5403"/>
      <c r="AQ5403"/>
      <c r="AR5403"/>
      <c r="AS5403"/>
      <c r="AT5403"/>
      <c r="AU5403"/>
      <c r="AV5403"/>
    </row>
    <row r="5404" spans="41:48" x14ac:dyDescent="0.35">
      <c r="AO5404"/>
      <c r="AP5404"/>
      <c r="AQ5404"/>
      <c r="AR5404"/>
      <c r="AS5404"/>
      <c r="AT5404"/>
      <c r="AU5404"/>
      <c r="AV5404"/>
    </row>
    <row r="5405" spans="41:48" x14ac:dyDescent="0.35">
      <c r="AO5405"/>
      <c r="AP5405"/>
      <c r="AQ5405"/>
      <c r="AR5405"/>
      <c r="AS5405"/>
      <c r="AT5405"/>
      <c r="AU5405"/>
      <c r="AV5405"/>
    </row>
    <row r="5406" spans="41:48" x14ac:dyDescent="0.35">
      <c r="AO5406"/>
      <c r="AP5406"/>
      <c r="AQ5406"/>
      <c r="AR5406"/>
      <c r="AS5406"/>
      <c r="AT5406"/>
      <c r="AU5406"/>
      <c r="AV5406"/>
    </row>
    <row r="5407" spans="41:48" x14ac:dyDescent="0.35">
      <c r="AO5407"/>
      <c r="AP5407"/>
      <c r="AQ5407"/>
      <c r="AR5407"/>
      <c r="AS5407"/>
      <c r="AT5407"/>
      <c r="AU5407"/>
      <c r="AV5407"/>
    </row>
    <row r="5408" spans="41:48" x14ac:dyDescent="0.35">
      <c r="AO5408"/>
      <c r="AP5408"/>
      <c r="AQ5408"/>
      <c r="AR5408"/>
      <c r="AS5408"/>
      <c r="AT5408"/>
      <c r="AU5408"/>
      <c r="AV5408"/>
    </row>
    <row r="5409" spans="41:48" x14ac:dyDescent="0.35">
      <c r="AO5409"/>
      <c r="AP5409"/>
      <c r="AQ5409"/>
      <c r="AR5409"/>
      <c r="AS5409"/>
      <c r="AT5409"/>
      <c r="AU5409"/>
      <c r="AV5409"/>
    </row>
    <row r="5410" spans="41:48" x14ac:dyDescent="0.35">
      <c r="AO5410"/>
      <c r="AP5410"/>
      <c r="AQ5410"/>
      <c r="AR5410"/>
      <c r="AS5410"/>
      <c r="AT5410"/>
      <c r="AU5410"/>
      <c r="AV5410"/>
    </row>
    <row r="5411" spans="41:48" x14ac:dyDescent="0.35">
      <c r="AO5411"/>
      <c r="AP5411"/>
      <c r="AQ5411"/>
      <c r="AR5411"/>
      <c r="AS5411"/>
      <c r="AT5411"/>
      <c r="AU5411"/>
      <c r="AV5411"/>
    </row>
    <row r="5412" spans="41:48" x14ac:dyDescent="0.35">
      <c r="AO5412"/>
      <c r="AP5412"/>
      <c r="AQ5412"/>
      <c r="AR5412"/>
      <c r="AS5412"/>
      <c r="AT5412"/>
      <c r="AU5412"/>
      <c r="AV5412"/>
    </row>
    <row r="5413" spans="41:48" x14ac:dyDescent="0.35">
      <c r="AO5413"/>
      <c r="AP5413"/>
      <c r="AQ5413"/>
      <c r="AR5413"/>
      <c r="AS5413"/>
      <c r="AT5413"/>
      <c r="AU5413"/>
      <c r="AV5413"/>
    </row>
    <row r="5414" spans="41:48" x14ac:dyDescent="0.35">
      <c r="AO5414"/>
      <c r="AP5414"/>
      <c r="AQ5414"/>
      <c r="AR5414"/>
      <c r="AS5414"/>
      <c r="AT5414"/>
      <c r="AU5414"/>
      <c r="AV5414"/>
    </row>
    <row r="5415" spans="41:48" x14ac:dyDescent="0.35">
      <c r="AO5415"/>
      <c r="AP5415"/>
      <c r="AQ5415"/>
      <c r="AR5415"/>
      <c r="AS5415"/>
      <c r="AT5415"/>
      <c r="AU5415"/>
      <c r="AV5415"/>
    </row>
    <row r="5416" spans="41:48" x14ac:dyDescent="0.35">
      <c r="AO5416"/>
      <c r="AP5416"/>
      <c r="AQ5416"/>
      <c r="AR5416"/>
      <c r="AS5416"/>
      <c r="AT5416"/>
      <c r="AU5416"/>
      <c r="AV5416"/>
    </row>
    <row r="5417" spans="41:48" x14ac:dyDescent="0.35">
      <c r="AO5417"/>
      <c r="AP5417"/>
      <c r="AQ5417"/>
      <c r="AR5417"/>
      <c r="AS5417"/>
      <c r="AT5417"/>
      <c r="AU5417"/>
      <c r="AV5417"/>
    </row>
    <row r="5418" spans="41:48" x14ac:dyDescent="0.35">
      <c r="AO5418"/>
      <c r="AP5418"/>
      <c r="AQ5418"/>
      <c r="AR5418"/>
      <c r="AS5418"/>
      <c r="AT5418"/>
      <c r="AU5418"/>
      <c r="AV5418"/>
    </row>
    <row r="5419" spans="41:48" x14ac:dyDescent="0.35">
      <c r="AO5419"/>
      <c r="AP5419"/>
      <c r="AQ5419"/>
      <c r="AR5419"/>
      <c r="AS5419"/>
      <c r="AT5419"/>
      <c r="AU5419"/>
      <c r="AV5419"/>
    </row>
    <row r="5420" spans="41:48" x14ac:dyDescent="0.35">
      <c r="AO5420"/>
      <c r="AP5420"/>
      <c r="AQ5420"/>
      <c r="AR5420"/>
      <c r="AS5420"/>
      <c r="AT5420"/>
      <c r="AU5420"/>
      <c r="AV5420"/>
    </row>
    <row r="5421" spans="41:48" x14ac:dyDescent="0.35">
      <c r="AO5421"/>
      <c r="AP5421"/>
      <c r="AQ5421"/>
      <c r="AR5421"/>
      <c r="AS5421"/>
      <c r="AT5421"/>
      <c r="AU5421"/>
      <c r="AV5421"/>
    </row>
    <row r="5422" spans="41:48" x14ac:dyDescent="0.35">
      <c r="AO5422"/>
      <c r="AP5422"/>
      <c r="AQ5422"/>
      <c r="AR5422"/>
      <c r="AS5422"/>
      <c r="AT5422"/>
      <c r="AU5422"/>
      <c r="AV5422"/>
    </row>
    <row r="5423" spans="41:48" x14ac:dyDescent="0.35">
      <c r="AO5423"/>
      <c r="AP5423"/>
      <c r="AQ5423"/>
      <c r="AR5423"/>
      <c r="AS5423"/>
      <c r="AT5423"/>
      <c r="AU5423"/>
      <c r="AV5423"/>
    </row>
    <row r="5424" spans="41:48" x14ac:dyDescent="0.35">
      <c r="AO5424"/>
      <c r="AP5424"/>
      <c r="AQ5424"/>
      <c r="AR5424"/>
      <c r="AS5424"/>
      <c r="AT5424"/>
      <c r="AU5424"/>
      <c r="AV5424"/>
    </row>
    <row r="5425" spans="41:48" x14ac:dyDescent="0.35">
      <c r="AO5425"/>
      <c r="AP5425"/>
      <c r="AQ5425"/>
      <c r="AR5425"/>
      <c r="AS5425"/>
      <c r="AT5425"/>
      <c r="AU5425"/>
      <c r="AV5425"/>
    </row>
    <row r="5426" spans="41:48" x14ac:dyDescent="0.35">
      <c r="AO5426"/>
      <c r="AP5426"/>
      <c r="AQ5426"/>
      <c r="AR5426"/>
      <c r="AS5426"/>
      <c r="AT5426"/>
      <c r="AU5426"/>
      <c r="AV5426"/>
    </row>
    <row r="5427" spans="41:48" x14ac:dyDescent="0.35">
      <c r="AO5427"/>
      <c r="AP5427"/>
      <c r="AQ5427"/>
      <c r="AR5427"/>
      <c r="AS5427"/>
      <c r="AT5427"/>
      <c r="AU5427"/>
      <c r="AV5427"/>
    </row>
    <row r="5428" spans="41:48" x14ac:dyDescent="0.35">
      <c r="AO5428"/>
      <c r="AP5428"/>
      <c r="AQ5428"/>
      <c r="AR5428"/>
      <c r="AS5428"/>
      <c r="AT5428"/>
      <c r="AU5428"/>
      <c r="AV5428"/>
    </row>
    <row r="5429" spans="41:48" x14ac:dyDescent="0.35">
      <c r="AO5429"/>
      <c r="AP5429"/>
      <c r="AQ5429"/>
      <c r="AR5429"/>
      <c r="AS5429"/>
      <c r="AT5429"/>
      <c r="AU5429"/>
      <c r="AV5429"/>
    </row>
    <row r="5430" spans="41:48" x14ac:dyDescent="0.35">
      <c r="AO5430"/>
      <c r="AP5430"/>
      <c r="AQ5430"/>
      <c r="AR5430"/>
      <c r="AS5430"/>
      <c r="AT5430"/>
      <c r="AU5430"/>
      <c r="AV5430"/>
    </row>
    <row r="5431" spans="41:48" x14ac:dyDescent="0.35">
      <c r="AO5431"/>
      <c r="AP5431"/>
      <c r="AQ5431"/>
      <c r="AR5431"/>
      <c r="AS5431"/>
      <c r="AT5431"/>
      <c r="AU5431"/>
      <c r="AV5431"/>
    </row>
    <row r="5432" spans="41:48" x14ac:dyDescent="0.35">
      <c r="AO5432"/>
      <c r="AP5432"/>
      <c r="AQ5432"/>
      <c r="AR5432"/>
      <c r="AS5432"/>
      <c r="AT5432"/>
      <c r="AU5432"/>
      <c r="AV5432"/>
    </row>
    <row r="5433" spans="41:48" x14ac:dyDescent="0.35">
      <c r="AO5433"/>
      <c r="AP5433"/>
      <c r="AQ5433"/>
      <c r="AR5433"/>
      <c r="AS5433"/>
      <c r="AT5433"/>
      <c r="AU5433"/>
      <c r="AV5433"/>
    </row>
    <row r="5434" spans="41:48" x14ac:dyDescent="0.35">
      <c r="AO5434"/>
      <c r="AP5434"/>
      <c r="AQ5434"/>
      <c r="AR5434"/>
      <c r="AS5434"/>
      <c r="AT5434"/>
      <c r="AU5434"/>
      <c r="AV5434"/>
    </row>
    <row r="5435" spans="41:48" x14ac:dyDescent="0.35">
      <c r="AO5435"/>
      <c r="AP5435"/>
      <c r="AQ5435"/>
      <c r="AR5435"/>
      <c r="AS5435"/>
      <c r="AT5435"/>
      <c r="AU5435"/>
      <c r="AV5435"/>
    </row>
    <row r="5436" spans="41:48" x14ac:dyDescent="0.35">
      <c r="AO5436"/>
      <c r="AP5436"/>
      <c r="AQ5436"/>
      <c r="AR5436"/>
      <c r="AS5436"/>
      <c r="AT5436"/>
      <c r="AU5436"/>
      <c r="AV5436"/>
    </row>
    <row r="5437" spans="41:48" x14ac:dyDescent="0.35">
      <c r="AO5437"/>
      <c r="AP5437"/>
      <c r="AQ5437"/>
      <c r="AR5437"/>
      <c r="AS5437"/>
      <c r="AT5437"/>
      <c r="AU5437"/>
      <c r="AV5437"/>
    </row>
    <row r="5438" spans="41:48" x14ac:dyDescent="0.35">
      <c r="AO5438"/>
      <c r="AP5438"/>
      <c r="AQ5438"/>
      <c r="AR5438"/>
      <c r="AS5438"/>
      <c r="AT5438"/>
      <c r="AU5438"/>
      <c r="AV5438"/>
    </row>
    <row r="5439" spans="41:48" x14ac:dyDescent="0.35">
      <c r="AO5439"/>
      <c r="AP5439"/>
      <c r="AQ5439"/>
      <c r="AR5439"/>
      <c r="AS5439"/>
      <c r="AT5439"/>
      <c r="AU5439"/>
      <c r="AV5439"/>
    </row>
    <row r="5440" spans="41:48" x14ac:dyDescent="0.35">
      <c r="AO5440"/>
      <c r="AP5440"/>
      <c r="AQ5440"/>
      <c r="AR5440"/>
      <c r="AS5440"/>
      <c r="AT5440"/>
      <c r="AU5440"/>
      <c r="AV5440"/>
    </row>
    <row r="5441" spans="41:48" x14ac:dyDescent="0.35">
      <c r="AO5441"/>
      <c r="AP5441"/>
      <c r="AQ5441"/>
      <c r="AR5441"/>
      <c r="AS5441"/>
      <c r="AT5441"/>
      <c r="AU5441"/>
      <c r="AV5441"/>
    </row>
    <row r="5442" spans="41:48" x14ac:dyDescent="0.35">
      <c r="AO5442"/>
      <c r="AP5442"/>
      <c r="AQ5442"/>
      <c r="AR5442"/>
      <c r="AS5442"/>
      <c r="AT5442"/>
      <c r="AU5442"/>
      <c r="AV5442"/>
    </row>
    <row r="5443" spans="41:48" x14ac:dyDescent="0.35">
      <c r="AO5443"/>
      <c r="AP5443"/>
      <c r="AQ5443"/>
      <c r="AR5443"/>
      <c r="AS5443"/>
      <c r="AT5443"/>
      <c r="AU5443"/>
      <c r="AV5443"/>
    </row>
    <row r="5444" spans="41:48" x14ac:dyDescent="0.35">
      <c r="AO5444"/>
      <c r="AP5444"/>
      <c r="AQ5444"/>
      <c r="AR5444"/>
      <c r="AS5444"/>
      <c r="AT5444"/>
      <c r="AU5444"/>
      <c r="AV5444"/>
    </row>
    <row r="5445" spans="41:48" x14ac:dyDescent="0.35">
      <c r="AO5445"/>
      <c r="AP5445"/>
      <c r="AQ5445"/>
      <c r="AR5445"/>
      <c r="AS5445"/>
      <c r="AT5445"/>
      <c r="AU5445"/>
      <c r="AV5445"/>
    </row>
    <row r="5446" spans="41:48" x14ac:dyDescent="0.35">
      <c r="AO5446"/>
      <c r="AP5446"/>
      <c r="AQ5446"/>
      <c r="AR5446"/>
      <c r="AS5446"/>
      <c r="AT5446"/>
      <c r="AU5446"/>
      <c r="AV5446"/>
    </row>
    <row r="5447" spans="41:48" x14ac:dyDescent="0.35">
      <c r="AO5447"/>
      <c r="AP5447"/>
      <c r="AQ5447"/>
      <c r="AR5447"/>
      <c r="AS5447"/>
      <c r="AT5447"/>
      <c r="AU5447"/>
      <c r="AV5447"/>
    </row>
    <row r="5448" spans="41:48" x14ac:dyDescent="0.35">
      <c r="AO5448"/>
      <c r="AP5448"/>
      <c r="AQ5448"/>
      <c r="AR5448"/>
      <c r="AS5448"/>
      <c r="AT5448"/>
      <c r="AU5448"/>
      <c r="AV5448"/>
    </row>
    <row r="5449" spans="41:48" x14ac:dyDescent="0.35">
      <c r="AO5449"/>
      <c r="AP5449"/>
      <c r="AQ5449"/>
      <c r="AR5449"/>
      <c r="AS5449"/>
      <c r="AT5449"/>
      <c r="AU5449"/>
      <c r="AV5449"/>
    </row>
    <row r="5450" spans="41:48" x14ac:dyDescent="0.35">
      <c r="AO5450"/>
      <c r="AP5450"/>
      <c r="AQ5450"/>
      <c r="AR5450"/>
      <c r="AS5450"/>
      <c r="AT5450"/>
      <c r="AU5450"/>
      <c r="AV5450"/>
    </row>
    <row r="5451" spans="41:48" x14ac:dyDescent="0.35">
      <c r="AO5451"/>
      <c r="AP5451"/>
      <c r="AQ5451"/>
      <c r="AR5451"/>
      <c r="AS5451"/>
      <c r="AT5451"/>
      <c r="AU5451"/>
      <c r="AV5451"/>
    </row>
    <row r="5452" spans="41:48" x14ac:dyDescent="0.35">
      <c r="AO5452"/>
      <c r="AP5452"/>
      <c r="AQ5452"/>
      <c r="AR5452"/>
      <c r="AS5452"/>
      <c r="AT5452"/>
      <c r="AU5452"/>
      <c r="AV5452"/>
    </row>
    <row r="5453" spans="41:48" x14ac:dyDescent="0.35">
      <c r="AO5453"/>
      <c r="AP5453"/>
      <c r="AQ5453"/>
      <c r="AR5453"/>
      <c r="AS5453"/>
      <c r="AT5453"/>
      <c r="AU5453"/>
      <c r="AV5453"/>
    </row>
    <row r="5454" spans="41:48" x14ac:dyDescent="0.35">
      <c r="AO5454"/>
      <c r="AP5454"/>
      <c r="AQ5454"/>
      <c r="AR5454"/>
      <c r="AS5454"/>
      <c r="AT5454"/>
      <c r="AU5454"/>
      <c r="AV5454"/>
    </row>
    <row r="5455" spans="41:48" x14ac:dyDescent="0.35">
      <c r="AO5455"/>
      <c r="AP5455"/>
      <c r="AQ5455"/>
      <c r="AR5455"/>
      <c r="AS5455"/>
      <c r="AT5455"/>
      <c r="AU5455"/>
      <c r="AV5455"/>
    </row>
    <row r="5456" spans="41:48" x14ac:dyDescent="0.35">
      <c r="AO5456"/>
      <c r="AP5456"/>
      <c r="AQ5456"/>
      <c r="AR5456"/>
      <c r="AS5456"/>
      <c r="AT5456"/>
      <c r="AU5456"/>
      <c r="AV5456"/>
    </row>
    <row r="5457" spans="41:48" x14ac:dyDescent="0.35">
      <c r="AO5457"/>
      <c r="AP5457"/>
      <c r="AQ5457"/>
      <c r="AR5457"/>
      <c r="AS5457"/>
      <c r="AT5457"/>
      <c r="AU5457"/>
      <c r="AV5457"/>
    </row>
    <row r="5458" spans="41:48" x14ac:dyDescent="0.35">
      <c r="AO5458"/>
      <c r="AP5458"/>
      <c r="AQ5458"/>
      <c r="AR5458"/>
      <c r="AS5458"/>
      <c r="AT5458"/>
      <c r="AU5458"/>
      <c r="AV5458"/>
    </row>
    <row r="5459" spans="41:48" x14ac:dyDescent="0.35">
      <c r="AO5459"/>
      <c r="AP5459"/>
      <c r="AQ5459"/>
      <c r="AR5459"/>
      <c r="AS5459"/>
      <c r="AT5459"/>
      <c r="AU5459"/>
      <c r="AV5459"/>
    </row>
    <row r="5460" spans="41:48" x14ac:dyDescent="0.35">
      <c r="AO5460"/>
      <c r="AP5460"/>
      <c r="AQ5460"/>
      <c r="AR5460"/>
      <c r="AS5460"/>
      <c r="AT5460"/>
      <c r="AU5460"/>
      <c r="AV5460"/>
    </row>
    <row r="5461" spans="41:48" x14ac:dyDescent="0.35">
      <c r="AO5461"/>
      <c r="AP5461"/>
      <c r="AQ5461"/>
      <c r="AR5461"/>
      <c r="AS5461"/>
      <c r="AT5461"/>
      <c r="AU5461"/>
      <c r="AV5461"/>
    </row>
    <row r="5462" spans="41:48" x14ac:dyDescent="0.35">
      <c r="AO5462"/>
      <c r="AP5462"/>
      <c r="AQ5462"/>
      <c r="AR5462"/>
      <c r="AS5462"/>
      <c r="AT5462"/>
      <c r="AU5462"/>
      <c r="AV5462"/>
    </row>
    <row r="5463" spans="41:48" x14ac:dyDescent="0.35">
      <c r="AO5463"/>
      <c r="AP5463"/>
      <c r="AQ5463"/>
      <c r="AR5463"/>
      <c r="AS5463"/>
      <c r="AT5463"/>
      <c r="AU5463"/>
      <c r="AV5463"/>
    </row>
    <row r="5464" spans="41:48" x14ac:dyDescent="0.35">
      <c r="AO5464"/>
      <c r="AP5464"/>
      <c r="AQ5464"/>
      <c r="AR5464"/>
      <c r="AS5464"/>
      <c r="AT5464"/>
      <c r="AU5464"/>
      <c r="AV5464"/>
    </row>
    <row r="5465" spans="41:48" x14ac:dyDescent="0.35">
      <c r="AO5465"/>
      <c r="AP5465"/>
      <c r="AQ5465"/>
      <c r="AR5465"/>
      <c r="AS5465"/>
      <c r="AT5465"/>
      <c r="AU5465"/>
      <c r="AV5465"/>
    </row>
    <row r="5466" spans="41:48" x14ac:dyDescent="0.35">
      <c r="AO5466"/>
      <c r="AP5466"/>
      <c r="AQ5466"/>
      <c r="AR5466"/>
      <c r="AS5466"/>
      <c r="AT5466"/>
      <c r="AU5466"/>
      <c r="AV5466"/>
    </row>
    <row r="5467" spans="41:48" x14ac:dyDescent="0.35">
      <c r="AO5467"/>
      <c r="AP5467"/>
      <c r="AQ5467"/>
      <c r="AR5467"/>
      <c r="AS5467"/>
      <c r="AT5467"/>
      <c r="AU5467"/>
      <c r="AV5467"/>
    </row>
    <row r="5468" spans="41:48" x14ac:dyDescent="0.35">
      <c r="AO5468"/>
      <c r="AP5468"/>
      <c r="AQ5468"/>
      <c r="AR5468"/>
      <c r="AS5468"/>
      <c r="AT5468"/>
      <c r="AU5468"/>
      <c r="AV5468"/>
    </row>
    <row r="5469" spans="41:48" x14ac:dyDescent="0.35">
      <c r="AO5469"/>
      <c r="AP5469"/>
      <c r="AQ5469"/>
      <c r="AR5469"/>
      <c r="AS5469"/>
      <c r="AT5469"/>
      <c r="AU5469"/>
      <c r="AV5469"/>
    </row>
    <row r="5470" spans="41:48" x14ac:dyDescent="0.35">
      <c r="AO5470"/>
      <c r="AP5470"/>
      <c r="AQ5470"/>
      <c r="AR5470"/>
      <c r="AS5470"/>
      <c r="AT5470"/>
      <c r="AU5470"/>
      <c r="AV5470"/>
    </row>
    <row r="5471" spans="41:48" x14ac:dyDescent="0.35">
      <c r="AO5471"/>
      <c r="AP5471"/>
      <c r="AQ5471"/>
      <c r="AR5471"/>
      <c r="AS5471"/>
      <c r="AT5471"/>
      <c r="AU5471"/>
      <c r="AV5471"/>
    </row>
    <row r="5472" spans="41:48" x14ac:dyDescent="0.35">
      <c r="AO5472"/>
      <c r="AP5472"/>
      <c r="AQ5472"/>
      <c r="AR5472"/>
      <c r="AS5472"/>
      <c r="AT5472"/>
      <c r="AU5472"/>
      <c r="AV5472"/>
    </row>
    <row r="5473" spans="41:48" x14ac:dyDescent="0.35">
      <c r="AO5473"/>
      <c r="AP5473"/>
      <c r="AQ5473"/>
      <c r="AR5473"/>
      <c r="AS5473"/>
      <c r="AT5473"/>
      <c r="AU5473"/>
      <c r="AV5473"/>
    </row>
    <row r="5474" spans="41:48" x14ac:dyDescent="0.35">
      <c r="AO5474"/>
      <c r="AP5474"/>
      <c r="AQ5474"/>
      <c r="AR5474"/>
      <c r="AS5474"/>
      <c r="AT5474"/>
      <c r="AU5474"/>
      <c r="AV5474"/>
    </row>
    <row r="5475" spans="41:48" x14ac:dyDescent="0.35">
      <c r="AO5475"/>
      <c r="AP5475"/>
      <c r="AQ5475"/>
      <c r="AR5475"/>
      <c r="AS5475"/>
      <c r="AT5475"/>
      <c r="AU5475"/>
      <c r="AV5475"/>
    </row>
    <row r="5476" spans="41:48" x14ac:dyDescent="0.35">
      <c r="AO5476"/>
      <c r="AP5476"/>
      <c r="AQ5476"/>
      <c r="AR5476"/>
      <c r="AS5476"/>
      <c r="AT5476"/>
      <c r="AU5476"/>
      <c r="AV5476"/>
    </row>
    <row r="5477" spans="41:48" x14ac:dyDescent="0.35">
      <c r="AO5477"/>
      <c r="AP5477"/>
      <c r="AQ5477"/>
      <c r="AR5477"/>
      <c r="AS5477"/>
      <c r="AT5477"/>
      <c r="AU5477"/>
      <c r="AV5477"/>
    </row>
    <row r="5478" spans="41:48" x14ac:dyDescent="0.35">
      <c r="AO5478"/>
      <c r="AP5478"/>
      <c r="AQ5478"/>
      <c r="AR5478"/>
      <c r="AS5478"/>
      <c r="AT5478"/>
      <c r="AU5478"/>
      <c r="AV5478"/>
    </row>
    <row r="5479" spans="41:48" x14ac:dyDescent="0.35">
      <c r="AO5479"/>
      <c r="AP5479"/>
      <c r="AQ5479"/>
      <c r="AR5479"/>
      <c r="AS5479"/>
      <c r="AT5479"/>
      <c r="AU5479"/>
      <c r="AV5479"/>
    </row>
    <row r="5480" spans="41:48" x14ac:dyDescent="0.35">
      <c r="AO5480"/>
      <c r="AP5480"/>
      <c r="AQ5480"/>
      <c r="AR5480"/>
      <c r="AS5480"/>
      <c r="AT5480"/>
      <c r="AU5480"/>
      <c r="AV5480"/>
    </row>
    <row r="5481" spans="41:48" x14ac:dyDescent="0.35">
      <c r="AO5481"/>
      <c r="AP5481"/>
      <c r="AQ5481"/>
      <c r="AR5481"/>
      <c r="AS5481"/>
      <c r="AT5481"/>
      <c r="AU5481"/>
      <c r="AV5481"/>
    </row>
    <row r="5482" spans="41:48" x14ac:dyDescent="0.35">
      <c r="AO5482"/>
      <c r="AP5482"/>
      <c r="AQ5482"/>
      <c r="AR5482"/>
      <c r="AS5482"/>
      <c r="AT5482"/>
      <c r="AU5482"/>
      <c r="AV5482"/>
    </row>
    <row r="5483" spans="41:48" x14ac:dyDescent="0.35">
      <c r="AO5483"/>
      <c r="AP5483"/>
      <c r="AQ5483"/>
      <c r="AR5483"/>
      <c r="AS5483"/>
      <c r="AT5483"/>
      <c r="AU5483"/>
      <c r="AV5483"/>
    </row>
    <row r="5484" spans="41:48" x14ac:dyDescent="0.35">
      <c r="AO5484"/>
      <c r="AP5484"/>
      <c r="AQ5484"/>
      <c r="AR5484"/>
      <c r="AS5484"/>
      <c r="AT5484"/>
      <c r="AU5484"/>
      <c r="AV5484"/>
    </row>
    <row r="5485" spans="41:48" x14ac:dyDescent="0.35">
      <c r="AO5485"/>
      <c r="AP5485"/>
      <c r="AQ5485"/>
      <c r="AR5485"/>
      <c r="AS5485"/>
      <c r="AT5485"/>
      <c r="AU5485"/>
      <c r="AV5485"/>
    </row>
    <row r="5486" spans="41:48" x14ac:dyDescent="0.35">
      <c r="AO5486"/>
      <c r="AP5486"/>
      <c r="AQ5486"/>
      <c r="AR5486"/>
      <c r="AS5486"/>
      <c r="AT5486"/>
      <c r="AU5486"/>
      <c r="AV5486"/>
    </row>
    <row r="5487" spans="41:48" x14ac:dyDescent="0.35">
      <c r="AO5487"/>
      <c r="AP5487"/>
      <c r="AQ5487"/>
      <c r="AR5487"/>
      <c r="AS5487"/>
      <c r="AT5487"/>
      <c r="AU5487"/>
      <c r="AV5487"/>
    </row>
    <row r="5488" spans="41:48" x14ac:dyDescent="0.35">
      <c r="AO5488"/>
      <c r="AP5488"/>
      <c r="AQ5488"/>
      <c r="AR5488"/>
      <c r="AS5488"/>
      <c r="AT5488"/>
      <c r="AU5488"/>
      <c r="AV5488"/>
    </row>
    <row r="5489" spans="41:48" x14ac:dyDescent="0.35">
      <c r="AO5489"/>
      <c r="AP5489"/>
      <c r="AQ5489"/>
      <c r="AR5489"/>
      <c r="AS5489"/>
      <c r="AT5489"/>
      <c r="AU5489"/>
      <c r="AV5489"/>
    </row>
    <row r="5490" spans="41:48" x14ac:dyDescent="0.35">
      <c r="AO5490"/>
      <c r="AP5490"/>
      <c r="AQ5490"/>
      <c r="AR5490"/>
      <c r="AS5490"/>
      <c r="AT5490"/>
      <c r="AU5490"/>
      <c r="AV5490"/>
    </row>
    <row r="5491" spans="41:48" x14ac:dyDescent="0.35">
      <c r="AO5491"/>
      <c r="AP5491"/>
      <c r="AQ5491"/>
      <c r="AR5491"/>
      <c r="AS5491"/>
      <c r="AT5491"/>
      <c r="AU5491"/>
      <c r="AV5491"/>
    </row>
    <row r="5492" spans="41:48" x14ac:dyDescent="0.35">
      <c r="AO5492"/>
      <c r="AP5492"/>
      <c r="AQ5492"/>
      <c r="AR5492"/>
      <c r="AS5492"/>
      <c r="AT5492"/>
      <c r="AU5492"/>
      <c r="AV5492"/>
    </row>
    <row r="5493" spans="41:48" x14ac:dyDescent="0.35">
      <c r="AO5493"/>
      <c r="AP5493"/>
      <c r="AQ5493"/>
      <c r="AR5493"/>
      <c r="AS5493"/>
      <c r="AT5493"/>
      <c r="AU5493"/>
      <c r="AV5493"/>
    </row>
    <row r="5494" spans="41:48" x14ac:dyDescent="0.35">
      <c r="AO5494"/>
      <c r="AP5494"/>
      <c r="AQ5494"/>
      <c r="AR5494"/>
      <c r="AS5494"/>
      <c r="AT5494"/>
      <c r="AU5494"/>
      <c r="AV5494"/>
    </row>
    <row r="5495" spans="41:48" x14ac:dyDescent="0.35">
      <c r="AO5495"/>
      <c r="AP5495"/>
      <c r="AQ5495"/>
      <c r="AR5495"/>
      <c r="AS5495"/>
      <c r="AT5495"/>
      <c r="AU5495"/>
      <c r="AV5495"/>
    </row>
    <row r="5496" spans="41:48" x14ac:dyDescent="0.35">
      <c r="AO5496"/>
      <c r="AP5496"/>
      <c r="AQ5496"/>
      <c r="AR5496"/>
      <c r="AS5496"/>
      <c r="AT5496"/>
      <c r="AU5496"/>
      <c r="AV5496"/>
    </row>
    <row r="5497" spans="41:48" x14ac:dyDescent="0.35">
      <c r="AO5497"/>
      <c r="AP5497"/>
      <c r="AQ5497"/>
      <c r="AR5497"/>
      <c r="AS5497"/>
      <c r="AT5497"/>
      <c r="AU5497"/>
      <c r="AV5497"/>
    </row>
    <row r="5498" spans="41:48" x14ac:dyDescent="0.35">
      <c r="AO5498"/>
      <c r="AP5498"/>
      <c r="AQ5498"/>
      <c r="AR5498"/>
      <c r="AS5498"/>
      <c r="AT5498"/>
      <c r="AU5498"/>
      <c r="AV5498"/>
    </row>
    <row r="5499" spans="41:48" x14ac:dyDescent="0.35">
      <c r="AO5499"/>
      <c r="AP5499"/>
      <c r="AQ5499"/>
      <c r="AR5499"/>
      <c r="AS5499"/>
      <c r="AT5499"/>
      <c r="AU5499"/>
      <c r="AV5499"/>
    </row>
    <row r="5500" spans="41:48" x14ac:dyDescent="0.35">
      <c r="AO5500"/>
      <c r="AP5500"/>
      <c r="AQ5500"/>
      <c r="AR5500"/>
      <c r="AS5500"/>
      <c r="AT5500"/>
      <c r="AU5500"/>
      <c r="AV5500"/>
    </row>
    <row r="5501" spans="41:48" x14ac:dyDescent="0.35">
      <c r="AO5501"/>
      <c r="AP5501"/>
      <c r="AQ5501"/>
      <c r="AR5501"/>
      <c r="AS5501"/>
      <c r="AT5501"/>
      <c r="AU5501"/>
      <c r="AV5501"/>
    </row>
    <row r="5502" spans="41:48" x14ac:dyDescent="0.35">
      <c r="AO5502"/>
      <c r="AP5502"/>
      <c r="AQ5502"/>
      <c r="AR5502"/>
      <c r="AS5502"/>
      <c r="AT5502"/>
      <c r="AU5502"/>
      <c r="AV5502"/>
    </row>
    <row r="5503" spans="41:48" x14ac:dyDescent="0.35">
      <c r="AO5503"/>
      <c r="AP5503"/>
      <c r="AQ5503"/>
      <c r="AR5503"/>
      <c r="AS5503"/>
      <c r="AT5503"/>
      <c r="AU5503"/>
      <c r="AV5503"/>
    </row>
    <row r="5504" spans="41:48" x14ac:dyDescent="0.35">
      <c r="AO5504"/>
      <c r="AP5504"/>
      <c r="AQ5504"/>
      <c r="AR5504"/>
      <c r="AS5504"/>
      <c r="AT5504"/>
      <c r="AU5504"/>
      <c r="AV5504"/>
    </row>
    <row r="5505" spans="41:48" x14ac:dyDescent="0.35">
      <c r="AO5505"/>
      <c r="AP5505"/>
      <c r="AQ5505"/>
      <c r="AR5505"/>
      <c r="AS5505"/>
      <c r="AT5505"/>
      <c r="AU5505"/>
      <c r="AV5505"/>
    </row>
    <row r="5506" spans="41:48" x14ac:dyDescent="0.35">
      <c r="AO5506"/>
      <c r="AP5506"/>
      <c r="AQ5506"/>
      <c r="AR5506"/>
      <c r="AS5506"/>
      <c r="AT5506"/>
      <c r="AU5506"/>
      <c r="AV5506"/>
    </row>
    <row r="5507" spans="41:48" x14ac:dyDescent="0.35">
      <c r="AO5507"/>
      <c r="AP5507"/>
      <c r="AQ5507"/>
      <c r="AR5507"/>
      <c r="AS5507"/>
      <c r="AT5507"/>
      <c r="AU5507"/>
      <c r="AV5507"/>
    </row>
    <row r="5508" spans="41:48" x14ac:dyDescent="0.35">
      <c r="AO5508"/>
      <c r="AP5508"/>
      <c r="AQ5508"/>
      <c r="AR5508"/>
      <c r="AS5508"/>
      <c r="AT5508"/>
      <c r="AU5508"/>
      <c r="AV5508"/>
    </row>
    <row r="5509" spans="41:48" x14ac:dyDescent="0.35">
      <c r="AO5509"/>
      <c r="AP5509"/>
      <c r="AQ5509"/>
      <c r="AR5509"/>
      <c r="AS5509"/>
      <c r="AT5509"/>
      <c r="AU5509"/>
      <c r="AV5509"/>
    </row>
    <row r="5510" spans="41:48" x14ac:dyDescent="0.35">
      <c r="AO5510"/>
      <c r="AP5510"/>
      <c r="AQ5510"/>
      <c r="AR5510"/>
      <c r="AS5510"/>
      <c r="AT5510"/>
      <c r="AU5510"/>
      <c r="AV5510"/>
    </row>
    <row r="5511" spans="41:48" x14ac:dyDescent="0.35">
      <c r="AO5511"/>
      <c r="AP5511"/>
      <c r="AQ5511"/>
      <c r="AR5511"/>
      <c r="AS5511"/>
      <c r="AT5511"/>
      <c r="AU5511"/>
      <c r="AV5511"/>
    </row>
    <row r="5512" spans="41:48" x14ac:dyDescent="0.35">
      <c r="AO5512"/>
      <c r="AP5512"/>
      <c r="AQ5512"/>
      <c r="AR5512"/>
      <c r="AS5512"/>
      <c r="AT5512"/>
      <c r="AU5512"/>
      <c r="AV5512"/>
    </row>
    <row r="5513" spans="41:48" x14ac:dyDescent="0.35">
      <c r="AO5513"/>
      <c r="AP5513"/>
      <c r="AQ5513"/>
      <c r="AR5513"/>
      <c r="AS5513"/>
      <c r="AT5513"/>
      <c r="AU5513"/>
      <c r="AV5513"/>
    </row>
    <row r="5514" spans="41:48" x14ac:dyDescent="0.35">
      <c r="AO5514"/>
      <c r="AP5514"/>
      <c r="AQ5514"/>
      <c r="AR5514"/>
      <c r="AS5514"/>
      <c r="AT5514"/>
      <c r="AU5514"/>
      <c r="AV5514"/>
    </row>
    <row r="5515" spans="41:48" x14ac:dyDescent="0.35">
      <c r="AO5515"/>
      <c r="AP5515"/>
      <c r="AQ5515"/>
      <c r="AR5515"/>
      <c r="AS5515"/>
      <c r="AT5515"/>
      <c r="AU5515"/>
      <c r="AV5515"/>
    </row>
    <row r="5516" spans="41:48" x14ac:dyDescent="0.35">
      <c r="AO5516"/>
      <c r="AP5516"/>
      <c r="AQ5516"/>
      <c r="AR5516"/>
      <c r="AS5516"/>
      <c r="AT5516"/>
      <c r="AU5516"/>
      <c r="AV5516"/>
    </row>
    <row r="5517" spans="41:48" x14ac:dyDescent="0.35">
      <c r="AO5517"/>
      <c r="AP5517"/>
      <c r="AQ5517"/>
      <c r="AR5517"/>
      <c r="AS5517"/>
      <c r="AT5517"/>
      <c r="AU5517"/>
      <c r="AV5517"/>
    </row>
    <row r="5518" spans="41:48" x14ac:dyDescent="0.35">
      <c r="AO5518"/>
      <c r="AP5518"/>
      <c r="AQ5518"/>
      <c r="AR5518"/>
      <c r="AS5518"/>
      <c r="AT5518"/>
      <c r="AU5518"/>
      <c r="AV5518"/>
    </row>
    <row r="5519" spans="41:48" x14ac:dyDescent="0.35">
      <c r="AO5519"/>
      <c r="AP5519"/>
      <c r="AQ5519"/>
      <c r="AR5519"/>
      <c r="AS5519"/>
      <c r="AT5519"/>
      <c r="AU5519"/>
      <c r="AV5519"/>
    </row>
    <row r="5520" spans="41:48" x14ac:dyDescent="0.35">
      <c r="AO5520"/>
      <c r="AP5520"/>
      <c r="AQ5520"/>
      <c r="AR5520"/>
      <c r="AS5520"/>
      <c r="AT5520"/>
      <c r="AU5520"/>
      <c r="AV5520"/>
    </row>
    <row r="5521" spans="41:48" x14ac:dyDescent="0.35">
      <c r="AO5521"/>
      <c r="AP5521"/>
      <c r="AQ5521"/>
      <c r="AR5521"/>
      <c r="AS5521"/>
      <c r="AT5521"/>
      <c r="AU5521"/>
      <c r="AV5521"/>
    </row>
    <row r="5522" spans="41:48" x14ac:dyDescent="0.35">
      <c r="AO5522"/>
      <c r="AP5522"/>
      <c r="AQ5522"/>
      <c r="AR5522"/>
      <c r="AS5522"/>
      <c r="AT5522"/>
      <c r="AU5522"/>
      <c r="AV5522"/>
    </row>
    <row r="5523" spans="41:48" x14ac:dyDescent="0.35">
      <c r="AO5523"/>
      <c r="AP5523"/>
      <c r="AQ5523"/>
      <c r="AR5523"/>
      <c r="AS5523"/>
      <c r="AT5523"/>
      <c r="AU5523"/>
      <c r="AV5523"/>
    </row>
    <row r="5524" spans="41:48" x14ac:dyDescent="0.35">
      <c r="AO5524"/>
      <c r="AP5524"/>
      <c r="AQ5524"/>
      <c r="AR5524"/>
      <c r="AS5524"/>
      <c r="AT5524"/>
      <c r="AU5524"/>
      <c r="AV5524"/>
    </row>
    <row r="5525" spans="41:48" x14ac:dyDescent="0.35">
      <c r="AO5525"/>
      <c r="AP5525"/>
      <c r="AQ5525"/>
      <c r="AR5525"/>
      <c r="AS5525"/>
      <c r="AT5525"/>
      <c r="AU5525"/>
      <c r="AV5525"/>
    </row>
    <row r="5526" spans="41:48" x14ac:dyDescent="0.35">
      <c r="AO5526"/>
      <c r="AP5526"/>
      <c r="AQ5526"/>
      <c r="AR5526"/>
      <c r="AS5526"/>
      <c r="AT5526"/>
      <c r="AU5526"/>
      <c r="AV5526"/>
    </row>
    <row r="5527" spans="41:48" x14ac:dyDescent="0.35">
      <c r="AO5527"/>
      <c r="AP5527"/>
      <c r="AQ5527"/>
      <c r="AR5527"/>
      <c r="AS5527"/>
      <c r="AT5527"/>
      <c r="AU5527"/>
      <c r="AV5527"/>
    </row>
    <row r="5528" spans="41:48" x14ac:dyDescent="0.35">
      <c r="AO5528"/>
      <c r="AP5528"/>
      <c r="AQ5528"/>
      <c r="AR5528"/>
      <c r="AS5528"/>
      <c r="AT5528"/>
      <c r="AU5528"/>
      <c r="AV5528"/>
    </row>
    <row r="5529" spans="41:48" x14ac:dyDescent="0.35">
      <c r="AO5529"/>
      <c r="AP5529"/>
      <c r="AQ5529"/>
      <c r="AR5529"/>
      <c r="AS5529"/>
      <c r="AT5529"/>
      <c r="AU5529"/>
      <c r="AV5529"/>
    </row>
    <row r="5530" spans="41:48" x14ac:dyDescent="0.35">
      <c r="AO5530"/>
      <c r="AP5530"/>
      <c r="AQ5530"/>
      <c r="AR5530"/>
      <c r="AS5530"/>
      <c r="AT5530"/>
      <c r="AU5530"/>
      <c r="AV5530"/>
    </row>
    <row r="5531" spans="41:48" x14ac:dyDescent="0.35">
      <c r="AO5531"/>
      <c r="AP5531"/>
      <c r="AQ5531"/>
      <c r="AR5531"/>
      <c r="AS5531"/>
      <c r="AT5531"/>
      <c r="AU5531"/>
      <c r="AV5531"/>
    </row>
    <row r="5532" spans="41:48" x14ac:dyDescent="0.35">
      <c r="AO5532"/>
      <c r="AP5532"/>
      <c r="AQ5532"/>
      <c r="AR5532"/>
      <c r="AS5532"/>
      <c r="AT5532"/>
      <c r="AU5532"/>
      <c r="AV5532"/>
    </row>
    <row r="5533" spans="41:48" x14ac:dyDescent="0.35">
      <c r="AO5533"/>
      <c r="AP5533"/>
      <c r="AQ5533"/>
      <c r="AR5533"/>
      <c r="AS5533"/>
      <c r="AT5533"/>
      <c r="AU5533"/>
      <c r="AV5533"/>
    </row>
    <row r="5534" spans="41:48" x14ac:dyDescent="0.35">
      <c r="AO5534"/>
      <c r="AP5534"/>
      <c r="AQ5534"/>
      <c r="AR5534"/>
      <c r="AS5534"/>
      <c r="AT5534"/>
      <c r="AU5534"/>
      <c r="AV5534"/>
    </row>
    <row r="5535" spans="41:48" x14ac:dyDescent="0.35">
      <c r="AO5535"/>
      <c r="AP5535"/>
      <c r="AQ5535"/>
      <c r="AR5535"/>
      <c r="AS5535"/>
      <c r="AT5535"/>
      <c r="AU5535"/>
      <c r="AV5535"/>
    </row>
    <row r="5536" spans="41:48" x14ac:dyDescent="0.35">
      <c r="AO5536"/>
      <c r="AP5536"/>
      <c r="AQ5536"/>
      <c r="AR5536"/>
      <c r="AS5536"/>
      <c r="AT5536"/>
      <c r="AU5536"/>
      <c r="AV5536"/>
    </row>
    <row r="5537" spans="41:48" x14ac:dyDescent="0.35">
      <c r="AO5537"/>
      <c r="AP5537"/>
      <c r="AQ5537"/>
      <c r="AR5537"/>
      <c r="AS5537"/>
      <c r="AT5537"/>
      <c r="AU5537"/>
      <c r="AV5537"/>
    </row>
    <row r="5538" spans="41:48" x14ac:dyDescent="0.35">
      <c r="AO5538"/>
      <c r="AP5538"/>
      <c r="AQ5538"/>
      <c r="AR5538"/>
      <c r="AS5538"/>
      <c r="AT5538"/>
      <c r="AU5538"/>
      <c r="AV5538"/>
    </row>
    <row r="5539" spans="41:48" x14ac:dyDescent="0.35">
      <c r="AO5539"/>
      <c r="AP5539"/>
      <c r="AQ5539"/>
      <c r="AR5539"/>
      <c r="AS5539"/>
      <c r="AT5539"/>
      <c r="AU5539"/>
      <c r="AV5539"/>
    </row>
    <row r="5540" spans="41:48" x14ac:dyDescent="0.35">
      <c r="AO5540"/>
      <c r="AP5540"/>
      <c r="AQ5540"/>
      <c r="AR5540"/>
      <c r="AS5540"/>
      <c r="AT5540"/>
      <c r="AU5540"/>
      <c r="AV5540"/>
    </row>
    <row r="5541" spans="41:48" x14ac:dyDescent="0.35">
      <c r="AO5541"/>
      <c r="AP5541"/>
      <c r="AQ5541"/>
      <c r="AR5541"/>
      <c r="AS5541"/>
      <c r="AT5541"/>
      <c r="AU5541"/>
      <c r="AV5541"/>
    </row>
    <row r="5542" spans="41:48" x14ac:dyDescent="0.35">
      <c r="AO5542"/>
      <c r="AP5542"/>
      <c r="AQ5542"/>
      <c r="AR5542"/>
      <c r="AS5542"/>
      <c r="AT5542"/>
      <c r="AU5542"/>
      <c r="AV5542"/>
    </row>
    <row r="5543" spans="41:48" x14ac:dyDescent="0.35">
      <c r="AO5543"/>
      <c r="AP5543"/>
      <c r="AQ5543"/>
      <c r="AR5543"/>
      <c r="AS5543"/>
      <c r="AT5543"/>
      <c r="AU5543"/>
      <c r="AV5543"/>
    </row>
    <row r="5544" spans="41:48" x14ac:dyDescent="0.35">
      <c r="AO5544"/>
      <c r="AP5544"/>
      <c r="AQ5544"/>
      <c r="AR5544"/>
      <c r="AS5544"/>
      <c r="AT5544"/>
      <c r="AU5544"/>
      <c r="AV5544"/>
    </row>
    <row r="5545" spans="41:48" x14ac:dyDescent="0.35">
      <c r="AO5545"/>
      <c r="AP5545"/>
      <c r="AQ5545"/>
      <c r="AR5545"/>
      <c r="AS5545"/>
      <c r="AT5545"/>
      <c r="AU5545"/>
      <c r="AV5545"/>
    </row>
    <row r="5546" spans="41:48" x14ac:dyDescent="0.35">
      <c r="AO5546"/>
      <c r="AP5546"/>
      <c r="AQ5546"/>
      <c r="AR5546"/>
      <c r="AS5546"/>
      <c r="AT5546"/>
      <c r="AU5546"/>
      <c r="AV5546"/>
    </row>
    <row r="5547" spans="41:48" x14ac:dyDescent="0.35">
      <c r="AO5547"/>
      <c r="AP5547"/>
      <c r="AQ5547"/>
      <c r="AR5547"/>
      <c r="AS5547"/>
      <c r="AT5547"/>
      <c r="AU5547"/>
      <c r="AV5547"/>
    </row>
    <row r="5548" spans="41:48" x14ac:dyDescent="0.35">
      <c r="AO5548"/>
      <c r="AP5548"/>
      <c r="AQ5548"/>
      <c r="AR5548"/>
      <c r="AS5548"/>
      <c r="AT5548"/>
      <c r="AU5548"/>
      <c r="AV5548"/>
    </row>
    <row r="5549" spans="41:48" x14ac:dyDescent="0.35">
      <c r="AO5549"/>
      <c r="AP5549"/>
      <c r="AQ5549"/>
      <c r="AR5549"/>
      <c r="AS5549"/>
      <c r="AT5549"/>
      <c r="AU5549"/>
      <c r="AV5549"/>
    </row>
    <row r="5550" spans="41:48" x14ac:dyDescent="0.35">
      <c r="AO5550"/>
      <c r="AP5550"/>
      <c r="AQ5550"/>
      <c r="AR5550"/>
      <c r="AS5550"/>
      <c r="AT5550"/>
      <c r="AU5550"/>
      <c r="AV5550"/>
    </row>
    <row r="5551" spans="41:48" x14ac:dyDescent="0.35">
      <c r="AO5551"/>
      <c r="AP5551"/>
      <c r="AQ5551"/>
      <c r="AR5551"/>
      <c r="AS5551"/>
      <c r="AT5551"/>
      <c r="AU5551"/>
      <c r="AV5551"/>
    </row>
    <row r="5552" spans="41:48" x14ac:dyDescent="0.35">
      <c r="AO5552"/>
      <c r="AP5552"/>
      <c r="AQ5552"/>
      <c r="AR5552"/>
      <c r="AS5552"/>
      <c r="AT5552"/>
      <c r="AU5552"/>
      <c r="AV5552"/>
    </row>
    <row r="5553" spans="41:48" x14ac:dyDescent="0.35">
      <c r="AO5553"/>
      <c r="AP5553"/>
      <c r="AQ5553"/>
      <c r="AR5553"/>
      <c r="AS5553"/>
      <c r="AT5553"/>
      <c r="AU5553"/>
      <c r="AV5553"/>
    </row>
    <row r="5554" spans="41:48" x14ac:dyDescent="0.35">
      <c r="AO5554"/>
      <c r="AP5554"/>
      <c r="AQ5554"/>
      <c r="AR5554"/>
      <c r="AS5554"/>
      <c r="AT5554"/>
      <c r="AU5554"/>
      <c r="AV5554"/>
    </row>
    <row r="5555" spans="41:48" x14ac:dyDescent="0.35">
      <c r="AO5555"/>
      <c r="AP5555"/>
      <c r="AQ5555"/>
      <c r="AR5555"/>
      <c r="AS5555"/>
      <c r="AT5555"/>
      <c r="AU5555"/>
      <c r="AV5555"/>
    </row>
    <row r="5556" spans="41:48" x14ac:dyDescent="0.35">
      <c r="AO5556"/>
      <c r="AP5556"/>
      <c r="AQ5556"/>
      <c r="AR5556"/>
      <c r="AS5556"/>
      <c r="AT5556"/>
      <c r="AU5556"/>
      <c r="AV5556"/>
    </row>
    <row r="5557" spans="41:48" x14ac:dyDescent="0.35">
      <c r="AO5557"/>
      <c r="AP5557"/>
      <c r="AQ5557"/>
      <c r="AR5557"/>
      <c r="AS5557"/>
      <c r="AT5557"/>
      <c r="AU5557"/>
      <c r="AV5557"/>
    </row>
    <row r="5558" spans="41:48" x14ac:dyDescent="0.35">
      <c r="AO5558"/>
      <c r="AP5558"/>
      <c r="AQ5558"/>
      <c r="AR5558"/>
      <c r="AS5558"/>
      <c r="AT5558"/>
      <c r="AU5558"/>
      <c r="AV5558"/>
    </row>
    <row r="5559" spans="41:48" x14ac:dyDescent="0.35">
      <c r="AO5559"/>
      <c r="AP5559"/>
      <c r="AQ5559"/>
      <c r="AR5559"/>
      <c r="AS5559"/>
      <c r="AT5559"/>
      <c r="AU5559"/>
      <c r="AV5559"/>
    </row>
    <row r="5560" spans="41:48" x14ac:dyDescent="0.35">
      <c r="AO5560"/>
      <c r="AP5560"/>
      <c r="AQ5560"/>
      <c r="AR5560"/>
      <c r="AS5560"/>
      <c r="AT5560"/>
      <c r="AU5560"/>
      <c r="AV5560"/>
    </row>
    <row r="5561" spans="41:48" x14ac:dyDescent="0.35">
      <c r="AO5561"/>
      <c r="AP5561"/>
      <c r="AQ5561"/>
      <c r="AR5561"/>
      <c r="AS5561"/>
      <c r="AT5561"/>
      <c r="AU5561"/>
      <c r="AV5561"/>
    </row>
    <row r="5562" spans="41:48" x14ac:dyDescent="0.35">
      <c r="AO5562"/>
      <c r="AP5562"/>
      <c r="AQ5562"/>
      <c r="AR5562"/>
      <c r="AS5562"/>
      <c r="AT5562"/>
      <c r="AU5562"/>
      <c r="AV5562"/>
    </row>
    <row r="5563" spans="41:48" x14ac:dyDescent="0.35">
      <c r="AO5563"/>
      <c r="AP5563"/>
      <c r="AQ5563"/>
      <c r="AR5563"/>
      <c r="AS5563"/>
      <c r="AT5563"/>
      <c r="AU5563"/>
      <c r="AV5563"/>
    </row>
    <row r="5564" spans="41:48" x14ac:dyDescent="0.35">
      <c r="AO5564"/>
      <c r="AP5564"/>
      <c r="AQ5564"/>
      <c r="AR5564"/>
      <c r="AS5564"/>
      <c r="AT5564"/>
      <c r="AU5564"/>
      <c r="AV5564"/>
    </row>
    <row r="5565" spans="41:48" x14ac:dyDescent="0.35">
      <c r="AO5565"/>
      <c r="AP5565"/>
      <c r="AQ5565"/>
      <c r="AR5565"/>
      <c r="AS5565"/>
      <c r="AT5565"/>
      <c r="AU5565"/>
      <c r="AV5565"/>
    </row>
    <row r="5566" spans="41:48" x14ac:dyDescent="0.35">
      <c r="AO5566"/>
      <c r="AP5566"/>
      <c r="AQ5566"/>
      <c r="AR5566"/>
      <c r="AS5566"/>
      <c r="AT5566"/>
      <c r="AU5566"/>
      <c r="AV5566"/>
    </row>
    <row r="5567" spans="41:48" x14ac:dyDescent="0.35">
      <c r="AO5567"/>
      <c r="AP5567"/>
      <c r="AQ5567"/>
      <c r="AR5567"/>
      <c r="AS5567"/>
      <c r="AT5567"/>
      <c r="AU5567"/>
      <c r="AV5567"/>
    </row>
    <row r="5568" spans="41:48" x14ac:dyDescent="0.35">
      <c r="AO5568"/>
      <c r="AP5568"/>
      <c r="AQ5568"/>
      <c r="AR5568"/>
      <c r="AS5568"/>
      <c r="AT5568"/>
      <c r="AU5568"/>
      <c r="AV5568"/>
    </row>
    <row r="5569" spans="41:48" x14ac:dyDescent="0.35">
      <c r="AO5569"/>
      <c r="AP5569"/>
      <c r="AQ5569"/>
      <c r="AR5569"/>
      <c r="AS5569"/>
      <c r="AT5569"/>
      <c r="AU5569"/>
      <c r="AV5569"/>
    </row>
    <row r="5570" spans="41:48" x14ac:dyDescent="0.35">
      <c r="AO5570"/>
      <c r="AP5570"/>
      <c r="AQ5570"/>
      <c r="AR5570"/>
      <c r="AS5570"/>
      <c r="AT5570"/>
      <c r="AU5570"/>
      <c r="AV5570"/>
    </row>
    <row r="5571" spans="41:48" x14ac:dyDescent="0.35">
      <c r="AO5571"/>
      <c r="AP5571"/>
      <c r="AQ5571"/>
      <c r="AR5571"/>
      <c r="AS5571"/>
      <c r="AT5571"/>
      <c r="AU5571"/>
      <c r="AV5571"/>
    </row>
    <row r="5572" spans="41:48" x14ac:dyDescent="0.35">
      <c r="AO5572"/>
      <c r="AP5572"/>
      <c r="AQ5572"/>
      <c r="AR5572"/>
      <c r="AS5572"/>
      <c r="AT5572"/>
      <c r="AU5572"/>
      <c r="AV5572"/>
    </row>
    <row r="5573" spans="41:48" x14ac:dyDescent="0.35">
      <c r="AO5573"/>
      <c r="AP5573"/>
      <c r="AQ5573"/>
      <c r="AR5573"/>
      <c r="AS5573"/>
      <c r="AT5573"/>
      <c r="AU5573"/>
      <c r="AV5573"/>
    </row>
    <row r="5574" spans="41:48" x14ac:dyDescent="0.35">
      <c r="AO5574"/>
      <c r="AP5574"/>
      <c r="AQ5574"/>
      <c r="AR5574"/>
      <c r="AS5574"/>
      <c r="AT5574"/>
      <c r="AU5574"/>
      <c r="AV5574"/>
    </row>
    <row r="5575" spans="41:48" x14ac:dyDescent="0.35">
      <c r="AO5575"/>
      <c r="AP5575"/>
      <c r="AQ5575"/>
      <c r="AR5575"/>
      <c r="AS5575"/>
      <c r="AT5575"/>
      <c r="AU5575"/>
      <c r="AV5575"/>
    </row>
    <row r="5576" spans="41:48" x14ac:dyDescent="0.35">
      <c r="AO5576"/>
      <c r="AP5576"/>
      <c r="AQ5576"/>
      <c r="AR5576"/>
      <c r="AS5576"/>
      <c r="AT5576"/>
      <c r="AU5576"/>
      <c r="AV5576"/>
    </row>
    <row r="5577" spans="41:48" x14ac:dyDescent="0.35">
      <c r="AO5577"/>
      <c r="AP5577"/>
      <c r="AQ5577"/>
      <c r="AR5577"/>
      <c r="AS5577"/>
      <c r="AT5577"/>
      <c r="AU5577"/>
      <c r="AV5577"/>
    </row>
    <row r="5578" spans="41:48" x14ac:dyDescent="0.35">
      <c r="AO5578"/>
      <c r="AP5578"/>
      <c r="AQ5578"/>
      <c r="AR5578"/>
      <c r="AS5578"/>
      <c r="AT5578"/>
      <c r="AU5578"/>
      <c r="AV5578"/>
    </row>
    <row r="5579" spans="41:48" x14ac:dyDescent="0.35">
      <c r="AO5579"/>
      <c r="AP5579"/>
      <c r="AQ5579"/>
      <c r="AR5579"/>
      <c r="AS5579"/>
      <c r="AT5579"/>
      <c r="AU5579"/>
      <c r="AV5579"/>
    </row>
    <row r="5580" spans="41:48" x14ac:dyDescent="0.35">
      <c r="AO5580"/>
      <c r="AP5580"/>
      <c r="AQ5580"/>
      <c r="AR5580"/>
      <c r="AS5580"/>
      <c r="AT5580"/>
      <c r="AU5580"/>
      <c r="AV5580"/>
    </row>
    <row r="5581" spans="41:48" x14ac:dyDescent="0.35">
      <c r="AO5581"/>
      <c r="AP5581"/>
      <c r="AQ5581"/>
      <c r="AR5581"/>
      <c r="AS5581"/>
      <c r="AT5581"/>
      <c r="AU5581"/>
      <c r="AV5581"/>
    </row>
    <row r="5582" spans="41:48" x14ac:dyDescent="0.35">
      <c r="AO5582"/>
      <c r="AP5582"/>
      <c r="AQ5582"/>
      <c r="AR5582"/>
      <c r="AS5582"/>
      <c r="AT5582"/>
      <c r="AU5582"/>
      <c r="AV5582"/>
    </row>
    <row r="5583" spans="41:48" x14ac:dyDescent="0.35">
      <c r="AO5583"/>
      <c r="AP5583"/>
      <c r="AQ5583"/>
      <c r="AR5583"/>
      <c r="AS5583"/>
      <c r="AT5583"/>
      <c r="AU5583"/>
      <c r="AV5583"/>
    </row>
    <row r="5584" spans="41:48" x14ac:dyDescent="0.35">
      <c r="AO5584"/>
      <c r="AP5584"/>
      <c r="AQ5584"/>
      <c r="AR5584"/>
      <c r="AS5584"/>
      <c r="AT5584"/>
      <c r="AU5584"/>
      <c r="AV5584"/>
    </row>
    <row r="5585" spans="41:48" x14ac:dyDescent="0.35">
      <c r="AO5585"/>
      <c r="AP5585"/>
      <c r="AQ5585"/>
      <c r="AR5585"/>
      <c r="AS5585"/>
      <c r="AT5585"/>
      <c r="AU5585"/>
      <c r="AV5585"/>
    </row>
    <row r="5586" spans="41:48" x14ac:dyDescent="0.35">
      <c r="AO5586"/>
      <c r="AP5586"/>
      <c r="AQ5586"/>
      <c r="AR5586"/>
      <c r="AS5586"/>
      <c r="AT5586"/>
      <c r="AU5586"/>
      <c r="AV5586"/>
    </row>
    <row r="5587" spans="41:48" x14ac:dyDescent="0.35">
      <c r="AO5587"/>
      <c r="AP5587"/>
      <c r="AQ5587"/>
      <c r="AR5587"/>
      <c r="AS5587"/>
      <c r="AT5587"/>
      <c r="AU5587"/>
      <c r="AV5587"/>
    </row>
    <row r="5588" spans="41:48" x14ac:dyDescent="0.35">
      <c r="AO5588"/>
      <c r="AP5588"/>
      <c r="AQ5588"/>
      <c r="AR5588"/>
      <c r="AS5588"/>
      <c r="AT5588"/>
      <c r="AU5588"/>
      <c r="AV5588"/>
    </row>
    <row r="5589" spans="41:48" x14ac:dyDescent="0.35">
      <c r="AO5589"/>
      <c r="AP5589"/>
      <c r="AQ5589"/>
      <c r="AR5589"/>
      <c r="AS5589"/>
      <c r="AT5589"/>
      <c r="AU5589"/>
      <c r="AV5589"/>
    </row>
    <row r="5590" spans="41:48" x14ac:dyDescent="0.35">
      <c r="AO5590"/>
      <c r="AP5590"/>
      <c r="AQ5590"/>
      <c r="AR5590"/>
      <c r="AS5590"/>
      <c r="AT5590"/>
      <c r="AU5590"/>
      <c r="AV5590"/>
    </row>
    <row r="5591" spans="41:48" x14ac:dyDescent="0.35">
      <c r="AO5591"/>
      <c r="AP5591"/>
      <c r="AQ5591"/>
      <c r="AR5591"/>
      <c r="AS5591"/>
      <c r="AT5591"/>
      <c r="AU5591"/>
      <c r="AV5591"/>
    </row>
    <row r="5592" spans="41:48" x14ac:dyDescent="0.35">
      <c r="AO5592"/>
      <c r="AP5592"/>
      <c r="AQ5592"/>
      <c r="AR5592"/>
      <c r="AS5592"/>
      <c r="AT5592"/>
      <c r="AU5592"/>
      <c r="AV5592"/>
    </row>
    <row r="5593" spans="41:48" x14ac:dyDescent="0.35">
      <c r="AO5593"/>
      <c r="AP5593"/>
      <c r="AQ5593"/>
      <c r="AR5593"/>
      <c r="AS5593"/>
      <c r="AT5593"/>
      <c r="AU5593"/>
      <c r="AV5593"/>
    </row>
    <row r="5594" spans="41:48" x14ac:dyDescent="0.35">
      <c r="AO5594"/>
      <c r="AP5594"/>
      <c r="AQ5594"/>
      <c r="AR5594"/>
      <c r="AS5594"/>
      <c r="AT5594"/>
      <c r="AU5594"/>
      <c r="AV5594"/>
    </row>
    <row r="5595" spans="41:48" x14ac:dyDescent="0.35">
      <c r="AO5595"/>
      <c r="AP5595"/>
      <c r="AQ5595"/>
      <c r="AR5595"/>
      <c r="AS5595"/>
      <c r="AT5595"/>
      <c r="AU5595"/>
      <c r="AV5595"/>
    </row>
    <row r="5596" spans="41:48" x14ac:dyDescent="0.35">
      <c r="AO5596"/>
      <c r="AP5596"/>
      <c r="AQ5596"/>
      <c r="AR5596"/>
      <c r="AS5596"/>
      <c r="AT5596"/>
      <c r="AU5596"/>
      <c r="AV5596"/>
    </row>
    <row r="5597" spans="41:48" x14ac:dyDescent="0.35">
      <c r="AO5597"/>
      <c r="AP5597"/>
      <c r="AQ5597"/>
      <c r="AR5597"/>
      <c r="AS5597"/>
      <c r="AT5597"/>
      <c r="AU5597"/>
      <c r="AV5597"/>
    </row>
    <row r="5598" spans="41:48" x14ac:dyDescent="0.35">
      <c r="AO5598"/>
      <c r="AP5598"/>
      <c r="AQ5598"/>
      <c r="AR5598"/>
      <c r="AS5598"/>
      <c r="AT5598"/>
      <c r="AU5598"/>
      <c r="AV5598"/>
    </row>
    <row r="5599" spans="41:48" x14ac:dyDescent="0.35">
      <c r="AO5599"/>
      <c r="AP5599"/>
      <c r="AQ5599"/>
      <c r="AR5599"/>
      <c r="AS5599"/>
      <c r="AT5599"/>
      <c r="AU5599"/>
      <c r="AV5599"/>
    </row>
    <row r="5600" spans="41:48" x14ac:dyDescent="0.35">
      <c r="AO5600"/>
      <c r="AP5600"/>
      <c r="AQ5600"/>
      <c r="AR5600"/>
      <c r="AS5600"/>
      <c r="AT5600"/>
      <c r="AU5600"/>
      <c r="AV5600"/>
    </row>
    <row r="5601" spans="41:48" x14ac:dyDescent="0.35">
      <c r="AO5601"/>
      <c r="AP5601"/>
      <c r="AQ5601"/>
      <c r="AR5601"/>
      <c r="AS5601"/>
      <c r="AT5601"/>
      <c r="AU5601"/>
      <c r="AV5601"/>
    </row>
    <row r="5602" spans="41:48" x14ac:dyDescent="0.35">
      <c r="AO5602"/>
      <c r="AP5602"/>
      <c r="AQ5602"/>
      <c r="AR5602"/>
      <c r="AS5602"/>
      <c r="AT5602"/>
      <c r="AU5602"/>
      <c r="AV5602"/>
    </row>
    <row r="5603" spans="41:48" x14ac:dyDescent="0.35">
      <c r="AO5603"/>
      <c r="AP5603"/>
      <c r="AQ5603"/>
      <c r="AR5603"/>
      <c r="AS5603"/>
      <c r="AT5603"/>
      <c r="AU5603"/>
      <c r="AV5603"/>
    </row>
    <row r="5604" spans="41:48" x14ac:dyDescent="0.35">
      <c r="AO5604"/>
      <c r="AP5604"/>
      <c r="AQ5604"/>
      <c r="AR5604"/>
      <c r="AS5604"/>
      <c r="AT5604"/>
      <c r="AU5604"/>
      <c r="AV5604"/>
    </row>
    <row r="5605" spans="41:48" x14ac:dyDescent="0.35">
      <c r="AO5605"/>
      <c r="AP5605"/>
      <c r="AQ5605"/>
      <c r="AR5605"/>
      <c r="AS5605"/>
      <c r="AT5605"/>
      <c r="AU5605"/>
      <c r="AV5605"/>
    </row>
    <row r="5606" spans="41:48" x14ac:dyDescent="0.35">
      <c r="AO5606"/>
      <c r="AP5606"/>
      <c r="AQ5606"/>
      <c r="AR5606"/>
      <c r="AS5606"/>
      <c r="AT5606"/>
      <c r="AU5606"/>
      <c r="AV5606"/>
    </row>
    <row r="5607" spans="41:48" x14ac:dyDescent="0.35">
      <c r="AO5607"/>
      <c r="AP5607"/>
      <c r="AQ5607"/>
      <c r="AR5607"/>
      <c r="AS5607"/>
      <c r="AT5607"/>
      <c r="AU5607"/>
      <c r="AV5607"/>
    </row>
    <row r="5608" spans="41:48" x14ac:dyDescent="0.35">
      <c r="AO5608"/>
      <c r="AP5608"/>
      <c r="AQ5608"/>
      <c r="AR5608"/>
      <c r="AS5608"/>
      <c r="AT5608"/>
      <c r="AU5608"/>
      <c r="AV5608"/>
    </row>
    <row r="5609" spans="41:48" x14ac:dyDescent="0.35">
      <c r="AO5609"/>
      <c r="AP5609"/>
      <c r="AQ5609"/>
      <c r="AR5609"/>
      <c r="AS5609"/>
      <c r="AT5609"/>
      <c r="AU5609"/>
      <c r="AV5609"/>
    </row>
    <row r="5610" spans="41:48" x14ac:dyDescent="0.35">
      <c r="AO5610"/>
      <c r="AP5610"/>
      <c r="AQ5610"/>
      <c r="AR5610"/>
      <c r="AS5610"/>
      <c r="AT5610"/>
      <c r="AU5610"/>
      <c r="AV5610"/>
    </row>
    <row r="5611" spans="41:48" x14ac:dyDescent="0.35">
      <c r="AO5611"/>
      <c r="AP5611"/>
      <c r="AQ5611"/>
      <c r="AR5611"/>
      <c r="AS5611"/>
      <c r="AT5611"/>
      <c r="AU5611"/>
      <c r="AV5611"/>
    </row>
    <row r="5612" spans="41:48" x14ac:dyDescent="0.35">
      <c r="AO5612"/>
      <c r="AP5612"/>
      <c r="AQ5612"/>
      <c r="AR5612"/>
      <c r="AS5612"/>
      <c r="AT5612"/>
      <c r="AU5612"/>
      <c r="AV5612"/>
    </row>
    <row r="5613" spans="41:48" x14ac:dyDescent="0.35">
      <c r="AO5613"/>
      <c r="AP5613"/>
      <c r="AQ5613"/>
      <c r="AR5613"/>
      <c r="AS5613"/>
      <c r="AT5613"/>
      <c r="AU5613"/>
      <c r="AV5613"/>
    </row>
    <row r="5614" spans="41:48" x14ac:dyDescent="0.35">
      <c r="AO5614"/>
      <c r="AP5614"/>
      <c r="AQ5614"/>
      <c r="AR5614"/>
      <c r="AS5614"/>
      <c r="AT5614"/>
      <c r="AU5614"/>
      <c r="AV5614"/>
    </row>
    <row r="5615" spans="41:48" x14ac:dyDescent="0.35">
      <c r="AO5615"/>
      <c r="AP5615"/>
      <c r="AQ5615"/>
      <c r="AR5615"/>
      <c r="AS5615"/>
      <c r="AT5615"/>
      <c r="AU5615"/>
      <c r="AV5615"/>
    </row>
    <row r="5616" spans="41:48" x14ac:dyDescent="0.35">
      <c r="AO5616"/>
      <c r="AP5616"/>
      <c r="AQ5616"/>
      <c r="AR5616"/>
      <c r="AS5616"/>
      <c r="AT5616"/>
      <c r="AU5616"/>
      <c r="AV5616"/>
    </row>
    <row r="5617" spans="41:48" x14ac:dyDescent="0.35">
      <c r="AO5617"/>
      <c r="AP5617"/>
      <c r="AQ5617"/>
      <c r="AR5617"/>
      <c r="AS5617"/>
      <c r="AT5617"/>
      <c r="AU5617"/>
      <c r="AV5617"/>
    </row>
    <row r="5618" spans="41:48" x14ac:dyDescent="0.35">
      <c r="AO5618"/>
      <c r="AP5618"/>
      <c r="AQ5618"/>
      <c r="AR5618"/>
      <c r="AS5618"/>
      <c r="AT5618"/>
      <c r="AU5618"/>
      <c r="AV5618"/>
    </row>
    <row r="5619" spans="41:48" x14ac:dyDescent="0.35">
      <c r="AO5619"/>
      <c r="AP5619"/>
      <c r="AQ5619"/>
      <c r="AR5619"/>
      <c r="AS5619"/>
      <c r="AT5619"/>
      <c r="AU5619"/>
      <c r="AV5619"/>
    </row>
    <row r="5620" spans="41:48" x14ac:dyDescent="0.35">
      <c r="AO5620"/>
      <c r="AP5620"/>
      <c r="AQ5620"/>
      <c r="AR5620"/>
      <c r="AS5620"/>
      <c r="AT5620"/>
      <c r="AU5620"/>
      <c r="AV5620"/>
    </row>
    <row r="5621" spans="41:48" x14ac:dyDescent="0.35">
      <c r="AO5621"/>
      <c r="AP5621"/>
      <c r="AQ5621"/>
      <c r="AR5621"/>
      <c r="AS5621"/>
      <c r="AT5621"/>
      <c r="AU5621"/>
      <c r="AV5621"/>
    </row>
    <row r="5622" spans="41:48" x14ac:dyDescent="0.35">
      <c r="AO5622"/>
      <c r="AP5622"/>
      <c r="AQ5622"/>
      <c r="AR5622"/>
      <c r="AS5622"/>
      <c r="AT5622"/>
      <c r="AU5622"/>
      <c r="AV5622"/>
    </row>
    <row r="5623" spans="41:48" x14ac:dyDescent="0.35">
      <c r="AO5623"/>
      <c r="AP5623"/>
      <c r="AQ5623"/>
      <c r="AR5623"/>
      <c r="AS5623"/>
      <c r="AT5623"/>
      <c r="AU5623"/>
      <c r="AV5623"/>
    </row>
    <row r="5624" spans="41:48" x14ac:dyDescent="0.35">
      <c r="AO5624"/>
      <c r="AP5624"/>
      <c r="AQ5624"/>
      <c r="AR5624"/>
      <c r="AS5624"/>
      <c r="AT5624"/>
      <c r="AU5624"/>
      <c r="AV5624"/>
    </row>
    <row r="5625" spans="41:48" x14ac:dyDescent="0.35">
      <c r="AO5625"/>
      <c r="AP5625"/>
      <c r="AQ5625"/>
      <c r="AR5625"/>
      <c r="AS5625"/>
      <c r="AT5625"/>
      <c r="AU5625"/>
      <c r="AV5625"/>
    </row>
    <row r="5626" spans="41:48" x14ac:dyDescent="0.35">
      <c r="AO5626"/>
      <c r="AP5626"/>
      <c r="AQ5626"/>
      <c r="AR5626"/>
      <c r="AS5626"/>
      <c r="AT5626"/>
      <c r="AU5626"/>
      <c r="AV5626"/>
    </row>
    <row r="5627" spans="41:48" x14ac:dyDescent="0.35">
      <c r="AO5627"/>
      <c r="AP5627"/>
      <c r="AQ5627"/>
      <c r="AR5627"/>
      <c r="AS5627"/>
      <c r="AT5627"/>
      <c r="AU5627"/>
      <c r="AV5627"/>
    </row>
    <row r="5628" spans="41:48" x14ac:dyDescent="0.35">
      <c r="AO5628"/>
      <c r="AP5628"/>
      <c r="AQ5628"/>
      <c r="AR5628"/>
      <c r="AS5628"/>
      <c r="AT5628"/>
      <c r="AU5628"/>
      <c r="AV5628"/>
    </row>
    <row r="5629" spans="41:48" x14ac:dyDescent="0.35">
      <c r="AO5629"/>
      <c r="AP5629"/>
      <c r="AQ5629"/>
      <c r="AR5629"/>
      <c r="AS5629"/>
      <c r="AT5629"/>
      <c r="AU5629"/>
      <c r="AV5629"/>
    </row>
    <row r="5630" spans="41:48" x14ac:dyDescent="0.35">
      <c r="AO5630"/>
      <c r="AP5630"/>
      <c r="AQ5630"/>
      <c r="AR5630"/>
      <c r="AS5630"/>
      <c r="AT5630"/>
      <c r="AU5630"/>
      <c r="AV5630"/>
    </row>
    <row r="5631" spans="41:48" x14ac:dyDescent="0.35">
      <c r="AO5631"/>
      <c r="AP5631"/>
      <c r="AQ5631"/>
      <c r="AR5631"/>
      <c r="AS5631"/>
      <c r="AT5631"/>
      <c r="AU5631"/>
      <c r="AV5631"/>
    </row>
    <row r="5632" spans="41:48" x14ac:dyDescent="0.35">
      <c r="AO5632"/>
      <c r="AP5632"/>
      <c r="AQ5632"/>
      <c r="AR5632"/>
      <c r="AS5632"/>
      <c r="AT5632"/>
      <c r="AU5632"/>
      <c r="AV5632"/>
    </row>
    <row r="5633" spans="41:48" x14ac:dyDescent="0.35">
      <c r="AO5633"/>
      <c r="AP5633"/>
      <c r="AQ5633"/>
      <c r="AR5633"/>
      <c r="AS5633"/>
      <c r="AT5633"/>
      <c r="AU5633"/>
      <c r="AV5633"/>
    </row>
    <row r="5634" spans="41:48" x14ac:dyDescent="0.35">
      <c r="AO5634"/>
      <c r="AP5634"/>
      <c r="AQ5634"/>
      <c r="AR5634"/>
      <c r="AS5634"/>
      <c r="AT5634"/>
      <c r="AU5634"/>
      <c r="AV5634"/>
    </row>
    <row r="5635" spans="41:48" x14ac:dyDescent="0.35">
      <c r="AO5635"/>
      <c r="AP5635"/>
      <c r="AQ5635"/>
      <c r="AR5635"/>
      <c r="AS5635"/>
      <c r="AT5635"/>
      <c r="AU5635"/>
      <c r="AV5635"/>
    </row>
    <row r="5636" spans="41:48" x14ac:dyDescent="0.35">
      <c r="AO5636"/>
      <c r="AP5636"/>
      <c r="AQ5636"/>
      <c r="AR5636"/>
      <c r="AS5636"/>
      <c r="AT5636"/>
      <c r="AU5636"/>
      <c r="AV5636"/>
    </row>
    <row r="5637" spans="41:48" x14ac:dyDescent="0.35">
      <c r="AO5637"/>
      <c r="AP5637"/>
      <c r="AQ5637"/>
      <c r="AR5637"/>
      <c r="AS5637"/>
      <c r="AT5637"/>
      <c r="AU5637"/>
      <c r="AV5637"/>
    </row>
    <row r="5638" spans="41:48" x14ac:dyDescent="0.35">
      <c r="AO5638"/>
      <c r="AP5638"/>
      <c r="AQ5638"/>
      <c r="AR5638"/>
      <c r="AS5638"/>
      <c r="AT5638"/>
      <c r="AU5638"/>
      <c r="AV5638"/>
    </row>
    <row r="5639" spans="41:48" x14ac:dyDescent="0.35">
      <c r="AO5639"/>
      <c r="AP5639"/>
      <c r="AQ5639"/>
      <c r="AR5639"/>
      <c r="AS5639"/>
      <c r="AT5639"/>
      <c r="AU5639"/>
      <c r="AV5639"/>
    </row>
    <row r="5640" spans="41:48" x14ac:dyDescent="0.35">
      <c r="AO5640"/>
      <c r="AP5640"/>
      <c r="AQ5640"/>
      <c r="AR5640"/>
      <c r="AS5640"/>
      <c r="AT5640"/>
      <c r="AU5640"/>
      <c r="AV5640"/>
    </row>
    <row r="5641" spans="41:48" x14ac:dyDescent="0.35">
      <c r="AO5641"/>
      <c r="AP5641"/>
      <c r="AQ5641"/>
      <c r="AR5641"/>
      <c r="AS5641"/>
      <c r="AT5641"/>
      <c r="AU5641"/>
      <c r="AV5641"/>
    </row>
    <row r="5642" spans="41:48" x14ac:dyDescent="0.35">
      <c r="AO5642"/>
      <c r="AP5642"/>
      <c r="AQ5642"/>
      <c r="AR5642"/>
      <c r="AS5642"/>
      <c r="AT5642"/>
      <c r="AU5642"/>
      <c r="AV5642"/>
    </row>
    <row r="5643" spans="41:48" x14ac:dyDescent="0.35">
      <c r="AO5643"/>
      <c r="AP5643"/>
      <c r="AQ5643"/>
      <c r="AR5643"/>
      <c r="AS5643"/>
      <c r="AT5643"/>
      <c r="AU5643"/>
      <c r="AV5643"/>
    </row>
    <row r="5644" spans="41:48" x14ac:dyDescent="0.35">
      <c r="AO5644"/>
      <c r="AP5644"/>
      <c r="AQ5644"/>
      <c r="AR5644"/>
      <c r="AS5644"/>
      <c r="AT5644"/>
      <c r="AU5644"/>
      <c r="AV5644"/>
    </row>
    <row r="5645" spans="41:48" x14ac:dyDescent="0.35">
      <c r="AO5645"/>
      <c r="AP5645"/>
      <c r="AQ5645"/>
      <c r="AR5645"/>
      <c r="AS5645"/>
      <c r="AT5645"/>
      <c r="AU5645"/>
      <c r="AV5645"/>
    </row>
    <row r="5646" spans="41:48" x14ac:dyDescent="0.35">
      <c r="AO5646"/>
      <c r="AP5646"/>
      <c r="AQ5646"/>
      <c r="AR5646"/>
      <c r="AS5646"/>
      <c r="AT5646"/>
      <c r="AU5646"/>
      <c r="AV5646"/>
    </row>
    <row r="5647" spans="41:48" x14ac:dyDescent="0.35">
      <c r="AO5647"/>
      <c r="AP5647"/>
      <c r="AQ5647"/>
      <c r="AR5647"/>
      <c r="AS5647"/>
      <c r="AT5647"/>
      <c r="AU5647"/>
      <c r="AV5647"/>
    </row>
    <row r="5648" spans="41:48" x14ac:dyDescent="0.35">
      <c r="AO5648"/>
      <c r="AP5648"/>
      <c r="AQ5648"/>
      <c r="AR5648"/>
      <c r="AS5648"/>
      <c r="AT5648"/>
      <c r="AU5648"/>
      <c r="AV5648"/>
    </row>
    <row r="5649" spans="41:48" x14ac:dyDescent="0.35">
      <c r="AO5649"/>
      <c r="AP5649"/>
      <c r="AQ5649"/>
      <c r="AR5649"/>
      <c r="AS5649"/>
      <c r="AT5649"/>
      <c r="AU5649"/>
      <c r="AV5649"/>
    </row>
    <row r="5650" spans="41:48" x14ac:dyDescent="0.35">
      <c r="AO5650"/>
      <c r="AP5650"/>
      <c r="AQ5650"/>
      <c r="AR5650"/>
      <c r="AS5650"/>
      <c r="AT5650"/>
      <c r="AU5650"/>
      <c r="AV5650"/>
    </row>
    <row r="5651" spans="41:48" x14ac:dyDescent="0.35">
      <c r="AO5651"/>
      <c r="AP5651"/>
      <c r="AQ5651"/>
      <c r="AR5651"/>
      <c r="AS5651"/>
      <c r="AT5651"/>
      <c r="AU5651"/>
      <c r="AV5651"/>
    </row>
    <row r="5652" spans="41:48" x14ac:dyDescent="0.35">
      <c r="AO5652"/>
      <c r="AP5652"/>
      <c r="AQ5652"/>
      <c r="AR5652"/>
      <c r="AS5652"/>
      <c r="AT5652"/>
      <c r="AU5652"/>
      <c r="AV5652"/>
    </row>
    <row r="5653" spans="41:48" x14ac:dyDescent="0.35">
      <c r="AO5653"/>
      <c r="AP5653"/>
      <c r="AQ5653"/>
      <c r="AR5653"/>
      <c r="AS5653"/>
      <c r="AT5653"/>
      <c r="AU5653"/>
      <c r="AV5653"/>
    </row>
    <row r="5654" spans="41:48" x14ac:dyDescent="0.35">
      <c r="AO5654"/>
      <c r="AP5654"/>
      <c r="AQ5654"/>
      <c r="AR5654"/>
      <c r="AS5654"/>
      <c r="AT5654"/>
      <c r="AU5654"/>
      <c r="AV5654"/>
    </row>
    <row r="5655" spans="41:48" x14ac:dyDescent="0.35">
      <c r="AO5655"/>
      <c r="AP5655"/>
      <c r="AQ5655"/>
      <c r="AR5655"/>
      <c r="AS5655"/>
      <c r="AT5655"/>
      <c r="AU5655"/>
      <c r="AV5655"/>
    </row>
    <row r="5656" spans="41:48" x14ac:dyDescent="0.35">
      <c r="AO5656"/>
      <c r="AP5656"/>
      <c r="AQ5656"/>
      <c r="AR5656"/>
      <c r="AS5656"/>
      <c r="AT5656"/>
      <c r="AU5656"/>
      <c r="AV5656"/>
    </row>
    <row r="5657" spans="41:48" x14ac:dyDescent="0.35">
      <c r="AO5657"/>
      <c r="AP5657"/>
      <c r="AQ5657"/>
      <c r="AR5657"/>
      <c r="AS5657"/>
      <c r="AT5657"/>
      <c r="AU5657"/>
      <c r="AV5657"/>
    </row>
    <row r="5658" spans="41:48" x14ac:dyDescent="0.35">
      <c r="AO5658"/>
      <c r="AP5658"/>
      <c r="AQ5658"/>
      <c r="AR5658"/>
      <c r="AS5658"/>
      <c r="AT5658"/>
      <c r="AU5658"/>
      <c r="AV5658"/>
    </row>
    <row r="5659" spans="41:48" x14ac:dyDescent="0.35">
      <c r="AO5659"/>
      <c r="AP5659"/>
      <c r="AQ5659"/>
      <c r="AR5659"/>
      <c r="AS5659"/>
      <c r="AT5659"/>
      <c r="AU5659"/>
      <c r="AV5659"/>
    </row>
    <row r="5660" spans="41:48" x14ac:dyDescent="0.35">
      <c r="AO5660"/>
      <c r="AP5660"/>
      <c r="AQ5660"/>
      <c r="AR5660"/>
      <c r="AS5660"/>
      <c r="AT5660"/>
      <c r="AU5660"/>
      <c r="AV5660"/>
    </row>
    <row r="5661" spans="41:48" x14ac:dyDescent="0.35">
      <c r="AO5661"/>
      <c r="AP5661"/>
      <c r="AQ5661"/>
      <c r="AR5661"/>
      <c r="AS5661"/>
      <c r="AT5661"/>
      <c r="AU5661"/>
      <c r="AV5661"/>
    </row>
    <row r="5662" spans="41:48" x14ac:dyDescent="0.35">
      <c r="AO5662"/>
      <c r="AP5662"/>
      <c r="AQ5662"/>
      <c r="AR5662"/>
      <c r="AS5662"/>
      <c r="AT5662"/>
      <c r="AU5662"/>
      <c r="AV5662"/>
    </row>
    <row r="5663" spans="41:48" x14ac:dyDescent="0.35">
      <c r="AO5663"/>
      <c r="AP5663"/>
      <c r="AQ5663"/>
      <c r="AR5663"/>
      <c r="AS5663"/>
      <c r="AT5663"/>
      <c r="AU5663"/>
      <c r="AV5663"/>
    </row>
    <row r="5664" spans="41:48" x14ac:dyDescent="0.35">
      <c r="AO5664"/>
      <c r="AP5664"/>
      <c r="AQ5664"/>
      <c r="AR5664"/>
      <c r="AS5664"/>
      <c r="AT5664"/>
      <c r="AU5664"/>
      <c r="AV5664"/>
    </row>
    <row r="5665" spans="41:48" x14ac:dyDescent="0.35">
      <c r="AO5665"/>
      <c r="AP5665"/>
      <c r="AQ5665"/>
      <c r="AR5665"/>
      <c r="AS5665"/>
      <c r="AT5665"/>
      <c r="AU5665"/>
      <c r="AV5665"/>
    </row>
    <row r="5666" spans="41:48" x14ac:dyDescent="0.35">
      <c r="AO5666"/>
      <c r="AP5666"/>
      <c r="AQ5666"/>
      <c r="AR5666"/>
      <c r="AS5666"/>
      <c r="AT5666"/>
      <c r="AU5666"/>
      <c r="AV5666"/>
    </row>
    <row r="5667" spans="41:48" x14ac:dyDescent="0.35">
      <c r="AO5667"/>
      <c r="AP5667"/>
      <c r="AQ5667"/>
      <c r="AR5667"/>
      <c r="AS5667"/>
      <c r="AT5667"/>
      <c r="AU5667"/>
      <c r="AV5667"/>
    </row>
    <row r="5668" spans="41:48" x14ac:dyDescent="0.35">
      <c r="AO5668"/>
      <c r="AP5668"/>
      <c r="AQ5668"/>
      <c r="AR5668"/>
      <c r="AS5668"/>
      <c r="AT5668"/>
      <c r="AU5668"/>
      <c r="AV5668"/>
    </row>
    <row r="5669" spans="41:48" x14ac:dyDescent="0.35">
      <c r="AO5669"/>
      <c r="AP5669"/>
      <c r="AQ5669"/>
      <c r="AR5669"/>
      <c r="AS5669"/>
      <c r="AT5669"/>
      <c r="AU5669"/>
      <c r="AV5669"/>
    </row>
    <row r="5670" spans="41:48" x14ac:dyDescent="0.35">
      <c r="AO5670"/>
      <c r="AP5670"/>
      <c r="AQ5670"/>
      <c r="AR5670"/>
      <c r="AS5670"/>
      <c r="AT5670"/>
      <c r="AU5670"/>
      <c r="AV5670"/>
    </row>
    <row r="5671" spans="41:48" x14ac:dyDescent="0.35">
      <c r="AO5671"/>
      <c r="AP5671"/>
      <c r="AQ5671"/>
      <c r="AR5671"/>
      <c r="AS5671"/>
      <c r="AT5671"/>
      <c r="AU5671"/>
      <c r="AV5671"/>
    </row>
    <row r="5672" spans="41:48" x14ac:dyDescent="0.35">
      <c r="AO5672"/>
      <c r="AP5672"/>
      <c r="AQ5672"/>
      <c r="AR5672"/>
      <c r="AS5672"/>
      <c r="AT5672"/>
      <c r="AU5672"/>
      <c r="AV5672"/>
    </row>
    <row r="5673" spans="41:48" x14ac:dyDescent="0.35">
      <c r="AO5673"/>
      <c r="AP5673"/>
      <c r="AQ5673"/>
      <c r="AR5673"/>
      <c r="AS5673"/>
      <c r="AT5673"/>
      <c r="AU5673"/>
      <c r="AV5673"/>
    </row>
    <row r="5674" spans="41:48" x14ac:dyDescent="0.35">
      <c r="AO5674"/>
      <c r="AP5674"/>
      <c r="AQ5674"/>
      <c r="AR5674"/>
      <c r="AS5674"/>
      <c r="AT5674"/>
      <c r="AU5674"/>
      <c r="AV5674"/>
    </row>
    <row r="5675" spans="41:48" x14ac:dyDescent="0.35">
      <c r="AO5675"/>
      <c r="AP5675"/>
      <c r="AQ5675"/>
      <c r="AR5675"/>
      <c r="AS5675"/>
      <c r="AT5675"/>
      <c r="AU5675"/>
      <c r="AV5675"/>
    </row>
    <row r="5676" spans="41:48" x14ac:dyDescent="0.35">
      <c r="AO5676"/>
      <c r="AP5676"/>
      <c r="AQ5676"/>
      <c r="AR5676"/>
      <c r="AS5676"/>
      <c r="AT5676"/>
      <c r="AU5676"/>
      <c r="AV5676"/>
    </row>
    <row r="5677" spans="41:48" x14ac:dyDescent="0.35">
      <c r="AO5677"/>
      <c r="AP5677"/>
      <c r="AQ5677"/>
      <c r="AR5677"/>
      <c r="AS5677"/>
      <c r="AT5677"/>
      <c r="AU5677"/>
      <c r="AV5677"/>
    </row>
    <row r="5678" spans="41:48" x14ac:dyDescent="0.35">
      <c r="AO5678"/>
      <c r="AP5678"/>
      <c r="AQ5678"/>
      <c r="AR5678"/>
      <c r="AS5678"/>
      <c r="AT5678"/>
      <c r="AU5678"/>
      <c r="AV5678"/>
    </row>
    <row r="5679" spans="41:48" x14ac:dyDescent="0.35">
      <c r="AO5679"/>
      <c r="AP5679"/>
      <c r="AQ5679"/>
      <c r="AR5679"/>
      <c r="AS5679"/>
      <c r="AT5679"/>
      <c r="AU5679"/>
      <c r="AV5679"/>
    </row>
    <row r="5680" spans="41:48" x14ac:dyDescent="0.35">
      <c r="AO5680"/>
      <c r="AP5680"/>
      <c r="AQ5680"/>
      <c r="AR5680"/>
      <c r="AS5680"/>
      <c r="AT5680"/>
      <c r="AU5680"/>
      <c r="AV5680"/>
    </row>
    <row r="5681" spans="41:48" x14ac:dyDescent="0.35">
      <c r="AO5681"/>
      <c r="AP5681"/>
      <c r="AQ5681"/>
      <c r="AR5681"/>
      <c r="AS5681"/>
      <c r="AT5681"/>
      <c r="AU5681"/>
      <c r="AV5681"/>
    </row>
    <row r="5682" spans="41:48" x14ac:dyDescent="0.35">
      <c r="AO5682"/>
      <c r="AP5682"/>
      <c r="AQ5682"/>
      <c r="AR5682"/>
      <c r="AS5682"/>
      <c r="AT5682"/>
      <c r="AU5682"/>
      <c r="AV5682"/>
    </row>
    <row r="5683" spans="41:48" x14ac:dyDescent="0.35">
      <c r="AO5683"/>
      <c r="AP5683"/>
      <c r="AQ5683"/>
      <c r="AR5683"/>
      <c r="AS5683"/>
      <c r="AT5683"/>
      <c r="AU5683"/>
      <c r="AV5683"/>
    </row>
    <row r="5684" spans="41:48" x14ac:dyDescent="0.35">
      <c r="AO5684"/>
      <c r="AP5684"/>
      <c r="AQ5684"/>
      <c r="AR5684"/>
      <c r="AS5684"/>
      <c r="AT5684"/>
      <c r="AU5684"/>
      <c r="AV5684"/>
    </row>
    <row r="5685" spans="41:48" x14ac:dyDescent="0.35">
      <c r="AO5685"/>
      <c r="AP5685"/>
      <c r="AQ5685"/>
      <c r="AR5685"/>
      <c r="AS5685"/>
      <c r="AT5685"/>
      <c r="AU5685"/>
      <c r="AV5685"/>
    </row>
    <row r="5686" spans="41:48" x14ac:dyDescent="0.35">
      <c r="AO5686"/>
      <c r="AP5686"/>
      <c r="AQ5686"/>
      <c r="AR5686"/>
      <c r="AS5686"/>
      <c r="AT5686"/>
      <c r="AU5686"/>
      <c r="AV5686"/>
    </row>
    <row r="5687" spans="41:48" x14ac:dyDescent="0.35">
      <c r="AO5687"/>
      <c r="AP5687"/>
      <c r="AQ5687"/>
      <c r="AR5687"/>
      <c r="AS5687"/>
      <c r="AT5687"/>
      <c r="AU5687"/>
      <c r="AV5687"/>
    </row>
    <row r="5688" spans="41:48" x14ac:dyDescent="0.35">
      <c r="AO5688"/>
      <c r="AP5688"/>
      <c r="AQ5688"/>
      <c r="AR5688"/>
      <c r="AS5688"/>
      <c r="AT5688"/>
      <c r="AU5688"/>
      <c r="AV5688"/>
    </row>
    <row r="5689" spans="41:48" x14ac:dyDescent="0.35">
      <c r="AO5689"/>
      <c r="AP5689"/>
      <c r="AQ5689"/>
      <c r="AR5689"/>
      <c r="AS5689"/>
      <c r="AT5689"/>
      <c r="AU5689"/>
      <c r="AV5689"/>
    </row>
    <row r="5690" spans="41:48" x14ac:dyDescent="0.35">
      <c r="AO5690"/>
      <c r="AP5690"/>
      <c r="AQ5690"/>
      <c r="AR5690"/>
      <c r="AS5690"/>
      <c r="AT5690"/>
      <c r="AU5690"/>
      <c r="AV5690"/>
    </row>
    <row r="5691" spans="41:48" x14ac:dyDescent="0.35">
      <c r="AO5691"/>
      <c r="AP5691"/>
      <c r="AQ5691"/>
      <c r="AR5691"/>
      <c r="AS5691"/>
      <c r="AT5691"/>
      <c r="AU5691"/>
      <c r="AV5691"/>
    </row>
    <row r="5692" spans="41:48" x14ac:dyDescent="0.35">
      <c r="AO5692"/>
      <c r="AP5692"/>
      <c r="AQ5692"/>
      <c r="AR5692"/>
      <c r="AS5692"/>
      <c r="AT5692"/>
      <c r="AU5692"/>
      <c r="AV5692"/>
    </row>
    <row r="5693" spans="41:48" x14ac:dyDescent="0.35">
      <c r="AO5693"/>
      <c r="AP5693"/>
      <c r="AQ5693"/>
      <c r="AR5693"/>
      <c r="AS5693"/>
      <c r="AT5693"/>
      <c r="AU5693"/>
      <c r="AV5693"/>
    </row>
    <row r="5694" spans="41:48" x14ac:dyDescent="0.35">
      <c r="AO5694"/>
      <c r="AP5694"/>
      <c r="AQ5694"/>
      <c r="AR5694"/>
      <c r="AS5694"/>
      <c r="AT5694"/>
      <c r="AU5694"/>
      <c r="AV5694"/>
    </row>
    <row r="5695" spans="41:48" x14ac:dyDescent="0.35">
      <c r="AO5695"/>
      <c r="AP5695"/>
      <c r="AQ5695"/>
      <c r="AR5695"/>
      <c r="AS5695"/>
      <c r="AT5695"/>
      <c r="AU5695"/>
      <c r="AV5695"/>
    </row>
    <row r="5696" spans="41:48" x14ac:dyDescent="0.35">
      <c r="AO5696"/>
      <c r="AP5696"/>
      <c r="AQ5696"/>
      <c r="AR5696"/>
      <c r="AS5696"/>
      <c r="AT5696"/>
      <c r="AU5696"/>
      <c r="AV5696"/>
    </row>
    <row r="5697" spans="41:48" x14ac:dyDescent="0.35">
      <c r="AO5697"/>
      <c r="AP5697"/>
      <c r="AQ5697"/>
      <c r="AR5697"/>
      <c r="AS5697"/>
      <c r="AT5697"/>
      <c r="AU5697"/>
      <c r="AV5697"/>
    </row>
    <row r="5698" spans="41:48" x14ac:dyDescent="0.35">
      <c r="AO5698"/>
      <c r="AP5698"/>
      <c r="AQ5698"/>
      <c r="AR5698"/>
      <c r="AS5698"/>
      <c r="AT5698"/>
      <c r="AU5698"/>
      <c r="AV5698"/>
    </row>
    <row r="5699" spans="41:48" x14ac:dyDescent="0.35">
      <c r="AO5699"/>
      <c r="AP5699"/>
      <c r="AQ5699"/>
      <c r="AR5699"/>
      <c r="AS5699"/>
      <c r="AT5699"/>
      <c r="AU5699"/>
      <c r="AV5699"/>
    </row>
    <row r="5700" spans="41:48" x14ac:dyDescent="0.35">
      <c r="AO5700"/>
      <c r="AP5700"/>
      <c r="AQ5700"/>
      <c r="AR5700"/>
      <c r="AS5700"/>
      <c r="AT5700"/>
      <c r="AU5700"/>
      <c r="AV5700"/>
    </row>
    <row r="5701" spans="41:48" x14ac:dyDescent="0.35">
      <c r="AO5701"/>
      <c r="AP5701"/>
      <c r="AQ5701"/>
      <c r="AR5701"/>
      <c r="AS5701"/>
      <c r="AT5701"/>
      <c r="AU5701"/>
      <c r="AV5701"/>
    </row>
    <row r="5702" spans="41:48" x14ac:dyDescent="0.35">
      <c r="AO5702"/>
      <c r="AP5702"/>
      <c r="AQ5702"/>
      <c r="AR5702"/>
      <c r="AS5702"/>
      <c r="AT5702"/>
      <c r="AU5702"/>
      <c r="AV5702"/>
    </row>
    <row r="5703" spans="41:48" x14ac:dyDescent="0.35">
      <c r="AO5703"/>
      <c r="AP5703"/>
      <c r="AQ5703"/>
      <c r="AR5703"/>
      <c r="AS5703"/>
      <c r="AT5703"/>
      <c r="AU5703"/>
      <c r="AV5703"/>
    </row>
    <row r="5704" spans="41:48" x14ac:dyDescent="0.35">
      <c r="AO5704"/>
      <c r="AP5704"/>
      <c r="AQ5704"/>
      <c r="AR5704"/>
      <c r="AS5704"/>
      <c r="AT5704"/>
      <c r="AU5704"/>
      <c r="AV5704"/>
    </row>
    <row r="5705" spans="41:48" x14ac:dyDescent="0.35">
      <c r="AO5705"/>
      <c r="AP5705"/>
      <c r="AQ5705"/>
      <c r="AR5705"/>
      <c r="AS5705"/>
      <c r="AT5705"/>
      <c r="AU5705"/>
      <c r="AV5705"/>
    </row>
    <row r="5706" spans="41:48" x14ac:dyDescent="0.35">
      <c r="AO5706"/>
      <c r="AP5706"/>
      <c r="AQ5706"/>
      <c r="AR5706"/>
      <c r="AS5706"/>
      <c r="AT5706"/>
      <c r="AU5706"/>
      <c r="AV5706"/>
    </row>
    <row r="5707" spans="41:48" x14ac:dyDescent="0.35">
      <c r="AO5707"/>
      <c r="AP5707"/>
      <c r="AQ5707"/>
      <c r="AR5707"/>
      <c r="AS5707"/>
      <c r="AT5707"/>
      <c r="AU5707"/>
      <c r="AV5707"/>
    </row>
    <row r="5708" spans="41:48" x14ac:dyDescent="0.35">
      <c r="AO5708"/>
      <c r="AP5708"/>
      <c r="AQ5708"/>
      <c r="AR5708"/>
      <c r="AS5708"/>
      <c r="AT5708"/>
      <c r="AU5708"/>
      <c r="AV5708"/>
    </row>
    <row r="5709" spans="41:48" x14ac:dyDescent="0.35">
      <c r="AO5709"/>
      <c r="AP5709"/>
      <c r="AQ5709"/>
      <c r="AR5709"/>
      <c r="AS5709"/>
      <c r="AT5709"/>
      <c r="AU5709"/>
      <c r="AV5709"/>
    </row>
    <row r="5710" spans="41:48" x14ac:dyDescent="0.35">
      <c r="AO5710"/>
      <c r="AP5710"/>
      <c r="AQ5710"/>
      <c r="AR5710"/>
      <c r="AS5710"/>
      <c r="AT5710"/>
      <c r="AU5710"/>
      <c r="AV5710"/>
    </row>
    <row r="5711" spans="41:48" x14ac:dyDescent="0.35">
      <c r="AO5711"/>
      <c r="AP5711"/>
      <c r="AQ5711"/>
      <c r="AR5711"/>
      <c r="AS5711"/>
      <c r="AT5711"/>
      <c r="AU5711"/>
      <c r="AV5711"/>
    </row>
    <row r="5712" spans="41:48" x14ac:dyDescent="0.35">
      <c r="AO5712"/>
      <c r="AP5712"/>
      <c r="AQ5712"/>
      <c r="AR5712"/>
      <c r="AS5712"/>
      <c r="AT5712"/>
      <c r="AU5712"/>
      <c r="AV5712"/>
    </row>
    <row r="5713" spans="41:48" x14ac:dyDescent="0.35">
      <c r="AO5713"/>
      <c r="AP5713"/>
      <c r="AQ5713"/>
      <c r="AR5713"/>
      <c r="AS5713"/>
      <c r="AT5713"/>
      <c r="AU5713"/>
      <c r="AV5713"/>
    </row>
    <row r="5714" spans="41:48" x14ac:dyDescent="0.35">
      <c r="AO5714"/>
      <c r="AP5714"/>
      <c r="AQ5714"/>
      <c r="AR5714"/>
      <c r="AS5714"/>
      <c r="AT5714"/>
      <c r="AU5714"/>
      <c r="AV5714"/>
    </row>
    <row r="5715" spans="41:48" x14ac:dyDescent="0.35">
      <c r="AO5715"/>
      <c r="AP5715"/>
      <c r="AQ5715"/>
      <c r="AR5715"/>
      <c r="AS5715"/>
      <c r="AT5715"/>
      <c r="AU5715"/>
      <c r="AV5715"/>
    </row>
    <row r="5716" spans="41:48" x14ac:dyDescent="0.35">
      <c r="AO5716"/>
      <c r="AP5716"/>
      <c r="AQ5716"/>
      <c r="AR5716"/>
      <c r="AS5716"/>
      <c r="AT5716"/>
      <c r="AU5716"/>
      <c r="AV5716"/>
    </row>
    <row r="5717" spans="41:48" x14ac:dyDescent="0.35">
      <c r="AO5717"/>
      <c r="AP5717"/>
      <c r="AQ5717"/>
      <c r="AR5717"/>
      <c r="AS5717"/>
      <c r="AT5717"/>
      <c r="AU5717"/>
      <c r="AV5717"/>
    </row>
    <row r="5718" spans="41:48" x14ac:dyDescent="0.35">
      <c r="AO5718"/>
      <c r="AP5718"/>
      <c r="AQ5718"/>
      <c r="AR5718"/>
      <c r="AS5718"/>
      <c r="AT5718"/>
      <c r="AU5718"/>
      <c r="AV5718"/>
    </row>
    <row r="5719" spans="41:48" x14ac:dyDescent="0.35">
      <c r="AO5719"/>
      <c r="AP5719"/>
      <c r="AQ5719"/>
      <c r="AR5719"/>
      <c r="AS5719"/>
      <c r="AT5719"/>
      <c r="AU5719"/>
      <c r="AV5719"/>
    </row>
    <row r="5720" spans="41:48" x14ac:dyDescent="0.35">
      <c r="AO5720"/>
      <c r="AP5720"/>
      <c r="AQ5720"/>
      <c r="AR5720"/>
      <c r="AS5720"/>
      <c r="AT5720"/>
      <c r="AU5720"/>
      <c r="AV5720"/>
    </row>
    <row r="5721" spans="41:48" x14ac:dyDescent="0.35">
      <c r="AO5721"/>
      <c r="AP5721"/>
      <c r="AQ5721"/>
      <c r="AR5721"/>
      <c r="AS5721"/>
      <c r="AT5721"/>
      <c r="AU5721"/>
      <c r="AV5721"/>
    </row>
    <row r="5722" spans="41:48" x14ac:dyDescent="0.35">
      <c r="AO5722"/>
      <c r="AP5722"/>
      <c r="AQ5722"/>
      <c r="AR5722"/>
      <c r="AS5722"/>
      <c r="AT5722"/>
      <c r="AU5722"/>
      <c r="AV5722"/>
    </row>
    <row r="5723" spans="41:48" x14ac:dyDescent="0.35">
      <c r="AO5723"/>
      <c r="AP5723"/>
      <c r="AQ5723"/>
      <c r="AR5723"/>
      <c r="AS5723"/>
      <c r="AT5723"/>
      <c r="AU5723"/>
      <c r="AV5723"/>
    </row>
    <row r="5724" spans="41:48" x14ac:dyDescent="0.35">
      <c r="AO5724"/>
      <c r="AP5724"/>
      <c r="AQ5724"/>
      <c r="AR5724"/>
      <c r="AS5724"/>
      <c r="AT5724"/>
      <c r="AU5724"/>
      <c r="AV5724"/>
    </row>
    <row r="5725" spans="41:48" x14ac:dyDescent="0.35">
      <c r="AO5725"/>
      <c r="AP5725"/>
      <c r="AQ5725"/>
      <c r="AR5725"/>
      <c r="AS5725"/>
      <c r="AT5725"/>
      <c r="AU5725"/>
      <c r="AV5725"/>
    </row>
    <row r="5726" spans="41:48" x14ac:dyDescent="0.35">
      <c r="AO5726"/>
      <c r="AP5726"/>
      <c r="AQ5726"/>
      <c r="AR5726"/>
      <c r="AS5726"/>
      <c r="AT5726"/>
      <c r="AU5726"/>
      <c r="AV5726"/>
    </row>
    <row r="5727" spans="41:48" x14ac:dyDescent="0.35">
      <c r="AO5727"/>
      <c r="AP5727"/>
      <c r="AQ5727"/>
      <c r="AR5727"/>
      <c r="AS5727"/>
      <c r="AT5727"/>
      <c r="AU5727"/>
      <c r="AV5727"/>
    </row>
    <row r="5728" spans="41:48" x14ac:dyDescent="0.35">
      <c r="AO5728"/>
      <c r="AP5728"/>
      <c r="AQ5728"/>
      <c r="AR5728"/>
      <c r="AS5728"/>
      <c r="AT5728"/>
      <c r="AU5728"/>
      <c r="AV5728"/>
    </row>
    <row r="5729" spans="41:48" x14ac:dyDescent="0.35">
      <c r="AO5729"/>
      <c r="AP5729"/>
      <c r="AQ5729"/>
      <c r="AR5729"/>
      <c r="AS5729"/>
      <c r="AT5729"/>
      <c r="AU5729"/>
      <c r="AV5729"/>
    </row>
    <row r="5730" spans="41:48" x14ac:dyDescent="0.35">
      <c r="AO5730"/>
      <c r="AP5730"/>
      <c r="AQ5730"/>
      <c r="AR5730"/>
      <c r="AS5730"/>
      <c r="AT5730"/>
      <c r="AU5730"/>
      <c r="AV5730"/>
    </row>
    <row r="5731" spans="41:48" x14ac:dyDescent="0.35">
      <c r="AO5731"/>
      <c r="AP5731"/>
      <c r="AQ5731"/>
      <c r="AR5731"/>
      <c r="AS5731"/>
      <c r="AT5731"/>
      <c r="AU5731"/>
      <c r="AV5731"/>
    </row>
    <row r="5732" spans="41:48" x14ac:dyDescent="0.35">
      <c r="AO5732"/>
      <c r="AP5732"/>
      <c r="AQ5732"/>
      <c r="AR5732"/>
      <c r="AS5732"/>
      <c r="AT5732"/>
      <c r="AU5732"/>
      <c r="AV5732"/>
    </row>
    <row r="5733" spans="41:48" x14ac:dyDescent="0.35">
      <c r="AO5733"/>
      <c r="AP5733"/>
      <c r="AQ5733"/>
      <c r="AR5733"/>
      <c r="AS5733"/>
      <c r="AT5733"/>
      <c r="AU5733"/>
      <c r="AV5733"/>
    </row>
    <row r="5734" spans="41:48" x14ac:dyDescent="0.35">
      <c r="AO5734"/>
      <c r="AP5734"/>
      <c r="AQ5734"/>
      <c r="AR5734"/>
      <c r="AS5734"/>
      <c r="AT5734"/>
      <c r="AU5734"/>
      <c r="AV5734"/>
    </row>
    <row r="5735" spans="41:48" x14ac:dyDescent="0.35">
      <c r="AO5735"/>
      <c r="AP5735"/>
      <c r="AQ5735"/>
      <c r="AR5735"/>
      <c r="AS5735"/>
      <c r="AT5735"/>
      <c r="AU5735"/>
      <c r="AV5735"/>
    </row>
    <row r="5736" spans="41:48" x14ac:dyDescent="0.35">
      <c r="AO5736"/>
      <c r="AP5736"/>
      <c r="AQ5736"/>
      <c r="AR5736"/>
      <c r="AS5736"/>
      <c r="AT5736"/>
      <c r="AU5736"/>
      <c r="AV5736"/>
    </row>
    <row r="5737" spans="41:48" x14ac:dyDescent="0.35">
      <c r="AO5737"/>
      <c r="AP5737"/>
      <c r="AQ5737"/>
      <c r="AR5737"/>
      <c r="AS5737"/>
      <c r="AT5737"/>
      <c r="AU5737"/>
      <c r="AV5737"/>
    </row>
    <row r="5738" spans="41:48" x14ac:dyDescent="0.35">
      <c r="AO5738"/>
      <c r="AP5738"/>
      <c r="AQ5738"/>
      <c r="AR5738"/>
      <c r="AS5738"/>
      <c r="AT5738"/>
      <c r="AU5738"/>
      <c r="AV5738"/>
    </row>
    <row r="5739" spans="41:48" x14ac:dyDescent="0.35">
      <c r="AO5739"/>
      <c r="AP5739"/>
      <c r="AQ5739"/>
      <c r="AR5739"/>
      <c r="AS5739"/>
      <c r="AT5739"/>
      <c r="AU5739"/>
      <c r="AV5739"/>
    </row>
    <row r="5740" spans="41:48" x14ac:dyDescent="0.35">
      <c r="AO5740"/>
      <c r="AP5740"/>
      <c r="AQ5740"/>
      <c r="AR5740"/>
      <c r="AS5740"/>
      <c r="AT5740"/>
      <c r="AU5740"/>
      <c r="AV5740"/>
    </row>
    <row r="5741" spans="41:48" x14ac:dyDescent="0.35">
      <c r="AO5741"/>
      <c r="AP5741"/>
      <c r="AQ5741"/>
      <c r="AR5741"/>
      <c r="AS5741"/>
      <c r="AT5741"/>
      <c r="AU5741"/>
      <c r="AV5741"/>
    </row>
    <row r="5742" spans="41:48" x14ac:dyDescent="0.35">
      <c r="AO5742"/>
      <c r="AP5742"/>
      <c r="AQ5742"/>
      <c r="AR5742"/>
      <c r="AS5742"/>
      <c r="AT5742"/>
      <c r="AU5742"/>
      <c r="AV5742"/>
    </row>
    <row r="5743" spans="41:48" x14ac:dyDescent="0.35">
      <c r="AO5743"/>
      <c r="AP5743"/>
      <c r="AQ5743"/>
      <c r="AR5743"/>
      <c r="AS5743"/>
      <c r="AT5743"/>
      <c r="AU5743"/>
      <c r="AV5743"/>
    </row>
    <row r="5744" spans="41:48" x14ac:dyDescent="0.35">
      <c r="AO5744"/>
      <c r="AP5744"/>
      <c r="AQ5744"/>
      <c r="AR5744"/>
      <c r="AS5744"/>
      <c r="AT5744"/>
      <c r="AU5744"/>
      <c r="AV5744"/>
    </row>
    <row r="5745" spans="41:48" x14ac:dyDescent="0.35">
      <c r="AO5745"/>
      <c r="AP5745"/>
      <c r="AQ5745"/>
      <c r="AR5745"/>
      <c r="AS5745"/>
      <c r="AT5745"/>
      <c r="AU5745"/>
      <c r="AV5745"/>
    </row>
    <row r="5746" spans="41:48" x14ac:dyDescent="0.35">
      <c r="AO5746"/>
      <c r="AP5746"/>
      <c r="AQ5746"/>
      <c r="AR5746"/>
      <c r="AS5746"/>
      <c r="AT5746"/>
      <c r="AU5746"/>
      <c r="AV5746"/>
    </row>
    <row r="5747" spans="41:48" x14ac:dyDescent="0.35">
      <c r="AO5747"/>
      <c r="AP5747"/>
      <c r="AQ5747"/>
      <c r="AR5747"/>
      <c r="AS5747"/>
      <c r="AT5747"/>
      <c r="AU5747"/>
      <c r="AV5747"/>
    </row>
    <row r="5748" spans="41:48" x14ac:dyDescent="0.35">
      <c r="AO5748"/>
      <c r="AP5748"/>
      <c r="AQ5748"/>
      <c r="AR5748"/>
      <c r="AS5748"/>
      <c r="AT5748"/>
      <c r="AU5748"/>
      <c r="AV5748"/>
    </row>
    <row r="5749" spans="41:48" x14ac:dyDescent="0.35">
      <c r="AO5749"/>
      <c r="AP5749"/>
      <c r="AQ5749"/>
      <c r="AR5749"/>
      <c r="AS5749"/>
      <c r="AT5749"/>
      <c r="AU5749"/>
      <c r="AV5749"/>
    </row>
    <row r="5750" spans="41:48" x14ac:dyDescent="0.35">
      <c r="AO5750"/>
      <c r="AP5750"/>
      <c r="AQ5750"/>
      <c r="AR5750"/>
      <c r="AS5750"/>
      <c r="AT5750"/>
      <c r="AU5750"/>
      <c r="AV5750"/>
    </row>
    <row r="5751" spans="41:48" x14ac:dyDescent="0.35">
      <c r="AO5751"/>
      <c r="AP5751"/>
      <c r="AQ5751"/>
      <c r="AR5751"/>
      <c r="AS5751"/>
      <c r="AT5751"/>
      <c r="AU5751"/>
      <c r="AV5751"/>
    </row>
    <row r="5752" spans="41:48" x14ac:dyDescent="0.35">
      <c r="AO5752"/>
      <c r="AP5752"/>
      <c r="AQ5752"/>
      <c r="AR5752"/>
      <c r="AS5752"/>
      <c r="AT5752"/>
      <c r="AU5752"/>
      <c r="AV5752"/>
    </row>
    <row r="5753" spans="41:48" x14ac:dyDescent="0.35">
      <c r="AO5753"/>
      <c r="AP5753"/>
      <c r="AQ5753"/>
      <c r="AR5753"/>
      <c r="AS5753"/>
      <c r="AT5753"/>
      <c r="AU5753"/>
      <c r="AV5753"/>
    </row>
    <row r="5754" spans="41:48" x14ac:dyDescent="0.35">
      <c r="AO5754"/>
      <c r="AP5754"/>
      <c r="AQ5754"/>
      <c r="AR5754"/>
      <c r="AS5754"/>
      <c r="AT5754"/>
      <c r="AU5754"/>
      <c r="AV5754"/>
    </row>
    <row r="5755" spans="41:48" x14ac:dyDescent="0.35">
      <c r="AO5755"/>
      <c r="AP5755"/>
      <c r="AQ5755"/>
      <c r="AR5755"/>
      <c r="AS5755"/>
      <c r="AT5755"/>
      <c r="AU5755"/>
      <c r="AV5755"/>
    </row>
    <row r="5756" spans="41:48" x14ac:dyDescent="0.35">
      <c r="AO5756"/>
      <c r="AP5756"/>
      <c r="AQ5756"/>
      <c r="AR5756"/>
      <c r="AS5756"/>
      <c r="AT5756"/>
      <c r="AU5756"/>
      <c r="AV5756"/>
    </row>
    <row r="5757" spans="41:48" x14ac:dyDescent="0.35">
      <c r="AO5757"/>
      <c r="AP5757"/>
      <c r="AQ5757"/>
      <c r="AR5757"/>
      <c r="AS5757"/>
      <c r="AT5757"/>
      <c r="AU5757"/>
      <c r="AV5757"/>
    </row>
    <row r="5758" spans="41:48" x14ac:dyDescent="0.35">
      <c r="AO5758"/>
      <c r="AP5758"/>
      <c r="AQ5758"/>
      <c r="AR5758"/>
      <c r="AS5758"/>
      <c r="AT5758"/>
      <c r="AU5758"/>
      <c r="AV5758"/>
    </row>
    <row r="5759" spans="41:48" x14ac:dyDescent="0.35">
      <c r="AO5759"/>
      <c r="AP5759"/>
      <c r="AQ5759"/>
      <c r="AR5759"/>
      <c r="AS5759"/>
      <c r="AT5759"/>
      <c r="AU5759"/>
      <c r="AV5759"/>
    </row>
    <row r="5760" spans="41:48" x14ac:dyDescent="0.35">
      <c r="AO5760"/>
      <c r="AP5760"/>
      <c r="AQ5760"/>
      <c r="AR5760"/>
      <c r="AS5760"/>
      <c r="AT5760"/>
      <c r="AU5760"/>
      <c r="AV5760"/>
    </row>
    <row r="5761" spans="41:48" x14ac:dyDescent="0.35">
      <c r="AO5761"/>
      <c r="AP5761"/>
      <c r="AQ5761"/>
      <c r="AR5761"/>
      <c r="AS5761"/>
      <c r="AT5761"/>
      <c r="AU5761"/>
      <c r="AV5761"/>
    </row>
    <row r="5762" spans="41:48" x14ac:dyDescent="0.35">
      <c r="AO5762"/>
      <c r="AP5762"/>
      <c r="AQ5762"/>
      <c r="AR5762"/>
      <c r="AS5762"/>
      <c r="AT5762"/>
      <c r="AU5762"/>
      <c r="AV5762"/>
    </row>
    <row r="5763" spans="41:48" x14ac:dyDescent="0.35">
      <c r="AO5763"/>
      <c r="AP5763"/>
      <c r="AQ5763"/>
      <c r="AR5763"/>
      <c r="AS5763"/>
      <c r="AT5763"/>
      <c r="AU5763"/>
      <c r="AV5763"/>
    </row>
    <row r="5764" spans="41:48" x14ac:dyDescent="0.35">
      <c r="AO5764"/>
      <c r="AP5764"/>
      <c r="AQ5764"/>
      <c r="AR5764"/>
      <c r="AS5764"/>
      <c r="AT5764"/>
      <c r="AU5764"/>
      <c r="AV5764"/>
    </row>
    <row r="5765" spans="41:48" x14ac:dyDescent="0.35">
      <c r="AO5765"/>
      <c r="AP5765"/>
      <c r="AQ5765"/>
      <c r="AR5765"/>
      <c r="AS5765"/>
      <c r="AT5765"/>
      <c r="AU5765"/>
      <c r="AV5765"/>
    </row>
    <row r="5766" spans="41:48" x14ac:dyDescent="0.35">
      <c r="AO5766"/>
      <c r="AP5766"/>
      <c r="AQ5766"/>
      <c r="AR5766"/>
      <c r="AS5766"/>
      <c r="AT5766"/>
      <c r="AU5766"/>
      <c r="AV5766"/>
    </row>
    <row r="5767" spans="41:48" x14ac:dyDescent="0.35">
      <c r="AO5767"/>
      <c r="AP5767"/>
      <c r="AQ5767"/>
      <c r="AR5767"/>
      <c r="AS5767"/>
      <c r="AT5767"/>
      <c r="AU5767"/>
      <c r="AV5767"/>
    </row>
    <row r="5768" spans="41:48" x14ac:dyDescent="0.35">
      <c r="AO5768"/>
      <c r="AP5768"/>
      <c r="AQ5768"/>
      <c r="AR5768"/>
      <c r="AS5768"/>
      <c r="AT5768"/>
      <c r="AU5768"/>
      <c r="AV5768"/>
    </row>
    <row r="5769" spans="41:48" x14ac:dyDescent="0.35">
      <c r="AO5769"/>
      <c r="AP5769"/>
      <c r="AQ5769"/>
      <c r="AR5769"/>
      <c r="AS5769"/>
      <c r="AT5769"/>
      <c r="AU5769"/>
      <c r="AV5769"/>
    </row>
    <row r="5770" spans="41:48" x14ac:dyDescent="0.35">
      <c r="AO5770"/>
      <c r="AP5770"/>
      <c r="AQ5770"/>
      <c r="AR5770"/>
      <c r="AS5770"/>
      <c r="AT5770"/>
      <c r="AU5770"/>
      <c r="AV5770"/>
    </row>
    <row r="5771" spans="41:48" x14ac:dyDescent="0.35">
      <c r="AO5771"/>
      <c r="AP5771"/>
      <c r="AQ5771"/>
      <c r="AR5771"/>
      <c r="AS5771"/>
      <c r="AT5771"/>
      <c r="AU5771"/>
      <c r="AV5771"/>
    </row>
    <row r="5772" spans="41:48" x14ac:dyDescent="0.35">
      <c r="AO5772"/>
      <c r="AP5772"/>
      <c r="AQ5772"/>
      <c r="AR5772"/>
      <c r="AS5772"/>
      <c r="AT5772"/>
      <c r="AU5772"/>
      <c r="AV5772"/>
    </row>
    <row r="5773" spans="41:48" x14ac:dyDescent="0.35">
      <c r="AO5773"/>
      <c r="AP5773"/>
      <c r="AQ5773"/>
      <c r="AR5773"/>
      <c r="AS5773"/>
      <c r="AT5773"/>
      <c r="AU5773"/>
      <c r="AV5773"/>
    </row>
    <row r="5774" spans="41:48" x14ac:dyDescent="0.35">
      <c r="AO5774"/>
      <c r="AP5774"/>
      <c r="AQ5774"/>
      <c r="AR5774"/>
      <c r="AS5774"/>
      <c r="AT5774"/>
      <c r="AU5774"/>
      <c r="AV5774"/>
    </row>
    <row r="5775" spans="41:48" x14ac:dyDescent="0.35">
      <c r="AO5775"/>
      <c r="AP5775"/>
      <c r="AQ5775"/>
      <c r="AR5775"/>
      <c r="AS5775"/>
      <c r="AT5775"/>
      <c r="AU5775"/>
      <c r="AV5775"/>
    </row>
    <row r="5776" spans="41:48" x14ac:dyDescent="0.35">
      <c r="AO5776"/>
      <c r="AP5776"/>
      <c r="AQ5776"/>
      <c r="AR5776"/>
      <c r="AS5776"/>
      <c r="AT5776"/>
      <c r="AU5776"/>
      <c r="AV5776"/>
    </row>
    <row r="5777" spans="41:48" x14ac:dyDescent="0.35">
      <c r="AO5777"/>
      <c r="AP5777"/>
      <c r="AQ5777"/>
      <c r="AR5777"/>
      <c r="AS5777"/>
      <c r="AT5777"/>
      <c r="AU5777"/>
      <c r="AV5777"/>
    </row>
    <row r="5778" spans="41:48" x14ac:dyDescent="0.35">
      <c r="AO5778"/>
      <c r="AP5778"/>
      <c r="AQ5778"/>
      <c r="AR5778"/>
      <c r="AS5778"/>
      <c r="AT5778"/>
      <c r="AU5778"/>
      <c r="AV5778"/>
    </row>
    <row r="5779" spans="41:48" x14ac:dyDescent="0.35">
      <c r="AO5779"/>
      <c r="AP5779"/>
      <c r="AQ5779"/>
      <c r="AR5779"/>
      <c r="AS5779"/>
      <c r="AT5779"/>
      <c r="AU5779"/>
      <c r="AV5779"/>
    </row>
    <row r="5780" spans="41:48" x14ac:dyDescent="0.35">
      <c r="AO5780"/>
      <c r="AP5780"/>
      <c r="AQ5780"/>
      <c r="AR5780"/>
      <c r="AS5780"/>
      <c r="AT5780"/>
      <c r="AU5780"/>
      <c r="AV5780"/>
    </row>
    <row r="5781" spans="41:48" x14ac:dyDescent="0.35">
      <c r="AO5781"/>
      <c r="AP5781"/>
      <c r="AQ5781"/>
      <c r="AR5781"/>
      <c r="AS5781"/>
      <c r="AT5781"/>
      <c r="AU5781"/>
      <c r="AV5781"/>
    </row>
    <row r="5782" spans="41:48" x14ac:dyDescent="0.35">
      <c r="AO5782"/>
      <c r="AP5782"/>
      <c r="AQ5782"/>
      <c r="AR5782"/>
      <c r="AS5782"/>
      <c r="AT5782"/>
      <c r="AU5782"/>
      <c r="AV5782"/>
    </row>
    <row r="5783" spans="41:48" x14ac:dyDescent="0.35">
      <c r="AO5783"/>
      <c r="AP5783"/>
      <c r="AQ5783"/>
      <c r="AR5783"/>
      <c r="AS5783"/>
      <c r="AT5783"/>
      <c r="AU5783"/>
      <c r="AV5783"/>
    </row>
    <row r="5784" spans="41:48" x14ac:dyDescent="0.35">
      <c r="AO5784"/>
      <c r="AP5784"/>
      <c r="AQ5784"/>
      <c r="AR5784"/>
      <c r="AS5784"/>
      <c r="AT5784"/>
      <c r="AU5784"/>
      <c r="AV5784"/>
    </row>
    <row r="5785" spans="41:48" x14ac:dyDescent="0.35">
      <c r="AO5785"/>
      <c r="AP5785"/>
      <c r="AQ5785"/>
      <c r="AR5785"/>
      <c r="AS5785"/>
      <c r="AT5785"/>
      <c r="AU5785"/>
      <c r="AV5785"/>
    </row>
    <row r="5786" spans="41:48" x14ac:dyDescent="0.35">
      <c r="AO5786"/>
      <c r="AP5786"/>
      <c r="AQ5786"/>
      <c r="AR5786"/>
      <c r="AS5786"/>
      <c r="AT5786"/>
      <c r="AU5786"/>
      <c r="AV5786"/>
    </row>
    <row r="5787" spans="41:48" x14ac:dyDescent="0.35">
      <c r="AO5787"/>
      <c r="AP5787"/>
      <c r="AQ5787"/>
      <c r="AR5787"/>
      <c r="AS5787"/>
      <c r="AT5787"/>
      <c r="AU5787"/>
      <c r="AV5787"/>
    </row>
    <row r="5788" spans="41:48" x14ac:dyDescent="0.35">
      <c r="AO5788"/>
      <c r="AP5788"/>
      <c r="AQ5788"/>
      <c r="AR5788"/>
      <c r="AS5788"/>
      <c r="AT5788"/>
      <c r="AU5788"/>
      <c r="AV5788"/>
    </row>
    <row r="5789" spans="41:48" x14ac:dyDescent="0.35">
      <c r="AO5789"/>
      <c r="AP5789"/>
      <c r="AQ5789"/>
      <c r="AR5789"/>
      <c r="AS5789"/>
      <c r="AT5789"/>
      <c r="AU5789"/>
      <c r="AV5789"/>
    </row>
    <row r="5790" spans="41:48" x14ac:dyDescent="0.35">
      <c r="AO5790"/>
      <c r="AP5790"/>
      <c r="AQ5790"/>
      <c r="AR5790"/>
      <c r="AS5790"/>
      <c r="AT5790"/>
      <c r="AU5790"/>
      <c r="AV5790"/>
    </row>
    <row r="5791" spans="41:48" x14ac:dyDescent="0.35">
      <c r="AO5791"/>
      <c r="AP5791"/>
      <c r="AQ5791"/>
      <c r="AR5791"/>
      <c r="AS5791"/>
      <c r="AT5791"/>
      <c r="AU5791"/>
      <c r="AV5791"/>
    </row>
    <row r="5792" spans="41:48" x14ac:dyDescent="0.35">
      <c r="AO5792"/>
      <c r="AP5792"/>
      <c r="AQ5792"/>
      <c r="AR5792"/>
      <c r="AS5792"/>
      <c r="AT5792"/>
      <c r="AU5792"/>
      <c r="AV5792"/>
    </row>
    <row r="5793" spans="41:48" x14ac:dyDescent="0.35">
      <c r="AO5793"/>
      <c r="AP5793"/>
      <c r="AQ5793"/>
      <c r="AR5793"/>
      <c r="AS5793"/>
      <c r="AT5793"/>
      <c r="AU5793"/>
      <c r="AV5793"/>
    </row>
    <row r="5794" spans="41:48" x14ac:dyDescent="0.35">
      <c r="AO5794"/>
      <c r="AP5794"/>
      <c r="AQ5794"/>
      <c r="AR5794"/>
      <c r="AS5794"/>
      <c r="AT5794"/>
      <c r="AU5794"/>
      <c r="AV5794"/>
    </row>
    <row r="5795" spans="41:48" x14ac:dyDescent="0.35">
      <c r="AO5795"/>
      <c r="AP5795"/>
      <c r="AQ5795"/>
      <c r="AR5795"/>
      <c r="AS5795"/>
      <c r="AT5795"/>
      <c r="AU5795"/>
      <c r="AV5795"/>
    </row>
    <row r="5796" spans="41:48" x14ac:dyDescent="0.35">
      <c r="AO5796"/>
      <c r="AP5796"/>
      <c r="AQ5796"/>
      <c r="AR5796"/>
      <c r="AS5796"/>
      <c r="AT5796"/>
      <c r="AU5796"/>
      <c r="AV5796"/>
    </row>
    <row r="5797" spans="41:48" x14ac:dyDescent="0.35">
      <c r="AO5797"/>
      <c r="AP5797"/>
      <c r="AQ5797"/>
      <c r="AR5797"/>
      <c r="AS5797"/>
      <c r="AT5797"/>
      <c r="AU5797"/>
      <c r="AV5797"/>
    </row>
    <row r="5798" spans="41:48" x14ac:dyDescent="0.35">
      <c r="AO5798"/>
      <c r="AP5798"/>
      <c r="AQ5798"/>
      <c r="AR5798"/>
      <c r="AS5798"/>
      <c r="AT5798"/>
      <c r="AU5798"/>
      <c r="AV5798"/>
    </row>
    <row r="5799" spans="41:48" x14ac:dyDescent="0.35">
      <c r="AO5799"/>
      <c r="AP5799"/>
      <c r="AQ5799"/>
      <c r="AR5799"/>
      <c r="AS5799"/>
      <c r="AT5799"/>
      <c r="AU5799"/>
      <c r="AV5799"/>
    </row>
    <row r="5800" spans="41:48" x14ac:dyDescent="0.35">
      <c r="AO5800"/>
      <c r="AP5800"/>
      <c r="AQ5800"/>
      <c r="AR5800"/>
      <c r="AS5800"/>
      <c r="AT5800"/>
      <c r="AU5800"/>
      <c r="AV5800"/>
    </row>
    <row r="5801" spans="41:48" x14ac:dyDescent="0.35">
      <c r="AO5801"/>
      <c r="AP5801"/>
      <c r="AQ5801"/>
      <c r="AR5801"/>
      <c r="AS5801"/>
      <c r="AT5801"/>
      <c r="AU5801"/>
      <c r="AV5801"/>
    </row>
    <row r="5802" spans="41:48" x14ac:dyDescent="0.35">
      <c r="AO5802"/>
      <c r="AP5802"/>
      <c r="AQ5802"/>
      <c r="AR5802"/>
      <c r="AS5802"/>
      <c r="AT5802"/>
      <c r="AU5802"/>
      <c r="AV5802"/>
    </row>
    <row r="5803" spans="41:48" x14ac:dyDescent="0.35">
      <c r="AO5803"/>
      <c r="AP5803"/>
      <c r="AQ5803"/>
      <c r="AR5803"/>
      <c r="AS5803"/>
      <c r="AT5803"/>
      <c r="AU5803"/>
      <c r="AV5803"/>
    </row>
    <row r="5804" spans="41:48" x14ac:dyDescent="0.35">
      <c r="AO5804"/>
      <c r="AP5804"/>
      <c r="AQ5804"/>
      <c r="AR5804"/>
      <c r="AS5804"/>
      <c r="AT5804"/>
      <c r="AU5804"/>
      <c r="AV5804"/>
    </row>
    <row r="5805" spans="41:48" x14ac:dyDescent="0.35">
      <c r="AO5805"/>
      <c r="AP5805"/>
      <c r="AQ5805"/>
      <c r="AR5805"/>
      <c r="AS5805"/>
      <c r="AT5805"/>
      <c r="AU5805"/>
      <c r="AV5805"/>
    </row>
    <row r="5806" spans="41:48" x14ac:dyDescent="0.35">
      <c r="AO5806"/>
      <c r="AP5806"/>
      <c r="AQ5806"/>
      <c r="AR5806"/>
      <c r="AS5806"/>
      <c r="AT5806"/>
      <c r="AU5806"/>
      <c r="AV5806"/>
    </row>
    <row r="5807" spans="41:48" x14ac:dyDescent="0.35">
      <c r="AO5807"/>
      <c r="AP5807"/>
      <c r="AQ5807"/>
      <c r="AR5807"/>
      <c r="AS5807"/>
      <c r="AT5807"/>
      <c r="AU5807"/>
      <c r="AV5807"/>
    </row>
    <row r="5808" spans="41:48" x14ac:dyDescent="0.35">
      <c r="AO5808"/>
      <c r="AP5808"/>
      <c r="AQ5808"/>
      <c r="AR5808"/>
      <c r="AS5808"/>
      <c r="AT5808"/>
      <c r="AU5808"/>
      <c r="AV5808"/>
    </row>
    <row r="5809" spans="41:48" x14ac:dyDescent="0.35">
      <c r="AO5809"/>
      <c r="AP5809"/>
      <c r="AQ5809"/>
      <c r="AR5809"/>
      <c r="AS5809"/>
      <c r="AT5809"/>
      <c r="AU5809"/>
      <c r="AV5809"/>
    </row>
    <row r="5810" spans="41:48" x14ac:dyDescent="0.35">
      <c r="AO5810"/>
      <c r="AP5810"/>
      <c r="AQ5810"/>
      <c r="AR5810"/>
      <c r="AS5810"/>
      <c r="AT5810"/>
      <c r="AU5810"/>
      <c r="AV5810"/>
    </row>
    <row r="5811" spans="41:48" x14ac:dyDescent="0.35">
      <c r="AO5811"/>
      <c r="AP5811"/>
      <c r="AQ5811"/>
      <c r="AR5811"/>
      <c r="AS5811"/>
      <c r="AT5811"/>
      <c r="AU5811"/>
      <c r="AV5811"/>
    </row>
    <row r="5812" spans="41:48" x14ac:dyDescent="0.35">
      <c r="AO5812"/>
      <c r="AP5812"/>
      <c r="AQ5812"/>
      <c r="AR5812"/>
      <c r="AS5812"/>
      <c r="AT5812"/>
      <c r="AU5812"/>
      <c r="AV5812"/>
    </row>
    <row r="5813" spans="41:48" x14ac:dyDescent="0.35">
      <c r="AO5813"/>
      <c r="AP5813"/>
      <c r="AQ5813"/>
      <c r="AR5813"/>
      <c r="AS5813"/>
      <c r="AT5813"/>
      <c r="AU5813"/>
      <c r="AV5813"/>
    </row>
    <row r="5814" spans="41:48" x14ac:dyDescent="0.35">
      <c r="AO5814"/>
      <c r="AP5814"/>
      <c r="AQ5814"/>
      <c r="AR5814"/>
      <c r="AS5814"/>
      <c r="AT5814"/>
      <c r="AU5814"/>
      <c r="AV5814"/>
    </row>
    <row r="5815" spans="41:48" x14ac:dyDescent="0.35">
      <c r="AO5815"/>
      <c r="AP5815"/>
      <c r="AQ5815"/>
      <c r="AR5815"/>
      <c r="AS5815"/>
      <c r="AT5815"/>
      <c r="AU5815"/>
      <c r="AV5815"/>
    </row>
    <row r="5816" spans="41:48" x14ac:dyDescent="0.35">
      <c r="AO5816"/>
      <c r="AP5816"/>
      <c r="AQ5816"/>
      <c r="AR5816"/>
      <c r="AS5816"/>
      <c r="AT5816"/>
      <c r="AU5816"/>
      <c r="AV5816"/>
    </row>
    <row r="5817" spans="41:48" x14ac:dyDescent="0.35">
      <c r="AO5817"/>
      <c r="AP5817"/>
      <c r="AQ5817"/>
      <c r="AR5817"/>
      <c r="AS5817"/>
      <c r="AT5817"/>
      <c r="AU5817"/>
      <c r="AV5817"/>
    </row>
    <row r="5818" spans="41:48" x14ac:dyDescent="0.35">
      <c r="AO5818"/>
      <c r="AP5818"/>
      <c r="AQ5818"/>
      <c r="AR5818"/>
      <c r="AS5818"/>
      <c r="AT5818"/>
      <c r="AU5818"/>
      <c r="AV5818"/>
    </row>
    <row r="5819" spans="41:48" x14ac:dyDescent="0.35">
      <c r="AO5819"/>
      <c r="AP5819"/>
      <c r="AQ5819"/>
      <c r="AR5819"/>
      <c r="AS5819"/>
      <c r="AT5819"/>
      <c r="AU5819"/>
      <c r="AV5819"/>
    </row>
    <row r="5820" spans="41:48" x14ac:dyDescent="0.35">
      <c r="AO5820"/>
      <c r="AP5820"/>
      <c r="AQ5820"/>
      <c r="AR5820"/>
      <c r="AS5820"/>
      <c r="AT5820"/>
      <c r="AU5820"/>
      <c r="AV5820"/>
    </row>
    <row r="5821" spans="41:48" x14ac:dyDescent="0.35">
      <c r="AO5821"/>
      <c r="AP5821"/>
      <c r="AQ5821"/>
      <c r="AR5821"/>
      <c r="AS5821"/>
      <c r="AT5821"/>
      <c r="AU5821"/>
      <c r="AV5821"/>
    </row>
    <row r="5822" spans="41:48" x14ac:dyDescent="0.35">
      <c r="AO5822"/>
      <c r="AP5822"/>
      <c r="AQ5822"/>
      <c r="AR5822"/>
      <c r="AS5822"/>
      <c r="AT5822"/>
      <c r="AU5822"/>
      <c r="AV5822"/>
    </row>
    <row r="5823" spans="41:48" x14ac:dyDescent="0.35">
      <c r="AO5823"/>
      <c r="AP5823"/>
      <c r="AQ5823"/>
      <c r="AR5823"/>
      <c r="AS5823"/>
      <c r="AT5823"/>
      <c r="AU5823"/>
      <c r="AV5823"/>
    </row>
    <row r="5824" spans="41:48" x14ac:dyDescent="0.35">
      <c r="AO5824"/>
      <c r="AP5824"/>
      <c r="AQ5824"/>
      <c r="AR5824"/>
      <c r="AS5824"/>
      <c r="AT5824"/>
      <c r="AU5824"/>
      <c r="AV5824"/>
    </row>
    <row r="5825" spans="41:48" x14ac:dyDescent="0.35">
      <c r="AO5825"/>
      <c r="AP5825"/>
      <c r="AQ5825"/>
      <c r="AR5825"/>
      <c r="AS5825"/>
      <c r="AT5825"/>
      <c r="AU5825"/>
      <c r="AV5825"/>
    </row>
    <row r="5826" spans="41:48" x14ac:dyDescent="0.35">
      <c r="AO5826"/>
      <c r="AP5826"/>
      <c r="AQ5826"/>
      <c r="AR5826"/>
      <c r="AS5826"/>
      <c r="AT5826"/>
      <c r="AU5826"/>
      <c r="AV5826"/>
    </row>
    <row r="5827" spans="41:48" x14ac:dyDescent="0.35">
      <c r="AO5827"/>
      <c r="AP5827"/>
      <c r="AQ5827"/>
      <c r="AR5827"/>
      <c r="AS5827"/>
      <c r="AT5827"/>
      <c r="AU5827"/>
      <c r="AV5827"/>
    </row>
    <row r="5828" spans="41:48" x14ac:dyDescent="0.35">
      <c r="AO5828"/>
      <c r="AP5828"/>
      <c r="AQ5828"/>
      <c r="AR5828"/>
      <c r="AS5828"/>
      <c r="AT5828"/>
      <c r="AU5828"/>
      <c r="AV5828"/>
    </row>
    <row r="5829" spans="41:48" x14ac:dyDescent="0.35">
      <c r="AO5829"/>
      <c r="AP5829"/>
      <c r="AQ5829"/>
      <c r="AR5829"/>
      <c r="AS5829"/>
      <c r="AT5829"/>
      <c r="AU5829"/>
      <c r="AV5829"/>
    </row>
    <row r="5830" spans="41:48" x14ac:dyDescent="0.35">
      <c r="AO5830"/>
      <c r="AP5830"/>
      <c r="AQ5830"/>
      <c r="AR5830"/>
      <c r="AS5830"/>
      <c r="AT5830"/>
      <c r="AU5830"/>
      <c r="AV5830"/>
    </row>
    <row r="5831" spans="41:48" x14ac:dyDescent="0.35">
      <c r="AO5831"/>
      <c r="AP5831"/>
      <c r="AQ5831"/>
      <c r="AR5831"/>
      <c r="AS5831"/>
      <c r="AT5831"/>
      <c r="AU5831"/>
      <c r="AV5831"/>
    </row>
    <row r="5832" spans="41:48" x14ac:dyDescent="0.35">
      <c r="AO5832"/>
      <c r="AP5832"/>
      <c r="AQ5832"/>
      <c r="AR5832"/>
      <c r="AS5832"/>
      <c r="AT5832"/>
      <c r="AU5832"/>
      <c r="AV5832"/>
    </row>
    <row r="5833" spans="41:48" x14ac:dyDescent="0.35">
      <c r="AO5833"/>
      <c r="AP5833"/>
      <c r="AQ5833"/>
      <c r="AR5833"/>
      <c r="AS5833"/>
      <c r="AT5833"/>
      <c r="AU5833"/>
      <c r="AV5833"/>
    </row>
    <row r="5834" spans="41:48" x14ac:dyDescent="0.35">
      <c r="AO5834"/>
      <c r="AP5834"/>
      <c r="AQ5834"/>
      <c r="AR5834"/>
      <c r="AS5834"/>
      <c r="AT5834"/>
      <c r="AU5834"/>
      <c r="AV5834"/>
    </row>
    <row r="5835" spans="41:48" x14ac:dyDescent="0.35">
      <c r="AO5835"/>
      <c r="AP5835"/>
      <c r="AQ5835"/>
      <c r="AR5835"/>
      <c r="AS5835"/>
      <c r="AT5835"/>
      <c r="AU5835"/>
      <c r="AV5835"/>
    </row>
    <row r="5836" spans="41:48" x14ac:dyDescent="0.35">
      <c r="AO5836"/>
      <c r="AP5836"/>
      <c r="AQ5836"/>
      <c r="AR5836"/>
      <c r="AS5836"/>
      <c r="AT5836"/>
      <c r="AU5836"/>
      <c r="AV5836"/>
    </row>
    <row r="5837" spans="41:48" x14ac:dyDescent="0.35">
      <c r="AO5837"/>
      <c r="AP5837"/>
      <c r="AQ5837"/>
      <c r="AR5837"/>
      <c r="AS5837"/>
      <c r="AT5837"/>
      <c r="AU5837"/>
      <c r="AV5837"/>
    </row>
    <row r="5838" spans="41:48" x14ac:dyDescent="0.35">
      <c r="AO5838"/>
      <c r="AP5838"/>
      <c r="AQ5838"/>
      <c r="AR5838"/>
      <c r="AS5838"/>
      <c r="AT5838"/>
      <c r="AU5838"/>
      <c r="AV5838"/>
    </row>
    <row r="5839" spans="41:48" x14ac:dyDescent="0.35">
      <c r="AO5839"/>
      <c r="AP5839"/>
      <c r="AQ5839"/>
      <c r="AR5839"/>
      <c r="AS5839"/>
      <c r="AT5839"/>
      <c r="AU5839"/>
      <c r="AV5839"/>
    </row>
    <row r="5840" spans="41:48" x14ac:dyDescent="0.35">
      <c r="AO5840"/>
      <c r="AP5840"/>
      <c r="AQ5840"/>
      <c r="AR5840"/>
      <c r="AS5840"/>
      <c r="AT5840"/>
      <c r="AU5840"/>
      <c r="AV5840"/>
    </row>
    <row r="5841" spans="41:48" x14ac:dyDescent="0.35">
      <c r="AO5841"/>
      <c r="AP5841"/>
      <c r="AQ5841"/>
      <c r="AR5841"/>
      <c r="AS5841"/>
      <c r="AT5841"/>
      <c r="AU5841"/>
      <c r="AV5841"/>
    </row>
    <row r="5842" spans="41:48" x14ac:dyDescent="0.35">
      <c r="AO5842"/>
      <c r="AP5842"/>
      <c r="AQ5842"/>
      <c r="AR5842"/>
      <c r="AS5842"/>
      <c r="AT5842"/>
      <c r="AU5842"/>
      <c r="AV5842"/>
    </row>
    <row r="5843" spans="41:48" x14ac:dyDescent="0.35">
      <c r="AO5843"/>
      <c r="AP5843"/>
      <c r="AQ5843"/>
      <c r="AR5843"/>
      <c r="AS5843"/>
      <c r="AT5843"/>
      <c r="AU5843"/>
      <c r="AV5843"/>
    </row>
    <row r="5844" spans="41:48" x14ac:dyDescent="0.35">
      <c r="AO5844"/>
      <c r="AP5844"/>
      <c r="AQ5844"/>
      <c r="AR5844"/>
      <c r="AS5844"/>
      <c r="AT5844"/>
      <c r="AU5844"/>
      <c r="AV5844"/>
    </row>
    <row r="5845" spans="41:48" x14ac:dyDescent="0.35">
      <c r="AO5845"/>
      <c r="AP5845"/>
      <c r="AQ5845"/>
      <c r="AR5845"/>
      <c r="AS5845"/>
      <c r="AT5845"/>
      <c r="AU5845"/>
      <c r="AV5845"/>
    </row>
    <row r="5846" spans="41:48" x14ac:dyDescent="0.35">
      <c r="AO5846"/>
      <c r="AP5846"/>
      <c r="AQ5846"/>
      <c r="AR5846"/>
      <c r="AS5846"/>
      <c r="AT5846"/>
      <c r="AU5846"/>
      <c r="AV5846"/>
    </row>
    <row r="5847" spans="41:48" x14ac:dyDescent="0.35">
      <c r="AO5847"/>
      <c r="AP5847"/>
      <c r="AQ5847"/>
      <c r="AR5847"/>
      <c r="AS5847"/>
      <c r="AT5847"/>
      <c r="AU5847"/>
      <c r="AV5847"/>
    </row>
    <row r="5848" spans="41:48" x14ac:dyDescent="0.35">
      <c r="AO5848"/>
      <c r="AP5848"/>
      <c r="AQ5848"/>
      <c r="AR5848"/>
      <c r="AS5848"/>
      <c r="AT5848"/>
      <c r="AU5848"/>
      <c r="AV5848"/>
    </row>
    <row r="5849" spans="41:48" x14ac:dyDescent="0.35">
      <c r="AO5849"/>
      <c r="AP5849"/>
      <c r="AQ5849"/>
      <c r="AR5849"/>
      <c r="AS5849"/>
      <c r="AT5849"/>
      <c r="AU5849"/>
      <c r="AV5849"/>
    </row>
    <row r="5850" spans="41:48" x14ac:dyDescent="0.35">
      <c r="AO5850"/>
      <c r="AP5850"/>
      <c r="AQ5850"/>
      <c r="AR5850"/>
      <c r="AS5850"/>
      <c r="AT5850"/>
      <c r="AU5850"/>
      <c r="AV5850"/>
    </row>
    <row r="5851" spans="41:48" x14ac:dyDescent="0.35">
      <c r="AO5851"/>
      <c r="AP5851"/>
      <c r="AQ5851"/>
      <c r="AR5851"/>
      <c r="AS5851"/>
      <c r="AT5851"/>
      <c r="AU5851"/>
      <c r="AV5851"/>
    </row>
    <row r="5852" spans="41:48" x14ac:dyDescent="0.35">
      <c r="AO5852"/>
      <c r="AP5852"/>
      <c r="AQ5852"/>
      <c r="AR5852"/>
      <c r="AS5852"/>
      <c r="AT5852"/>
      <c r="AU5852"/>
      <c r="AV5852"/>
    </row>
    <row r="5853" spans="41:48" x14ac:dyDescent="0.35">
      <c r="AO5853"/>
      <c r="AP5853"/>
      <c r="AQ5853"/>
      <c r="AR5853"/>
      <c r="AS5853"/>
      <c r="AT5853"/>
      <c r="AU5853"/>
      <c r="AV5853"/>
    </row>
    <row r="5854" spans="41:48" x14ac:dyDescent="0.35">
      <c r="AO5854"/>
      <c r="AP5854"/>
      <c r="AQ5854"/>
      <c r="AR5854"/>
      <c r="AS5854"/>
      <c r="AT5854"/>
      <c r="AU5854"/>
      <c r="AV5854"/>
    </row>
    <row r="5855" spans="41:48" x14ac:dyDescent="0.35">
      <c r="AO5855"/>
      <c r="AP5855"/>
      <c r="AQ5855"/>
      <c r="AR5855"/>
      <c r="AS5855"/>
      <c r="AT5855"/>
      <c r="AU5855"/>
      <c r="AV5855"/>
    </row>
    <row r="5856" spans="41:48" x14ac:dyDescent="0.35">
      <c r="AO5856"/>
      <c r="AP5856"/>
      <c r="AQ5856"/>
      <c r="AR5856"/>
      <c r="AS5856"/>
      <c r="AT5856"/>
      <c r="AU5856"/>
      <c r="AV5856"/>
    </row>
    <row r="5857" spans="41:48" x14ac:dyDescent="0.35">
      <c r="AO5857"/>
      <c r="AP5857"/>
      <c r="AQ5857"/>
      <c r="AR5857"/>
      <c r="AS5857"/>
      <c r="AT5857"/>
      <c r="AU5857"/>
      <c r="AV5857"/>
    </row>
    <row r="5858" spans="41:48" x14ac:dyDescent="0.35">
      <c r="AO5858"/>
      <c r="AP5858"/>
      <c r="AQ5858"/>
      <c r="AR5858"/>
      <c r="AS5858"/>
      <c r="AT5858"/>
      <c r="AU5858"/>
      <c r="AV5858"/>
    </row>
    <row r="5859" spans="41:48" x14ac:dyDescent="0.35">
      <c r="AO5859"/>
      <c r="AP5859"/>
      <c r="AQ5859"/>
      <c r="AR5859"/>
      <c r="AS5859"/>
      <c r="AT5859"/>
      <c r="AU5859"/>
      <c r="AV5859"/>
    </row>
    <row r="5860" spans="41:48" x14ac:dyDescent="0.35">
      <c r="AO5860"/>
      <c r="AP5860"/>
      <c r="AQ5860"/>
      <c r="AR5860"/>
      <c r="AS5860"/>
      <c r="AT5860"/>
      <c r="AU5860"/>
      <c r="AV5860"/>
    </row>
    <row r="5861" spans="41:48" x14ac:dyDescent="0.35">
      <c r="AO5861"/>
      <c r="AP5861"/>
      <c r="AQ5861"/>
      <c r="AR5861"/>
      <c r="AS5861"/>
      <c r="AT5861"/>
      <c r="AU5861"/>
      <c r="AV5861"/>
    </row>
    <row r="5862" spans="41:48" x14ac:dyDescent="0.35">
      <c r="AO5862"/>
      <c r="AP5862"/>
      <c r="AQ5862"/>
      <c r="AR5862"/>
      <c r="AS5862"/>
      <c r="AT5862"/>
      <c r="AU5862"/>
      <c r="AV5862"/>
    </row>
    <row r="5863" spans="41:48" x14ac:dyDescent="0.35">
      <c r="AO5863"/>
      <c r="AP5863"/>
      <c r="AQ5863"/>
      <c r="AR5863"/>
      <c r="AS5863"/>
      <c r="AT5863"/>
      <c r="AU5863"/>
      <c r="AV5863"/>
    </row>
    <row r="5864" spans="41:48" x14ac:dyDescent="0.35">
      <c r="AO5864"/>
      <c r="AP5864"/>
      <c r="AQ5864"/>
      <c r="AR5864"/>
      <c r="AS5864"/>
      <c r="AT5864"/>
      <c r="AU5864"/>
      <c r="AV5864"/>
    </row>
    <row r="5865" spans="41:48" x14ac:dyDescent="0.35">
      <c r="AO5865"/>
      <c r="AP5865"/>
      <c r="AQ5865"/>
      <c r="AR5865"/>
      <c r="AS5865"/>
      <c r="AT5865"/>
      <c r="AU5865"/>
      <c r="AV5865"/>
    </row>
    <row r="5866" spans="41:48" x14ac:dyDescent="0.35">
      <c r="AO5866"/>
      <c r="AP5866"/>
      <c r="AQ5866"/>
      <c r="AR5866"/>
      <c r="AS5866"/>
      <c r="AT5866"/>
      <c r="AU5866"/>
      <c r="AV5866"/>
    </row>
    <row r="5867" spans="41:48" x14ac:dyDescent="0.35">
      <c r="AO5867"/>
      <c r="AP5867"/>
      <c r="AQ5867"/>
      <c r="AR5867"/>
      <c r="AS5867"/>
      <c r="AT5867"/>
      <c r="AU5867"/>
      <c r="AV5867"/>
    </row>
    <row r="5868" spans="41:48" x14ac:dyDescent="0.35">
      <c r="AO5868"/>
      <c r="AP5868"/>
      <c r="AQ5868"/>
      <c r="AR5868"/>
      <c r="AS5868"/>
      <c r="AT5868"/>
      <c r="AU5868"/>
      <c r="AV5868"/>
    </row>
    <row r="5869" spans="41:48" x14ac:dyDescent="0.35">
      <c r="AO5869"/>
      <c r="AP5869"/>
      <c r="AQ5869"/>
      <c r="AR5869"/>
      <c r="AS5869"/>
      <c r="AT5869"/>
      <c r="AU5869"/>
      <c r="AV5869"/>
    </row>
    <row r="5870" spans="41:48" x14ac:dyDescent="0.35">
      <c r="AO5870"/>
      <c r="AP5870"/>
      <c r="AQ5870"/>
      <c r="AR5870"/>
      <c r="AS5870"/>
      <c r="AT5870"/>
      <c r="AU5870"/>
      <c r="AV5870"/>
    </row>
    <row r="5871" spans="41:48" x14ac:dyDescent="0.35">
      <c r="AO5871"/>
      <c r="AP5871"/>
      <c r="AQ5871"/>
      <c r="AR5871"/>
      <c r="AS5871"/>
      <c r="AT5871"/>
      <c r="AU5871"/>
      <c r="AV5871"/>
    </row>
    <row r="5872" spans="41:48" x14ac:dyDescent="0.35">
      <c r="AO5872"/>
      <c r="AP5872"/>
      <c r="AQ5872"/>
      <c r="AR5872"/>
      <c r="AS5872"/>
      <c r="AT5872"/>
      <c r="AU5872"/>
      <c r="AV5872"/>
    </row>
    <row r="5873" spans="41:48" x14ac:dyDescent="0.35">
      <c r="AO5873"/>
      <c r="AP5873"/>
      <c r="AQ5873"/>
      <c r="AR5873"/>
      <c r="AS5873"/>
      <c r="AT5873"/>
      <c r="AU5873"/>
      <c r="AV5873"/>
    </row>
    <row r="5874" spans="41:48" x14ac:dyDescent="0.35">
      <c r="AO5874"/>
      <c r="AP5874"/>
      <c r="AQ5874"/>
      <c r="AR5874"/>
      <c r="AS5874"/>
      <c r="AT5874"/>
      <c r="AU5874"/>
      <c r="AV5874"/>
    </row>
    <row r="5875" spans="41:48" x14ac:dyDescent="0.35">
      <c r="AO5875"/>
      <c r="AP5875"/>
      <c r="AQ5875"/>
      <c r="AR5875"/>
      <c r="AS5875"/>
      <c r="AT5875"/>
      <c r="AU5875"/>
      <c r="AV5875"/>
    </row>
    <row r="5876" spans="41:48" x14ac:dyDescent="0.35">
      <c r="AO5876"/>
      <c r="AP5876"/>
      <c r="AQ5876"/>
      <c r="AR5876"/>
      <c r="AS5876"/>
      <c r="AT5876"/>
      <c r="AU5876"/>
      <c r="AV5876"/>
    </row>
    <row r="5877" spans="41:48" x14ac:dyDescent="0.35">
      <c r="AO5877"/>
      <c r="AP5877"/>
      <c r="AQ5877"/>
      <c r="AR5877"/>
      <c r="AS5877"/>
      <c r="AT5877"/>
      <c r="AU5877"/>
      <c r="AV5877"/>
    </row>
    <row r="5878" spans="41:48" x14ac:dyDescent="0.35">
      <c r="AO5878"/>
      <c r="AP5878"/>
      <c r="AQ5878"/>
      <c r="AR5878"/>
      <c r="AS5878"/>
      <c r="AT5878"/>
      <c r="AU5878"/>
      <c r="AV5878"/>
    </row>
    <row r="5879" spans="41:48" x14ac:dyDescent="0.35">
      <c r="AO5879"/>
      <c r="AP5879"/>
      <c r="AQ5879"/>
      <c r="AR5879"/>
      <c r="AS5879"/>
      <c r="AT5879"/>
      <c r="AU5879"/>
      <c r="AV5879"/>
    </row>
    <row r="5880" spans="41:48" x14ac:dyDescent="0.35">
      <c r="AO5880"/>
      <c r="AP5880"/>
      <c r="AQ5880"/>
      <c r="AR5880"/>
      <c r="AS5880"/>
      <c r="AT5880"/>
      <c r="AU5880"/>
      <c r="AV5880"/>
    </row>
    <row r="5881" spans="41:48" x14ac:dyDescent="0.35">
      <c r="AO5881"/>
      <c r="AP5881"/>
      <c r="AQ5881"/>
      <c r="AR5881"/>
      <c r="AS5881"/>
      <c r="AT5881"/>
      <c r="AU5881"/>
      <c r="AV5881"/>
    </row>
    <row r="5882" spans="41:48" x14ac:dyDescent="0.35">
      <c r="AO5882"/>
      <c r="AP5882"/>
      <c r="AQ5882"/>
      <c r="AR5882"/>
      <c r="AS5882"/>
      <c r="AT5882"/>
      <c r="AU5882"/>
      <c r="AV5882"/>
    </row>
    <row r="5883" spans="41:48" x14ac:dyDescent="0.35">
      <c r="AO5883"/>
      <c r="AP5883"/>
      <c r="AQ5883"/>
      <c r="AR5883"/>
      <c r="AS5883"/>
      <c r="AT5883"/>
      <c r="AU5883"/>
      <c r="AV5883"/>
    </row>
    <row r="5884" spans="41:48" x14ac:dyDescent="0.35">
      <c r="AO5884"/>
      <c r="AP5884"/>
      <c r="AQ5884"/>
      <c r="AR5884"/>
      <c r="AS5884"/>
      <c r="AT5884"/>
      <c r="AU5884"/>
      <c r="AV5884"/>
    </row>
    <row r="5885" spans="41:48" x14ac:dyDescent="0.35">
      <c r="AO5885"/>
      <c r="AP5885"/>
      <c r="AQ5885"/>
      <c r="AR5885"/>
      <c r="AS5885"/>
      <c r="AT5885"/>
      <c r="AU5885"/>
      <c r="AV5885"/>
    </row>
    <row r="5886" spans="41:48" x14ac:dyDescent="0.35">
      <c r="AO5886"/>
      <c r="AP5886"/>
      <c r="AQ5886"/>
      <c r="AR5886"/>
      <c r="AS5886"/>
      <c r="AT5886"/>
      <c r="AU5886"/>
      <c r="AV5886"/>
    </row>
    <row r="5887" spans="41:48" x14ac:dyDescent="0.35">
      <c r="AO5887"/>
      <c r="AP5887"/>
      <c r="AQ5887"/>
      <c r="AR5887"/>
      <c r="AS5887"/>
      <c r="AT5887"/>
      <c r="AU5887"/>
      <c r="AV5887"/>
    </row>
    <row r="5888" spans="41:48" x14ac:dyDescent="0.35">
      <c r="AO5888"/>
      <c r="AP5888"/>
      <c r="AQ5888"/>
      <c r="AR5888"/>
      <c r="AS5888"/>
      <c r="AT5888"/>
      <c r="AU5888"/>
      <c r="AV5888"/>
    </row>
    <row r="5889" spans="41:48" x14ac:dyDescent="0.35">
      <c r="AO5889"/>
      <c r="AP5889"/>
      <c r="AQ5889"/>
      <c r="AR5889"/>
      <c r="AS5889"/>
      <c r="AT5889"/>
      <c r="AU5889"/>
      <c r="AV5889"/>
    </row>
    <row r="5890" spans="41:48" x14ac:dyDescent="0.35">
      <c r="AO5890"/>
      <c r="AP5890"/>
      <c r="AQ5890"/>
      <c r="AR5890"/>
      <c r="AS5890"/>
      <c r="AT5890"/>
      <c r="AU5890"/>
      <c r="AV5890"/>
    </row>
    <row r="5891" spans="41:48" x14ac:dyDescent="0.35">
      <c r="AO5891"/>
      <c r="AP5891"/>
      <c r="AQ5891"/>
      <c r="AR5891"/>
      <c r="AS5891"/>
      <c r="AT5891"/>
      <c r="AU5891"/>
      <c r="AV5891"/>
    </row>
    <row r="5892" spans="41:48" x14ac:dyDescent="0.35">
      <c r="AO5892"/>
      <c r="AP5892"/>
      <c r="AQ5892"/>
      <c r="AR5892"/>
      <c r="AS5892"/>
      <c r="AT5892"/>
      <c r="AU5892"/>
      <c r="AV5892"/>
    </row>
    <row r="5893" spans="41:48" x14ac:dyDescent="0.35">
      <c r="AO5893"/>
      <c r="AP5893"/>
      <c r="AQ5893"/>
      <c r="AR5893"/>
      <c r="AS5893"/>
      <c r="AT5893"/>
      <c r="AU5893"/>
      <c r="AV5893"/>
    </row>
    <row r="5894" spans="41:48" x14ac:dyDescent="0.35">
      <c r="AO5894"/>
      <c r="AP5894"/>
      <c r="AQ5894"/>
      <c r="AR5894"/>
      <c r="AS5894"/>
      <c r="AT5894"/>
      <c r="AU5894"/>
      <c r="AV5894"/>
    </row>
    <row r="5895" spans="41:48" x14ac:dyDescent="0.35">
      <c r="AO5895"/>
      <c r="AP5895"/>
      <c r="AQ5895"/>
      <c r="AR5895"/>
      <c r="AS5895"/>
      <c r="AT5895"/>
      <c r="AU5895"/>
      <c r="AV5895"/>
    </row>
    <row r="5896" spans="41:48" x14ac:dyDescent="0.35">
      <c r="AO5896"/>
      <c r="AP5896"/>
      <c r="AQ5896"/>
      <c r="AR5896"/>
      <c r="AS5896"/>
      <c r="AT5896"/>
      <c r="AU5896"/>
      <c r="AV5896"/>
    </row>
    <row r="5897" spans="41:48" x14ac:dyDescent="0.35">
      <c r="AO5897"/>
      <c r="AP5897"/>
      <c r="AQ5897"/>
      <c r="AR5897"/>
      <c r="AS5897"/>
      <c r="AT5897"/>
      <c r="AU5897"/>
      <c r="AV5897"/>
    </row>
    <row r="5898" spans="41:48" x14ac:dyDescent="0.35">
      <c r="AO5898"/>
      <c r="AP5898"/>
      <c r="AQ5898"/>
      <c r="AR5898"/>
      <c r="AS5898"/>
      <c r="AT5898"/>
      <c r="AU5898"/>
      <c r="AV5898"/>
    </row>
    <row r="5899" spans="41:48" x14ac:dyDescent="0.35">
      <c r="AO5899"/>
      <c r="AP5899"/>
      <c r="AQ5899"/>
      <c r="AR5899"/>
      <c r="AS5899"/>
      <c r="AT5899"/>
      <c r="AU5899"/>
      <c r="AV5899"/>
    </row>
    <row r="5900" spans="41:48" x14ac:dyDescent="0.35">
      <c r="AO5900"/>
      <c r="AP5900"/>
      <c r="AQ5900"/>
      <c r="AR5900"/>
      <c r="AS5900"/>
      <c r="AT5900"/>
      <c r="AU5900"/>
      <c r="AV5900"/>
    </row>
    <row r="5901" spans="41:48" x14ac:dyDescent="0.35">
      <c r="AO5901"/>
      <c r="AP5901"/>
      <c r="AQ5901"/>
      <c r="AR5901"/>
      <c r="AS5901"/>
      <c r="AT5901"/>
      <c r="AU5901"/>
      <c r="AV5901"/>
    </row>
    <row r="5902" spans="41:48" x14ac:dyDescent="0.35">
      <c r="AO5902"/>
      <c r="AP5902"/>
      <c r="AQ5902"/>
      <c r="AR5902"/>
      <c r="AS5902"/>
      <c r="AT5902"/>
      <c r="AU5902"/>
      <c r="AV5902"/>
    </row>
    <row r="5903" spans="41:48" x14ac:dyDescent="0.35">
      <c r="AO5903"/>
      <c r="AP5903"/>
      <c r="AQ5903"/>
      <c r="AR5903"/>
      <c r="AS5903"/>
      <c r="AT5903"/>
      <c r="AU5903"/>
      <c r="AV5903"/>
    </row>
    <row r="5904" spans="41:48" x14ac:dyDescent="0.35">
      <c r="AO5904"/>
      <c r="AP5904"/>
      <c r="AQ5904"/>
      <c r="AR5904"/>
      <c r="AS5904"/>
      <c r="AT5904"/>
      <c r="AU5904"/>
      <c r="AV5904"/>
    </row>
    <row r="5905" spans="41:48" x14ac:dyDescent="0.35">
      <c r="AO5905"/>
      <c r="AP5905"/>
      <c r="AQ5905"/>
      <c r="AR5905"/>
      <c r="AS5905"/>
      <c r="AT5905"/>
      <c r="AU5905"/>
      <c r="AV5905"/>
    </row>
    <row r="5906" spans="41:48" x14ac:dyDescent="0.35">
      <c r="AO5906"/>
      <c r="AP5906"/>
      <c r="AQ5906"/>
      <c r="AR5906"/>
      <c r="AS5906"/>
      <c r="AT5906"/>
      <c r="AU5906"/>
      <c r="AV5906"/>
    </row>
    <row r="5907" spans="41:48" x14ac:dyDescent="0.35">
      <c r="AO5907"/>
      <c r="AP5907"/>
      <c r="AQ5907"/>
      <c r="AR5907"/>
      <c r="AS5907"/>
      <c r="AT5907"/>
      <c r="AU5907"/>
      <c r="AV5907"/>
    </row>
    <row r="5908" spans="41:48" x14ac:dyDescent="0.35">
      <c r="AO5908"/>
      <c r="AP5908"/>
      <c r="AQ5908"/>
      <c r="AR5908"/>
      <c r="AS5908"/>
      <c r="AT5908"/>
      <c r="AU5908"/>
      <c r="AV5908"/>
    </row>
    <row r="5909" spans="41:48" x14ac:dyDescent="0.35">
      <c r="AO5909"/>
      <c r="AP5909"/>
      <c r="AQ5909"/>
      <c r="AR5909"/>
      <c r="AS5909"/>
      <c r="AT5909"/>
      <c r="AU5909"/>
      <c r="AV5909"/>
    </row>
    <row r="5910" spans="41:48" x14ac:dyDescent="0.35">
      <c r="AO5910"/>
      <c r="AP5910"/>
      <c r="AQ5910"/>
      <c r="AR5910"/>
      <c r="AS5910"/>
      <c r="AT5910"/>
      <c r="AU5910"/>
      <c r="AV5910"/>
    </row>
    <row r="5911" spans="41:48" x14ac:dyDescent="0.35">
      <c r="AO5911"/>
      <c r="AP5911"/>
      <c r="AQ5911"/>
      <c r="AR5911"/>
      <c r="AS5911"/>
      <c r="AT5911"/>
      <c r="AU5911"/>
      <c r="AV5911"/>
    </row>
    <row r="5912" spans="41:48" x14ac:dyDescent="0.35">
      <c r="AO5912"/>
      <c r="AP5912"/>
      <c r="AQ5912"/>
      <c r="AR5912"/>
      <c r="AS5912"/>
      <c r="AT5912"/>
      <c r="AU5912"/>
      <c r="AV5912"/>
    </row>
    <row r="5913" spans="41:48" x14ac:dyDescent="0.35">
      <c r="AO5913"/>
      <c r="AP5913"/>
      <c r="AQ5913"/>
      <c r="AR5913"/>
      <c r="AS5913"/>
      <c r="AT5913"/>
      <c r="AU5913"/>
      <c r="AV5913"/>
    </row>
    <row r="5914" spans="41:48" x14ac:dyDescent="0.35">
      <c r="AO5914"/>
      <c r="AP5914"/>
      <c r="AQ5914"/>
      <c r="AR5914"/>
      <c r="AS5914"/>
      <c r="AT5914"/>
      <c r="AU5914"/>
      <c r="AV5914"/>
    </row>
    <row r="5915" spans="41:48" x14ac:dyDescent="0.35">
      <c r="AO5915"/>
      <c r="AP5915"/>
      <c r="AQ5915"/>
      <c r="AR5915"/>
      <c r="AS5915"/>
      <c r="AT5915"/>
      <c r="AU5915"/>
      <c r="AV5915"/>
    </row>
    <row r="5916" spans="41:48" x14ac:dyDescent="0.35">
      <c r="AO5916"/>
      <c r="AP5916"/>
      <c r="AQ5916"/>
      <c r="AR5916"/>
      <c r="AS5916"/>
      <c r="AT5916"/>
      <c r="AU5916"/>
      <c r="AV5916"/>
    </row>
    <row r="5917" spans="41:48" x14ac:dyDescent="0.35">
      <c r="AO5917"/>
      <c r="AP5917"/>
      <c r="AQ5917"/>
      <c r="AR5917"/>
      <c r="AS5917"/>
      <c r="AT5917"/>
      <c r="AU5917"/>
      <c r="AV5917"/>
    </row>
    <row r="5918" spans="41:48" x14ac:dyDescent="0.35">
      <c r="AO5918"/>
      <c r="AP5918"/>
      <c r="AQ5918"/>
      <c r="AR5918"/>
      <c r="AS5918"/>
      <c r="AT5918"/>
      <c r="AU5918"/>
      <c r="AV5918"/>
    </row>
    <row r="5919" spans="41:48" x14ac:dyDescent="0.35">
      <c r="AO5919"/>
      <c r="AP5919"/>
      <c r="AQ5919"/>
      <c r="AR5919"/>
      <c r="AS5919"/>
      <c r="AT5919"/>
      <c r="AU5919"/>
      <c r="AV5919"/>
    </row>
    <row r="5920" spans="41:48" x14ac:dyDescent="0.35">
      <c r="AO5920"/>
      <c r="AP5920"/>
      <c r="AQ5920"/>
      <c r="AR5920"/>
      <c r="AS5920"/>
      <c r="AT5920"/>
      <c r="AU5920"/>
      <c r="AV5920"/>
    </row>
    <row r="5921" spans="41:48" x14ac:dyDescent="0.35">
      <c r="AO5921"/>
      <c r="AP5921"/>
      <c r="AQ5921"/>
      <c r="AR5921"/>
      <c r="AS5921"/>
      <c r="AT5921"/>
      <c r="AU5921"/>
      <c r="AV5921"/>
    </row>
    <row r="5922" spans="41:48" x14ac:dyDescent="0.35">
      <c r="AO5922"/>
      <c r="AP5922"/>
      <c r="AQ5922"/>
      <c r="AR5922"/>
      <c r="AS5922"/>
      <c r="AT5922"/>
      <c r="AU5922"/>
      <c r="AV5922"/>
    </row>
    <row r="5923" spans="41:48" x14ac:dyDescent="0.35">
      <c r="AO5923"/>
      <c r="AP5923"/>
      <c r="AQ5923"/>
      <c r="AR5923"/>
      <c r="AS5923"/>
      <c r="AT5923"/>
      <c r="AU5923"/>
      <c r="AV5923"/>
    </row>
    <row r="5924" spans="41:48" x14ac:dyDescent="0.35">
      <c r="AO5924"/>
      <c r="AP5924"/>
      <c r="AQ5924"/>
      <c r="AR5924"/>
      <c r="AS5924"/>
      <c r="AT5924"/>
      <c r="AU5924"/>
      <c r="AV5924"/>
    </row>
    <row r="5925" spans="41:48" x14ac:dyDescent="0.35">
      <c r="AO5925"/>
      <c r="AP5925"/>
      <c r="AQ5925"/>
      <c r="AR5925"/>
      <c r="AS5925"/>
      <c r="AT5925"/>
      <c r="AU5925"/>
      <c r="AV5925"/>
    </row>
    <row r="5926" spans="41:48" x14ac:dyDescent="0.35">
      <c r="AO5926"/>
      <c r="AP5926"/>
      <c r="AQ5926"/>
      <c r="AR5926"/>
      <c r="AS5926"/>
      <c r="AT5926"/>
      <c r="AU5926"/>
      <c r="AV5926"/>
    </row>
    <row r="5927" spans="41:48" x14ac:dyDescent="0.35">
      <c r="AO5927"/>
      <c r="AP5927"/>
      <c r="AQ5927"/>
      <c r="AR5927"/>
      <c r="AS5927"/>
      <c r="AT5927"/>
      <c r="AU5927"/>
      <c r="AV5927"/>
    </row>
    <row r="5928" spans="41:48" x14ac:dyDescent="0.35">
      <c r="AO5928"/>
      <c r="AP5928"/>
      <c r="AQ5928"/>
      <c r="AR5928"/>
      <c r="AS5928"/>
      <c r="AT5928"/>
      <c r="AU5928"/>
      <c r="AV5928"/>
    </row>
    <row r="5929" spans="41:48" x14ac:dyDescent="0.35">
      <c r="AO5929"/>
      <c r="AP5929"/>
      <c r="AQ5929"/>
      <c r="AR5929"/>
      <c r="AS5929"/>
      <c r="AT5929"/>
      <c r="AU5929"/>
      <c r="AV5929"/>
    </row>
    <row r="5930" spans="41:48" x14ac:dyDescent="0.35">
      <c r="AO5930"/>
      <c r="AP5930"/>
      <c r="AQ5930"/>
      <c r="AR5930"/>
      <c r="AS5930"/>
      <c r="AT5930"/>
      <c r="AU5930"/>
      <c r="AV5930"/>
    </row>
    <row r="5931" spans="41:48" x14ac:dyDescent="0.35">
      <c r="AO5931"/>
      <c r="AP5931"/>
      <c r="AQ5931"/>
      <c r="AR5931"/>
      <c r="AS5931"/>
      <c r="AT5931"/>
      <c r="AU5931"/>
      <c r="AV5931"/>
    </row>
    <row r="5932" spans="41:48" x14ac:dyDescent="0.35">
      <c r="AO5932"/>
      <c r="AP5932"/>
      <c r="AQ5932"/>
      <c r="AR5932"/>
      <c r="AS5932"/>
      <c r="AT5932"/>
      <c r="AU5932"/>
      <c r="AV5932"/>
    </row>
    <row r="5933" spans="41:48" x14ac:dyDescent="0.35">
      <c r="AO5933"/>
      <c r="AP5933"/>
      <c r="AQ5933"/>
      <c r="AR5933"/>
      <c r="AS5933"/>
      <c r="AT5933"/>
      <c r="AU5933"/>
      <c r="AV5933"/>
    </row>
    <row r="5934" spans="41:48" x14ac:dyDescent="0.35">
      <c r="AO5934"/>
      <c r="AP5934"/>
      <c r="AQ5934"/>
      <c r="AR5934"/>
      <c r="AS5934"/>
      <c r="AT5934"/>
      <c r="AU5934"/>
      <c r="AV5934"/>
    </row>
    <row r="5935" spans="41:48" x14ac:dyDescent="0.35">
      <c r="AO5935"/>
      <c r="AP5935"/>
      <c r="AQ5935"/>
      <c r="AR5935"/>
      <c r="AS5935"/>
      <c r="AT5935"/>
      <c r="AU5935"/>
      <c r="AV5935"/>
    </row>
    <row r="5936" spans="41:48" x14ac:dyDescent="0.35">
      <c r="AO5936"/>
      <c r="AP5936"/>
      <c r="AQ5936"/>
      <c r="AR5936"/>
      <c r="AS5936"/>
      <c r="AT5936"/>
      <c r="AU5936"/>
      <c r="AV5936"/>
    </row>
    <row r="5937" spans="41:48" x14ac:dyDescent="0.35">
      <c r="AO5937"/>
      <c r="AP5937"/>
      <c r="AQ5937"/>
      <c r="AR5937"/>
      <c r="AS5937"/>
      <c r="AT5937"/>
      <c r="AU5937"/>
      <c r="AV5937"/>
    </row>
    <row r="5938" spans="41:48" x14ac:dyDescent="0.35">
      <c r="AO5938"/>
      <c r="AP5938"/>
      <c r="AQ5938"/>
      <c r="AR5938"/>
      <c r="AS5938"/>
      <c r="AT5938"/>
      <c r="AU5938"/>
      <c r="AV5938"/>
    </row>
    <row r="5939" spans="41:48" x14ac:dyDescent="0.35">
      <c r="AO5939"/>
      <c r="AP5939"/>
      <c r="AQ5939"/>
      <c r="AR5939"/>
      <c r="AS5939"/>
      <c r="AT5939"/>
      <c r="AU5939"/>
      <c r="AV5939"/>
    </row>
    <row r="5940" spans="41:48" x14ac:dyDescent="0.35">
      <c r="AO5940"/>
      <c r="AP5940"/>
      <c r="AQ5940"/>
      <c r="AR5940"/>
      <c r="AS5940"/>
      <c r="AT5940"/>
      <c r="AU5940"/>
      <c r="AV5940"/>
    </row>
    <row r="5941" spans="41:48" x14ac:dyDescent="0.35">
      <c r="AO5941"/>
      <c r="AP5941"/>
      <c r="AQ5941"/>
      <c r="AR5941"/>
      <c r="AS5941"/>
      <c r="AT5941"/>
      <c r="AU5941"/>
      <c r="AV5941"/>
    </row>
    <row r="5942" spans="41:48" x14ac:dyDescent="0.35">
      <c r="AO5942"/>
      <c r="AP5942"/>
      <c r="AQ5942"/>
      <c r="AR5942"/>
      <c r="AS5942"/>
      <c r="AT5942"/>
      <c r="AU5942"/>
      <c r="AV5942"/>
    </row>
    <row r="5943" spans="41:48" x14ac:dyDescent="0.35">
      <c r="AO5943"/>
      <c r="AP5943"/>
      <c r="AQ5943"/>
      <c r="AR5943"/>
      <c r="AS5943"/>
      <c r="AT5943"/>
      <c r="AU5943"/>
      <c r="AV5943"/>
    </row>
    <row r="5944" spans="41:48" x14ac:dyDescent="0.35">
      <c r="AO5944"/>
      <c r="AP5944"/>
      <c r="AQ5944"/>
      <c r="AR5944"/>
      <c r="AS5944"/>
      <c r="AT5944"/>
      <c r="AU5944"/>
      <c r="AV5944"/>
    </row>
    <row r="5945" spans="41:48" x14ac:dyDescent="0.35">
      <c r="AO5945"/>
      <c r="AP5945"/>
      <c r="AQ5945"/>
      <c r="AR5945"/>
      <c r="AS5945"/>
      <c r="AT5945"/>
      <c r="AU5945"/>
      <c r="AV5945"/>
    </row>
    <row r="5946" spans="41:48" x14ac:dyDescent="0.35">
      <c r="AO5946"/>
      <c r="AP5946"/>
      <c r="AQ5946"/>
      <c r="AR5946"/>
      <c r="AS5946"/>
      <c r="AT5946"/>
      <c r="AU5946"/>
      <c r="AV5946"/>
    </row>
    <row r="5947" spans="41:48" x14ac:dyDescent="0.35">
      <c r="AO5947"/>
      <c r="AP5947"/>
      <c r="AQ5947"/>
      <c r="AR5947"/>
      <c r="AS5947"/>
      <c r="AT5947"/>
      <c r="AU5947"/>
      <c r="AV5947"/>
    </row>
    <row r="5948" spans="41:48" x14ac:dyDescent="0.35">
      <c r="AO5948"/>
      <c r="AP5948"/>
      <c r="AQ5948"/>
      <c r="AR5948"/>
      <c r="AS5948"/>
      <c r="AT5948"/>
      <c r="AU5948"/>
      <c r="AV5948"/>
    </row>
    <row r="5949" spans="41:48" x14ac:dyDescent="0.35">
      <c r="AO5949"/>
      <c r="AP5949"/>
      <c r="AQ5949"/>
      <c r="AR5949"/>
      <c r="AS5949"/>
      <c r="AT5949"/>
      <c r="AU5949"/>
      <c r="AV5949"/>
    </row>
    <row r="5950" spans="41:48" x14ac:dyDescent="0.35">
      <c r="AO5950"/>
      <c r="AP5950"/>
      <c r="AQ5950"/>
      <c r="AR5950"/>
      <c r="AS5950"/>
      <c r="AT5950"/>
      <c r="AU5950"/>
      <c r="AV5950"/>
    </row>
    <row r="5951" spans="41:48" x14ac:dyDescent="0.35">
      <c r="AO5951"/>
      <c r="AP5951"/>
      <c r="AQ5951"/>
      <c r="AR5951"/>
      <c r="AS5951"/>
      <c r="AT5951"/>
      <c r="AU5951"/>
      <c r="AV5951"/>
    </row>
    <row r="5952" spans="41:48" x14ac:dyDescent="0.35">
      <c r="AO5952"/>
      <c r="AP5952"/>
      <c r="AQ5952"/>
      <c r="AR5952"/>
      <c r="AS5952"/>
      <c r="AT5952"/>
      <c r="AU5952"/>
      <c r="AV5952"/>
    </row>
    <row r="5953" spans="41:48" x14ac:dyDescent="0.35">
      <c r="AO5953"/>
      <c r="AP5953"/>
      <c r="AQ5953"/>
      <c r="AR5953"/>
      <c r="AS5953"/>
      <c r="AT5953"/>
      <c r="AU5953"/>
      <c r="AV5953"/>
    </row>
    <row r="5954" spans="41:48" x14ac:dyDescent="0.35">
      <c r="AO5954"/>
      <c r="AP5954"/>
      <c r="AQ5954"/>
      <c r="AR5954"/>
      <c r="AS5954"/>
      <c r="AT5954"/>
      <c r="AU5954"/>
      <c r="AV5954"/>
    </row>
    <row r="5955" spans="41:48" x14ac:dyDescent="0.35">
      <c r="AO5955"/>
      <c r="AP5955"/>
      <c r="AQ5955"/>
      <c r="AR5955"/>
      <c r="AS5955"/>
      <c r="AT5955"/>
      <c r="AU5955"/>
      <c r="AV5955"/>
    </row>
    <row r="5956" spans="41:48" x14ac:dyDescent="0.35">
      <c r="AO5956"/>
      <c r="AP5956"/>
      <c r="AQ5956"/>
      <c r="AR5956"/>
      <c r="AS5956"/>
      <c r="AT5956"/>
      <c r="AU5956"/>
      <c r="AV5956"/>
    </row>
    <row r="5957" spans="41:48" x14ac:dyDescent="0.35">
      <c r="AO5957"/>
      <c r="AP5957"/>
      <c r="AQ5957"/>
      <c r="AR5957"/>
      <c r="AS5957"/>
      <c r="AT5957"/>
      <c r="AU5957"/>
      <c r="AV5957"/>
    </row>
    <row r="5958" spans="41:48" x14ac:dyDescent="0.35">
      <c r="AO5958"/>
      <c r="AP5958"/>
      <c r="AQ5958"/>
      <c r="AR5958"/>
      <c r="AS5958"/>
      <c r="AT5958"/>
      <c r="AU5958"/>
      <c r="AV5958"/>
    </row>
    <row r="5959" spans="41:48" x14ac:dyDescent="0.35">
      <c r="AO5959"/>
      <c r="AP5959"/>
      <c r="AQ5959"/>
      <c r="AR5959"/>
      <c r="AS5959"/>
      <c r="AT5959"/>
      <c r="AU5959"/>
      <c r="AV5959"/>
    </row>
    <row r="5960" spans="41:48" x14ac:dyDescent="0.35">
      <c r="AO5960"/>
      <c r="AP5960"/>
      <c r="AQ5960"/>
      <c r="AR5960"/>
      <c r="AS5960"/>
      <c r="AT5960"/>
      <c r="AU5960"/>
      <c r="AV5960"/>
    </row>
    <row r="5961" spans="41:48" x14ac:dyDescent="0.35">
      <c r="AO5961"/>
      <c r="AP5961"/>
      <c r="AQ5961"/>
      <c r="AR5961"/>
      <c r="AS5961"/>
      <c r="AT5961"/>
      <c r="AU5961"/>
      <c r="AV5961"/>
    </row>
    <row r="5962" spans="41:48" x14ac:dyDescent="0.35">
      <c r="AO5962"/>
      <c r="AP5962"/>
      <c r="AQ5962"/>
      <c r="AR5962"/>
      <c r="AS5962"/>
      <c r="AT5962"/>
      <c r="AU5962"/>
      <c r="AV5962"/>
    </row>
    <row r="5963" spans="41:48" x14ac:dyDescent="0.35">
      <c r="AO5963"/>
      <c r="AP5963"/>
      <c r="AQ5963"/>
      <c r="AR5963"/>
      <c r="AS5963"/>
      <c r="AT5963"/>
      <c r="AU5963"/>
      <c r="AV5963"/>
    </row>
    <row r="5964" spans="41:48" x14ac:dyDescent="0.35">
      <c r="AO5964"/>
      <c r="AP5964"/>
      <c r="AQ5964"/>
      <c r="AR5964"/>
      <c r="AS5964"/>
      <c r="AT5964"/>
      <c r="AU5964"/>
      <c r="AV5964"/>
    </row>
    <row r="5965" spans="41:48" x14ac:dyDescent="0.35">
      <c r="AO5965"/>
      <c r="AP5965"/>
      <c r="AQ5965"/>
      <c r="AR5965"/>
      <c r="AS5965"/>
      <c r="AT5965"/>
      <c r="AU5965"/>
      <c r="AV5965"/>
    </row>
    <row r="5966" spans="41:48" x14ac:dyDescent="0.35">
      <c r="AO5966"/>
      <c r="AP5966"/>
      <c r="AQ5966"/>
      <c r="AR5966"/>
      <c r="AS5966"/>
      <c r="AT5966"/>
      <c r="AU5966"/>
      <c r="AV5966"/>
    </row>
    <row r="5967" spans="41:48" x14ac:dyDescent="0.35">
      <c r="AO5967"/>
      <c r="AP5967"/>
      <c r="AQ5967"/>
      <c r="AR5967"/>
      <c r="AS5967"/>
      <c r="AT5967"/>
      <c r="AU5967"/>
      <c r="AV5967"/>
    </row>
    <row r="5968" spans="41:48" x14ac:dyDescent="0.35">
      <c r="AO5968"/>
      <c r="AP5968"/>
      <c r="AQ5968"/>
      <c r="AR5968"/>
      <c r="AS5968"/>
      <c r="AT5968"/>
      <c r="AU5968"/>
      <c r="AV5968"/>
    </row>
    <row r="5969" spans="41:48" x14ac:dyDescent="0.35">
      <c r="AO5969"/>
      <c r="AP5969"/>
      <c r="AQ5969"/>
      <c r="AR5969"/>
      <c r="AS5969"/>
      <c r="AT5969"/>
      <c r="AU5969"/>
      <c r="AV5969"/>
    </row>
    <row r="5970" spans="41:48" x14ac:dyDescent="0.35">
      <c r="AO5970"/>
      <c r="AP5970"/>
      <c r="AQ5970"/>
      <c r="AR5970"/>
      <c r="AS5970"/>
      <c r="AT5970"/>
      <c r="AU5970"/>
      <c r="AV5970"/>
    </row>
    <row r="5971" spans="41:48" x14ac:dyDescent="0.35">
      <c r="AO5971"/>
      <c r="AP5971"/>
      <c r="AQ5971"/>
      <c r="AR5971"/>
      <c r="AS5971"/>
      <c r="AT5971"/>
      <c r="AU5971"/>
      <c r="AV5971"/>
    </row>
    <row r="5972" spans="41:48" x14ac:dyDescent="0.35">
      <c r="AO5972"/>
      <c r="AP5972"/>
      <c r="AQ5972"/>
      <c r="AR5972"/>
      <c r="AS5972"/>
      <c r="AT5972"/>
      <c r="AU5972"/>
      <c r="AV5972"/>
    </row>
    <row r="5973" spans="41:48" x14ac:dyDescent="0.35">
      <c r="AO5973"/>
      <c r="AP5973"/>
      <c r="AQ5973"/>
      <c r="AR5973"/>
      <c r="AS5973"/>
      <c r="AT5973"/>
      <c r="AU5973"/>
      <c r="AV5973"/>
    </row>
    <row r="5974" spans="41:48" x14ac:dyDescent="0.35">
      <c r="AO5974"/>
      <c r="AP5974"/>
      <c r="AQ5974"/>
      <c r="AR5974"/>
      <c r="AS5974"/>
      <c r="AT5974"/>
      <c r="AU5974"/>
      <c r="AV5974"/>
    </row>
    <row r="5975" spans="41:48" x14ac:dyDescent="0.35">
      <c r="AO5975"/>
      <c r="AP5975"/>
      <c r="AQ5975"/>
      <c r="AR5975"/>
      <c r="AS5975"/>
      <c r="AT5975"/>
      <c r="AU5975"/>
      <c r="AV5975"/>
    </row>
    <row r="5976" spans="41:48" x14ac:dyDescent="0.35">
      <c r="AO5976"/>
      <c r="AP5976"/>
      <c r="AQ5976"/>
      <c r="AR5976"/>
      <c r="AS5976"/>
      <c r="AT5976"/>
      <c r="AU5976"/>
      <c r="AV5976"/>
    </row>
    <row r="5977" spans="41:48" x14ac:dyDescent="0.35">
      <c r="AO5977"/>
      <c r="AP5977"/>
      <c r="AQ5977"/>
      <c r="AR5977"/>
      <c r="AS5977"/>
      <c r="AT5977"/>
      <c r="AU5977"/>
      <c r="AV5977"/>
    </row>
    <row r="5978" spans="41:48" x14ac:dyDescent="0.35">
      <c r="AO5978"/>
      <c r="AP5978"/>
      <c r="AQ5978"/>
      <c r="AR5978"/>
      <c r="AS5978"/>
      <c r="AT5978"/>
      <c r="AU5978"/>
      <c r="AV5978"/>
    </row>
    <row r="5979" spans="41:48" x14ac:dyDescent="0.35">
      <c r="AO5979"/>
      <c r="AP5979"/>
      <c r="AQ5979"/>
      <c r="AR5979"/>
      <c r="AS5979"/>
      <c r="AT5979"/>
      <c r="AU5979"/>
      <c r="AV5979"/>
    </row>
    <row r="5980" spans="41:48" x14ac:dyDescent="0.35">
      <c r="AO5980"/>
      <c r="AP5980"/>
      <c r="AQ5980"/>
      <c r="AR5980"/>
      <c r="AS5980"/>
      <c r="AT5980"/>
      <c r="AU5980"/>
      <c r="AV5980"/>
    </row>
    <row r="5981" spans="41:48" x14ac:dyDescent="0.35">
      <c r="AO5981"/>
      <c r="AP5981"/>
      <c r="AQ5981"/>
      <c r="AR5981"/>
      <c r="AS5981"/>
      <c r="AT5981"/>
      <c r="AU5981"/>
      <c r="AV5981"/>
    </row>
    <row r="5982" spans="41:48" x14ac:dyDescent="0.35">
      <c r="AO5982"/>
      <c r="AP5982"/>
      <c r="AQ5982"/>
      <c r="AR5982"/>
      <c r="AS5982"/>
      <c r="AT5982"/>
      <c r="AU5982"/>
      <c r="AV5982"/>
    </row>
    <row r="5983" spans="41:48" x14ac:dyDescent="0.35">
      <c r="AO5983"/>
      <c r="AP5983"/>
      <c r="AQ5983"/>
      <c r="AR5983"/>
      <c r="AS5983"/>
      <c r="AT5983"/>
      <c r="AU5983"/>
      <c r="AV5983"/>
    </row>
    <row r="5984" spans="41:48" x14ac:dyDescent="0.35">
      <c r="AO5984"/>
      <c r="AP5984"/>
      <c r="AQ5984"/>
      <c r="AR5984"/>
      <c r="AS5984"/>
      <c r="AT5984"/>
      <c r="AU5984"/>
      <c r="AV5984"/>
    </row>
    <row r="5985" spans="41:48" x14ac:dyDescent="0.35">
      <c r="AO5985"/>
      <c r="AP5985"/>
      <c r="AQ5985"/>
      <c r="AR5985"/>
      <c r="AS5985"/>
      <c r="AT5985"/>
      <c r="AU5985"/>
      <c r="AV5985"/>
    </row>
    <row r="5986" spans="41:48" x14ac:dyDescent="0.35">
      <c r="AO5986"/>
      <c r="AP5986"/>
      <c r="AQ5986"/>
      <c r="AR5986"/>
      <c r="AS5986"/>
      <c r="AT5986"/>
      <c r="AU5986"/>
      <c r="AV5986"/>
    </row>
    <row r="5987" spans="41:48" x14ac:dyDescent="0.35">
      <c r="AO5987"/>
      <c r="AP5987"/>
      <c r="AQ5987"/>
      <c r="AR5987"/>
      <c r="AS5987"/>
      <c r="AT5987"/>
      <c r="AU5987"/>
      <c r="AV5987"/>
    </row>
    <row r="5988" spans="41:48" x14ac:dyDescent="0.35">
      <c r="AO5988"/>
      <c r="AP5988"/>
      <c r="AQ5988"/>
      <c r="AR5988"/>
      <c r="AS5988"/>
      <c r="AT5988"/>
      <c r="AU5988"/>
      <c r="AV5988"/>
    </row>
    <row r="5989" spans="41:48" x14ac:dyDescent="0.35">
      <c r="AO5989"/>
      <c r="AP5989"/>
      <c r="AQ5989"/>
      <c r="AR5989"/>
      <c r="AS5989"/>
      <c r="AT5989"/>
      <c r="AU5989"/>
      <c r="AV5989"/>
    </row>
    <row r="5990" spans="41:48" x14ac:dyDescent="0.35">
      <c r="AO5990"/>
      <c r="AP5990"/>
      <c r="AQ5990"/>
      <c r="AR5990"/>
      <c r="AS5990"/>
      <c r="AT5990"/>
      <c r="AU5990"/>
      <c r="AV5990"/>
    </row>
    <row r="5991" spans="41:48" x14ac:dyDescent="0.35">
      <c r="AO5991"/>
      <c r="AP5991"/>
      <c r="AQ5991"/>
      <c r="AR5991"/>
      <c r="AS5991"/>
      <c r="AT5991"/>
      <c r="AU5991"/>
      <c r="AV5991"/>
    </row>
    <row r="5992" spans="41:48" x14ac:dyDescent="0.35">
      <c r="AO5992"/>
      <c r="AP5992"/>
      <c r="AQ5992"/>
      <c r="AR5992"/>
      <c r="AS5992"/>
      <c r="AT5992"/>
      <c r="AU5992"/>
      <c r="AV5992"/>
    </row>
    <row r="5993" spans="41:48" x14ac:dyDescent="0.35">
      <c r="AO5993"/>
      <c r="AP5993"/>
      <c r="AQ5993"/>
      <c r="AR5993"/>
      <c r="AS5993"/>
      <c r="AT5993"/>
      <c r="AU5993"/>
      <c r="AV5993"/>
    </row>
    <row r="5994" spans="41:48" x14ac:dyDescent="0.35">
      <c r="AO5994"/>
      <c r="AP5994"/>
      <c r="AQ5994"/>
      <c r="AR5994"/>
      <c r="AS5994"/>
      <c r="AT5994"/>
      <c r="AU5994"/>
      <c r="AV5994"/>
    </row>
    <row r="5995" spans="41:48" x14ac:dyDescent="0.35">
      <c r="AO5995"/>
      <c r="AP5995"/>
      <c r="AQ5995"/>
      <c r="AR5995"/>
      <c r="AS5995"/>
      <c r="AT5995"/>
      <c r="AU5995"/>
      <c r="AV5995"/>
    </row>
    <row r="5996" spans="41:48" x14ac:dyDescent="0.35">
      <c r="AO5996"/>
      <c r="AP5996"/>
      <c r="AQ5996"/>
      <c r="AR5996"/>
      <c r="AS5996"/>
      <c r="AT5996"/>
      <c r="AU5996"/>
      <c r="AV5996"/>
    </row>
    <row r="5997" spans="41:48" x14ac:dyDescent="0.35">
      <c r="AO5997"/>
      <c r="AP5997"/>
      <c r="AQ5997"/>
      <c r="AR5997"/>
      <c r="AS5997"/>
      <c r="AT5997"/>
      <c r="AU5997"/>
      <c r="AV5997"/>
    </row>
    <row r="5998" spans="41:48" x14ac:dyDescent="0.35">
      <c r="AO5998"/>
      <c r="AP5998"/>
      <c r="AQ5998"/>
      <c r="AR5998"/>
      <c r="AS5998"/>
      <c r="AT5998"/>
      <c r="AU5998"/>
      <c r="AV5998"/>
    </row>
    <row r="5999" spans="41:48" x14ac:dyDescent="0.35">
      <c r="AO5999"/>
      <c r="AP5999"/>
      <c r="AQ5999"/>
      <c r="AR5999"/>
      <c r="AS5999"/>
      <c r="AT5999"/>
      <c r="AU5999"/>
      <c r="AV5999"/>
    </row>
    <row r="6000" spans="41:48" x14ac:dyDescent="0.35">
      <c r="AO6000"/>
      <c r="AP6000"/>
      <c r="AQ6000"/>
      <c r="AR6000"/>
      <c r="AS6000"/>
      <c r="AT6000"/>
      <c r="AU6000"/>
      <c r="AV6000"/>
    </row>
    <row r="6001" spans="41:48" x14ac:dyDescent="0.35">
      <c r="AO6001"/>
      <c r="AP6001"/>
      <c r="AQ6001"/>
      <c r="AR6001"/>
      <c r="AS6001"/>
      <c r="AT6001"/>
      <c r="AU6001"/>
      <c r="AV6001"/>
    </row>
    <row r="6002" spans="41:48" x14ac:dyDescent="0.35">
      <c r="AO6002"/>
      <c r="AP6002"/>
      <c r="AQ6002"/>
      <c r="AR6002"/>
      <c r="AS6002"/>
      <c r="AT6002"/>
      <c r="AU6002"/>
      <c r="AV6002"/>
    </row>
    <row r="6003" spans="41:48" x14ac:dyDescent="0.35">
      <c r="AO6003"/>
      <c r="AP6003"/>
      <c r="AQ6003"/>
      <c r="AR6003"/>
      <c r="AS6003"/>
      <c r="AT6003"/>
      <c r="AU6003"/>
      <c r="AV6003"/>
    </row>
    <row r="6004" spans="41:48" x14ac:dyDescent="0.35">
      <c r="AO6004"/>
      <c r="AP6004"/>
      <c r="AQ6004"/>
      <c r="AR6004"/>
      <c r="AS6004"/>
      <c r="AT6004"/>
      <c r="AU6004"/>
      <c r="AV6004"/>
    </row>
    <row r="6005" spans="41:48" x14ac:dyDescent="0.35">
      <c r="AO6005"/>
      <c r="AP6005"/>
      <c r="AQ6005"/>
      <c r="AR6005"/>
      <c r="AS6005"/>
      <c r="AT6005"/>
      <c r="AU6005"/>
      <c r="AV6005"/>
    </row>
    <row r="6006" spans="41:48" x14ac:dyDescent="0.35">
      <c r="AO6006"/>
      <c r="AP6006"/>
      <c r="AQ6006"/>
      <c r="AR6006"/>
      <c r="AS6006"/>
      <c r="AT6006"/>
      <c r="AU6006"/>
      <c r="AV6006"/>
    </row>
    <row r="6007" spans="41:48" x14ac:dyDescent="0.35">
      <c r="AO6007"/>
      <c r="AP6007"/>
      <c r="AQ6007"/>
      <c r="AR6007"/>
      <c r="AS6007"/>
      <c r="AT6007"/>
      <c r="AU6007"/>
      <c r="AV6007"/>
    </row>
    <row r="6008" spans="41:48" x14ac:dyDescent="0.35">
      <c r="AO6008"/>
      <c r="AP6008"/>
      <c r="AQ6008"/>
      <c r="AR6008"/>
      <c r="AS6008"/>
      <c r="AT6008"/>
      <c r="AU6008"/>
      <c r="AV6008"/>
    </row>
    <row r="6009" spans="41:48" x14ac:dyDescent="0.35">
      <c r="AO6009"/>
      <c r="AP6009"/>
      <c r="AQ6009"/>
      <c r="AR6009"/>
      <c r="AS6009"/>
      <c r="AT6009"/>
      <c r="AU6009"/>
      <c r="AV6009"/>
    </row>
    <row r="6010" spans="41:48" x14ac:dyDescent="0.35">
      <c r="AO6010"/>
      <c r="AP6010"/>
      <c r="AQ6010"/>
      <c r="AR6010"/>
      <c r="AS6010"/>
      <c r="AT6010"/>
      <c r="AU6010"/>
      <c r="AV6010"/>
    </row>
    <row r="6011" spans="41:48" x14ac:dyDescent="0.35">
      <c r="AO6011"/>
      <c r="AP6011"/>
      <c r="AQ6011"/>
      <c r="AR6011"/>
      <c r="AS6011"/>
      <c r="AT6011"/>
      <c r="AU6011"/>
      <c r="AV6011"/>
    </row>
    <row r="6012" spans="41:48" x14ac:dyDescent="0.35">
      <c r="AO6012"/>
      <c r="AP6012"/>
      <c r="AQ6012"/>
      <c r="AR6012"/>
      <c r="AS6012"/>
      <c r="AT6012"/>
      <c r="AU6012"/>
      <c r="AV6012"/>
    </row>
    <row r="6013" spans="41:48" x14ac:dyDescent="0.35">
      <c r="AO6013"/>
      <c r="AP6013"/>
      <c r="AQ6013"/>
      <c r="AR6013"/>
      <c r="AS6013"/>
      <c r="AT6013"/>
      <c r="AU6013"/>
      <c r="AV6013"/>
    </row>
    <row r="6014" spans="41:48" x14ac:dyDescent="0.35">
      <c r="AO6014"/>
      <c r="AP6014"/>
      <c r="AQ6014"/>
      <c r="AR6014"/>
      <c r="AS6014"/>
      <c r="AT6014"/>
      <c r="AU6014"/>
      <c r="AV6014"/>
    </row>
    <row r="6015" spans="41:48" x14ac:dyDescent="0.35">
      <c r="AO6015"/>
      <c r="AP6015"/>
      <c r="AQ6015"/>
      <c r="AR6015"/>
      <c r="AS6015"/>
      <c r="AT6015"/>
      <c r="AU6015"/>
      <c r="AV6015"/>
    </row>
    <row r="6016" spans="41:48" x14ac:dyDescent="0.35">
      <c r="AO6016"/>
      <c r="AP6016"/>
      <c r="AQ6016"/>
      <c r="AR6016"/>
      <c r="AS6016"/>
      <c r="AT6016"/>
      <c r="AU6016"/>
      <c r="AV6016"/>
    </row>
    <row r="6017" spans="41:48" x14ac:dyDescent="0.35">
      <c r="AO6017"/>
      <c r="AP6017"/>
      <c r="AQ6017"/>
      <c r="AR6017"/>
      <c r="AS6017"/>
      <c r="AT6017"/>
      <c r="AU6017"/>
      <c r="AV6017"/>
    </row>
    <row r="6018" spans="41:48" x14ac:dyDescent="0.35">
      <c r="AO6018"/>
      <c r="AP6018"/>
      <c r="AQ6018"/>
      <c r="AR6018"/>
      <c r="AS6018"/>
      <c r="AT6018"/>
      <c r="AU6018"/>
      <c r="AV6018"/>
    </row>
    <row r="6019" spans="41:48" x14ac:dyDescent="0.35">
      <c r="AO6019"/>
      <c r="AP6019"/>
      <c r="AQ6019"/>
      <c r="AR6019"/>
      <c r="AS6019"/>
      <c r="AT6019"/>
      <c r="AU6019"/>
      <c r="AV6019"/>
    </row>
    <row r="6020" spans="41:48" x14ac:dyDescent="0.35">
      <c r="AO6020"/>
      <c r="AP6020"/>
      <c r="AQ6020"/>
      <c r="AR6020"/>
      <c r="AS6020"/>
      <c r="AT6020"/>
      <c r="AU6020"/>
      <c r="AV6020"/>
    </row>
    <row r="6021" spans="41:48" x14ac:dyDescent="0.35">
      <c r="AO6021"/>
      <c r="AP6021"/>
      <c r="AQ6021"/>
      <c r="AR6021"/>
      <c r="AS6021"/>
      <c r="AT6021"/>
      <c r="AU6021"/>
      <c r="AV6021"/>
    </row>
    <row r="6022" spans="41:48" x14ac:dyDescent="0.35">
      <c r="AO6022"/>
      <c r="AP6022"/>
      <c r="AQ6022"/>
      <c r="AR6022"/>
      <c r="AS6022"/>
      <c r="AT6022"/>
      <c r="AU6022"/>
      <c r="AV6022"/>
    </row>
    <row r="6023" spans="41:48" x14ac:dyDescent="0.35">
      <c r="AO6023"/>
      <c r="AP6023"/>
      <c r="AQ6023"/>
      <c r="AR6023"/>
      <c r="AS6023"/>
      <c r="AT6023"/>
      <c r="AU6023"/>
      <c r="AV6023"/>
    </row>
    <row r="6024" spans="41:48" x14ac:dyDescent="0.35">
      <c r="AO6024"/>
      <c r="AP6024"/>
      <c r="AQ6024"/>
      <c r="AR6024"/>
      <c r="AS6024"/>
      <c r="AT6024"/>
      <c r="AU6024"/>
      <c r="AV6024"/>
    </row>
    <row r="6025" spans="41:48" x14ac:dyDescent="0.35">
      <c r="AO6025"/>
      <c r="AP6025"/>
      <c r="AQ6025"/>
      <c r="AR6025"/>
      <c r="AS6025"/>
      <c r="AT6025"/>
      <c r="AU6025"/>
      <c r="AV6025"/>
    </row>
    <row r="6026" spans="41:48" x14ac:dyDescent="0.35">
      <c r="AO6026"/>
      <c r="AP6026"/>
      <c r="AQ6026"/>
      <c r="AR6026"/>
      <c r="AS6026"/>
      <c r="AT6026"/>
      <c r="AU6026"/>
      <c r="AV6026"/>
    </row>
    <row r="6027" spans="41:48" x14ac:dyDescent="0.35">
      <c r="AO6027"/>
      <c r="AP6027"/>
      <c r="AQ6027"/>
      <c r="AR6027"/>
      <c r="AS6027"/>
      <c r="AT6027"/>
      <c r="AU6027"/>
      <c r="AV6027"/>
    </row>
    <row r="6028" spans="41:48" x14ac:dyDescent="0.35">
      <c r="AO6028"/>
      <c r="AP6028"/>
      <c r="AQ6028"/>
      <c r="AR6028"/>
      <c r="AS6028"/>
      <c r="AT6028"/>
      <c r="AU6028"/>
      <c r="AV6028"/>
    </row>
    <row r="6029" spans="41:48" x14ac:dyDescent="0.35">
      <c r="AO6029"/>
      <c r="AP6029"/>
      <c r="AQ6029"/>
      <c r="AR6029"/>
      <c r="AS6029"/>
      <c r="AT6029"/>
      <c r="AU6029"/>
      <c r="AV6029"/>
    </row>
    <row r="6030" spans="41:48" x14ac:dyDescent="0.35">
      <c r="AO6030"/>
      <c r="AP6030"/>
      <c r="AQ6030"/>
      <c r="AR6030"/>
      <c r="AS6030"/>
      <c r="AT6030"/>
      <c r="AU6030"/>
      <c r="AV6030"/>
    </row>
    <row r="6031" spans="41:48" x14ac:dyDescent="0.35">
      <c r="AO6031"/>
      <c r="AP6031"/>
      <c r="AQ6031"/>
      <c r="AR6031"/>
      <c r="AS6031"/>
      <c r="AT6031"/>
      <c r="AU6031"/>
      <c r="AV6031"/>
    </row>
    <row r="6032" spans="41:48" x14ac:dyDescent="0.35">
      <c r="AO6032"/>
      <c r="AP6032"/>
      <c r="AQ6032"/>
      <c r="AR6032"/>
      <c r="AS6032"/>
      <c r="AT6032"/>
      <c r="AU6032"/>
      <c r="AV6032"/>
    </row>
    <row r="6033" spans="41:48" x14ac:dyDescent="0.35">
      <c r="AO6033"/>
      <c r="AP6033"/>
      <c r="AQ6033"/>
      <c r="AR6033"/>
      <c r="AS6033"/>
      <c r="AT6033"/>
      <c r="AU6033"/>
      <c r="AV6033"/>
    </row>
    <row r="6034" spans="41:48" x14ac:dyDescent="0.35">
      <c r="AO6034"/>
      <c r="AP6034"/>
      <c r="AQ6034"/>
      <c r="AR6034"/>
      <c r="AS6034"/>
      <c r="AT6034"/>
      <c r="AU6034"/>
      <c r="AV6034"/>
    </row>
    <row r="6035" spans="41:48" x14ac:dyDescent="0.35">
      <c r="AO6035"/>
      <c r="AP6035"/>
      <c r="AQ6035"/>
      <c r="AR6035"/>
      <c r="AS6035"/>
      <c r="AT6035"/>
      <c r="AU6035"/>
      <c r="AV6035"/>
    </row>
    <row r="6036" spans="41:48" x14ac:dyDescent="0.35">
      <c r="AO6036"/>
      <c r="AP6036"/>
      <c r="AQ6036"/>
      <c r="AR6036"/>
      <c r="AS6036"/>
      <c r="AT6036"/>
      <c r="AU6036"/>
      <c r="AV6036"/>
    </row>
    <row r="6037" spans="41:48" x14ac:dyDescent="0.35">
      <c r="AO6037"/>
      <c r="AP6037"/>
      <c r="AQ6037"/>
      <c r="AR6037"/>
      <c r="AS6037"/>
      <c r="AT6037"/>
      <c r="AU6037"/>
      <c r="AV6037"/>
    </row>
    <row r="6038" spans="41:48" x14ac:dyDescent="0.35">
      <c r="AO6038"/>
      <c r="AP6038"/>
      <c r="AQ6038"/>
      <c r="AR6038"/>
      <c r="AS6038"/>
      <c r="AT6038"/>
      <c r="AU6038"/>
      <c r="AV6038"/>
    </row>
    <row r="6039" spans="41:48" x14ac:dyDescent="0.35">
      <c r="AO6039"/>
      <c r="AP6039"/>
      <c r="AQ6039"/>
      <c r="AR6039"/>
      <c r="AS6039"/>
      <c r="AT6039"/>
      <c r="AU6039"/>
      <c r="AV6039"/>
    </row>
    <row r="6040" spans="41:48" x14ac:dyDescent="0.35">
      <c r="AO6040"/>
      <c r="AP6040"/>
      <c r="AQ6040"/>
      <c r="AR6040"/>
      <c r="AS6040"/>
      <c r="AT6040"/>
      <c r="AU6040"/>
      <c r="AV6040"/>
    </row>
    <row r="6041" spans="41:48" x14ac:dyDescent="0.35">
      <c r="AO6041"/>
      <c r="AP6041"/>
      <c r="AQ6041"/>
      <c r="AR6041"/>
      <c r="AS6041"/>
      <c r="AT6041"/>
      <c r="AU6041"/>
      <c r="AV6041"/>
    </row>
    <row r="6042" spans="41:48" x14ac:dyDescent="0.35">
      <c r="AO6042"/>
      <c r="AP6042"/>
      <c r="AQ6042"/>
      <c r="AR6042"/>
      <c r="AS6042"/>
      <c r="AT6042"/>
      <c r="AU6042"/>
      <c r="AV6042"/>
    </row>
    <row r="6043" spans="41:48" x14ac:dyDescent="0.35">
      <c r="AO6043"/>
      <c r="AP6043"/>
      <c r="AQ6043"/>
      <c r="AR6043"/>
      <c r="AS6043"/>
      <c r="AT6043"/>
      <c r="AU6043"/>
      <c r="AV6043"/>
    </row>
    <row r="6044" spans="41:48" x14ac:dyDescent="0.35">
      <c r="AO6044"/>
      <c r="AP6044"/>
      <c r="AQ6044"/>
      <c r="AR6044"/>
      <c r="AS6044"/>
      <c r="AT6044"/>
      <c r="AU6044"/>
      <c r="AV6044"/>
    </row>
    <row r="6045" spans="41:48" x14ac:dyDescent="0.35">
      <c r="AO6045"/>
      <c r="AP6045"/>
      <c r="AQ6045"/>
      <c r="AR6045"/>
      <c r="AS6045"/>
      <c r="AT6045"/>
      <c r="AU6045"/>
      <c r="AV6045"/>
    </row>
    <row r="6046" spans="41:48" x14ac:dyDescent="0.35">
      <c r="AO6046"/>
      <c r="AP6046"/>
      <c r="AQ6046"/>
      <c r="AR6046"/>
      <c r="AS6046"/>
      <c r="AT6046"/>
      <c r="AU6046"/>
      <c r="AV6046"/>
    </row>
    <row r="6047" spans="41:48" x14ac:dyDescent="0.35">
      <c r="AO6047"/>
      <c r="AP6047"/>
      <c r="AQ6047"/>
      <c r="AR6047"/>
      <c r="AS6047"/>
      <c r="AT6047"/>
      <c r="AU6047"/>
      <c r="AV6047"/>
    </row>
    <row r="6048" spans="41:48" x14ac:dyDescent="0.35">
      <c r="AO6048"/>
      <c r="AP6048"/>
      <c r="AQ6048"/>
      <c r="AR6048"/>
      <c r="AS6048"/>
      <c r="AT6048"/>
      <c r="AU6048"/>
      <c r="AV6048"/>
    </row>
    <row r="6049" spans="41:48" x14ac:dyDescent="0.35">
      <c r="AO6049"/>
      <c r="AP6049"/>
      <c r="AQ6049"/>
      <c r="AR6049"/>
      <c r="AS6049"/>
      <c r="AT6049"/>
      <c r="AU6049"/>
      <c r="AV6049"/>
    </row>
    <row r="6050" spans="41:48" x14ac:dyDescent="0.35">
      <c r="AO6050"/>
      <c r="AP6050"/>
      <c r="AQ6050"/>
      <c r="AR6050"/>
      <c r="AS6050"/>
      <c r="AT6050"/>
      <c r="AU6050"/>
      <c r="AV6050"/>
    </row>
    <row r="6051" spans="41:48" x14ac:dyDescent="0.35">
      <c r="AO6051"/>
      <c r="AP6051"/>
      <c r="AQ6051"/>
      <c r="AR6051"/>
      <c r="AS6051"/>
      <c r="AT6051"/>
      <c r="AU6051"/>
      <c r="AV6051"/>
    </row>
    <row r="6052" spans="41:48" x14ac:dyDescent="0.35">
      <c r="AO6052"/>
      <c r="AP6052"/>
      <c r="AQ6052"/>
      <c r="AR6052"/>
      <c r="AS6052"/>
      <c r="AT6052"/>
      <c r="AU6052"/>
      <c r="AV6052"/>
    </row>
    <row r="6053" spans="41:48" x14ac:dyDescent="0.35">
      <c r="AO6053"/>
      <c r="AP6053"/>
      <c r="AQ6053"/>
      <c r="AR6053"/>
      <c r="AS6053"/>
      <c r="AT6053"/>
      <c r="AU6053"/>
      <c r="AV6053"/>
    </row>
    <row r="6054" spans="41:48" x14ac:dyDescent="0.35">
      <c r="AO6054"/>
      <c r="AP6054"/>
      <c r="AQ6054"/>
      <c r="AR6054"/>
      <c r="AS6054"/>
      <c r="AT6054"/>
      <c r="AU6054"/>
      <c r="AV6054"/>
    </row>
    <row r="6055" spans="41:48" x14ac:dyDescent="0.35">
      <c r="AO6055"/>
      <c r="AP6055"/>
      <c r="AQ6055"/>
      <c r="AR6055"/>
      <c r="AS6055"/>
      <c r="AT6055"/>
      <c r="AU6055"/>
      <c r="AV6055"/>
    </row>
    <row r="6056" spans="41:48" x14ac:dyDescent="0.35">
      <c r="AO6056"/>
      <c r="AP6056"/>
      <c r="AQ6056"/>
      <c r="AR6056"/>
      <c r="AS6056"/>
      <c r="AT6056"/>
      <c r="AU6056"/>
      <c r="AV6056"/>
    </row>
    <row r="6057" spans="41:48" x14ac:dyDescent="0.35">
      <c r="AO6057"/>
      <c r="AP6057"/>
      <c r="AQ6057"/>
      <c r="AR6057"/>
      <c r="AS6057"/>
      <c r="AT6057"/>
      <c r="AU6057"/>
      <c r="AV6057"/>
    </row>
    <row r="6058" spans="41:48" x14ac:dyDescent="0.35">
      <c r="AO6058"/>
      <c r="AP6058"/>
      <c r="AQ6058"/>
      <c r="AR6058"/>
      <c r="AS6058"/>
      <c r="AT6058"/>
      <c r="AU6058"/>
      <c r="AV6058"/>
    </row>
    <row r="6059" spans="41:48" x14ac:dyDescent="0.35">
      <c r="AO6059"/>
      <c r="AP6059"/>
      <c r="AQ6059"/>
      <c r="AR6059"/>
      <c r="AS6059"/>
      <c r="AT6059"/>
      <c r="AU6059"/>
      <c r="AV6059"/>
    </row>
    <row r="6060" spans="41:48" x14ac:dyDescent="0.35">
      <c r="AO6060"/>
      <c r="AP6060"/>
      <c r="AQ6060"/>
      <c r="AR6060"/>
      <c r="AS6060"/>
      <c r="AT6060"/>
      <c r="AU6060"/>
      <c r="AV6060"/>
    </row>
    <row r="6061" spans="41:48" x14ac:dyDescent="0.35">
      <c r="AO6061"/>
      <c r="AP6061"/>
      <c r="AQ6061"/>
      <c r="AR6061"/>
      <c r="AS6061"/>
      <c r="AT6061"/>
      <c r="AU6061"/>
      <c r="AV6061"/>
    </row>
    <row r="6062" spans="41:48" x14ac:dyDescent="0.35">
      <c r="AO6062"/>
      <c r="AP6062"/>
      <c r="AQ6062"/>
      <c r="AR6062"/>
      <c r="AS6062"/>
      <c r="AT6062"/>
      <c r="AU6062"/>
      <c r="AV6062"/>
    </row>
    <row r="6063" spans="41:48" x14ac:dyDescent="0.35">
      <c r="AO6063"/>
      <c r="AP6063"/>
      <c r="AQ6063"/>
      <c r="AR6063"/>
      <c r="AS6063"/>
      <c r="AT6063"/>
      <c r="AU6063"/>
      <c r="AV6063"/>
    </row>
    <row r="6064" spans="41:48" x14ac:dyDescent="0.35">
      <c r="AO6064"/>
      <c r="AP6064"/>
      <c r="AQ6064"/>
      <c r="AR6064"/>
      <c r="AS6064"/>
      <c r="AT6064"/>
      <c r="AU6064"/>
      <c r="AV6064"/>
    </row>
    <row r="6065" spans="41:48" x14ac:dyDescent="0.35">
      <c r="AO6065"/>
      <c r="AP6065"/>
      <c r="AQ6065"/>
      <c r="AR6065"/>
      <c r="AS6065"/>
      <c r="AT6065"/>
      <c r="AU6065"/>
      <c r="AV6065"/>
    </row>
    <row r="6066" spans="41:48" x14ac:dyDescent="0.35">
      <c r="AO6066"/>
      <c r="AP6066"/>
      <c r="AQ6066"/>
      <c r="AR6066"/>
      <c r="AS6066"/>
      <c r="AT6066"/>
      <c r="AU6066"/>
      <c r="AV6066"/>
    </row>
    <row r="6067" spans="41:48" x14ac:dyDescent="0.35">
      <c r="AO6067"/>
      <c r="AP6067"/>
      <c r="AQ6067"/>
      <c r="AR6067"/>
      <c r="AS6067"/>
      <c r="AT6067"/>
      <c r="AU6067"/>
      <c r="AV6067"/>
    </row>
    <row r="6068" spans="41:48" x14ac:dyDescent="0.35">
      <c r="AO6068"/>
      <c r="AP6068"/>
      <c r="AQ6068"/>
      <c r="AR6068"/>
      <c r="AS6068"/>
      <c r="AT6068"/>
      <c r="AU6068"/>
      <c r="AV6068"/>
    </row>
    <row r="6069" spans="41:48" x14ac:dyDescent="0.35">
      <c r="AO6069"/>
      <c r="AP6069"/>
      <c r="AQ6069"/>
      <c r="AR6069"/>
      <c r="AS6069"/>
      <c r="AT6069"/>
      <c r="AU6069"/>
      <c r="AV6069"/>
    </row>
    <row r="6070" spans="41:48" x14ac:dyDescent="0.35">
      <c r="AO6070"/>
      <c r="AP6070"/>
      <c r="AQ6070"/>
      <c r="AR6070"/>
      <c r="AS6070"/>
      <c r="AT6070"/>
      <c r="AU6070"/>
      <c r="AV6070"/>
    </row>
    <row r="6071" spans="41:48" x14ac:dyDescent="0.35">
      <c r="AO6071"/>
      <c r="AP6071"/>
      <c r="AQ6071"/>
      <c r="AR6071"/>
      <c r="AS6071"/>
      <c r="AT6071"/>
      <c r="AU6071"/>
      <c r="AV6071"/>
    </row>
    <row r="6072" spans="41:48" x14ac:dyDescent="0.35">
      <c r="AO6072"/>
      <c r="AP6072"/>
      <c r="AQ6072"/>
      <c r="AR6072"/>
      <c r="AS6072"/>
      <c r="AT6072"/>
      <c r="AU6072"/>
      <c r="AV6072"/>
    </row>
    <row r="6073" spans="41:48" x14ac:dyDescent="0.35">
      <c r="AO6073"/>
      <c r="AP6073"/>
      <c r="AQ6073"/>
      <c r="AR6073"/>
      <c r="AS6073"/>
      <c r="AT6073"/>
      <c r="AU6073"/>
      <c r="AV6073"/>
    </row>
    <row r="6074" spans="41:48" x14ac:dyDescent="0.35">
      <c r="AO6074"/>
      <c r="AP6074"/>
      <c r="AQ6074"/>
      <c r="AR6074"/>
      <c r="AS6074"/>
      <c r="AT6074"/>
      <c r="AU6074"/>
      <c r="AV6074"/>
    </row>
    <row r="6075" spans="41:48" x14ac:dyDescent="0.35">
      <c r="AO6075"/>
      <c r="AP6075"/>
      <c r="AQ6075"/>
      <c r="AR6075"/>
      <c r="AS6075"/>
      <c r="AT6075"/>
      <c r="AU6075"/>
      <c r="AV6075"/>
    </row>
    <row r="6076" spans="41:48" x14ac:dyDescent="0.35">
      <c r="AO6076"/>
      <c r="AP6076"/>
      <c r="AQ6076"/>
      <c r="AR6076"/>
      <c r="AS6076"/>
      <c r="AT6076"/>
      <c r="AU6076"/>
      <c r="AV6076"/>
    </row>
    <row r="6077" spans="41:48" x14ac:dyDescent="0.35">
      <c r="AO6077"/>
      <c r="AP6077"/>
      <c r="AQ6077"/>
      <c r="AR6077"/>
      <c r="AS6077"/>
      <c r="AT6077"/>
      <c r="AU6077"/>
      <c r="AV6077"/>
    </row>
    <row r="6078" spans="41:48" x14ac:dyDescent="0.35">
      <c r="AO6078"/>
      <c r="AP6078"/>
      <c r="AQ6078"/>
      <c r="AR6078"/>
      <c r="AS6078"/>
      <c r="AT6078"/>
      <c r="AU6078"/>
      <c r="AV6078"/>
    </row>
    <row r="6079" spans="41:48" x14ac:dyDescent="0.35">
      <c r="AO6079"/>
      <c r="AP6079"/>
      <c r="AQ6079"/>
      <c r="AR6079"/>
      <c r="AS6079"/>
      <c r="AT6079"/>
      <c r="AU6079"/>
      <c r="AV6079"/>
    </row>
    <row r="6080" spans="41:48" x14ac:dyDescent="0.35">
      <c r="AO6080"/>
      <c r="AP6080"/>
      <c r="AQ6080"/>
      <c r="AR6080"/>
      <c r="AS6080"/>
      <c r="AT6080"/>
      <c r="AU6080"/>
      <c r="AV6080"/>
    </row>
    <row r="6081" spans="41:48" x14ac:dyDescent="0.35">
      <c r="AO6081"/>
      <c r="AP6081"/>
      <c r="AQ6081"/>
      <c r="AR6081"/>
      <c r="AS6081"/>
      <c r="AT6081"/>
      <c r="AU6081"/>
      <c r="AV6081"/>
    </row>
    <row r="6082" spans="41:48" x14ac:dyDescent="0.35">
      <c r="AO6082"/>
      <c r="AP6082"/>
      <c r="AQ6082"/>
      <c r="AR6082"/>
      <c r="AS6082"/>
      <c r="AT6082"/>
      <c r="AU6082"/>
      <c r="AV6082"/>
    </row>
    <row r="6083" spans="41:48" x14ac:dyDescent="0.35">
      <c r="AO6083"/>
      <c r="AP6083"/>
      <c r="AQ6083"/>
      <c r="AR6083"/>
      <c r="AS6083"/>
      <c r="AT6083"/>
      <c r="AU6083"/>
      <c r="AV6083"/>
    </row>
    <row r="6084" spans="41:48" x14ac:dyDescent="0.35">
      <c r="AO6084"/>
      <c r="AP6084"/>
      <c r="AQ6084"/>
      <c r="AR6084"/>
      <c r="AS6084"/>
      <c r="AT6084"/>
      <c r="AU6084"/>
      <c r="AV6084"/>
    </row>
    <row r="6085" spans="41:48" x14ac:dyDescent="0.35">
      <c r="AO6085"/>
      <c r="AP6085"/>
      <c r="AQ6085"/>
      <c r="AR6085"/>
      <c r="AS6085"/>
      <c r="AT6085"/>
      <c r="AU6085"/>
      <c r="AV6085"/>
    </row>
    <row r="6086" spans="41:48" x14ac:dyDescent="0.35">
      <c r="AO6086"/>
      <c r="AP6086"/>
      <c r="AQ6086"/>
      <c r="AR6086"/>
      <c r="AS6086"/>
      <c r="AT6086"/>
      <c r="AU6086"/>
      <c r="AV6086"/>
    </row>
    <row r="6087" spans="41:48" x14ac:dyDescent="0.35">
      <c r="AO6087"/>
      <c r="AP6087"/>
      <c r="AQ6087"/>
      <c r="AR6087"/>
      <c r="AS6087"/>
      <c r="AT6087"/>
      <c r="AU6087"/>
      <c r="AV6087"/>
    </row>
    <row r="6088" spans="41:48" x14ac:dyDescent="0.35">
      <c r="AO6088"/>
      <c r="AP6088"/>
      <c r="AQ6088"/>
      <c r="AR6088"/>
      <c r="AS6088"/>
      <c r="AT6088"/>
      <c r="AU6088"/>
      <c r="AV6088"/>
    </row>
    <row r="6089" spans="41:48" x14ac:dyDescent="0.35">
      <c r="AO6089"/>
      <c r="AP6089"/>
      <c r="AQ6089"/>
      <c r="AR6089"/>
      <c r="AS6089"/>
      <c r="AT6089"/>
      <c r="AU6089"/>
      <c r="AV6089"/>
    </row>
    <row r="6090" spans="41:48" x14ac:dyDescent="0.35">
      <c r="AO6090"/>
      <c r="AP6090"/>
      <c r="AQ6090"/>
      <c r="AR6090"/>
      <c r="AS6090"/>
      <c r="AT6090"/>
      <c r="AU6090"/>
      <c r="AV6090"/>
    </row>
    <row r="6091" spans="41:48" x14ac:dyDescent="0.35">
      <c r="AO6091"/>
      <c r="AP6091"/>
      <c r="AQ6091"/>
      <c r="AR6091"/>
      <c r="AS6091"/>
      <c r="AT6091"/>
      <c r="AU6091"/>
      <c r="AV6091"/>
    </row>
    <row r="6092" spans="41:48" x14ac:dyDescent="0.35">
      <c r="AO6092"/>
      <c r="AP6092"/>
      <c r="AQ6092"/>
      <c r="AR6092"/>
      <c r="AS6092"/>
      <c r="AT6092"/>
      <c r="AU6092"/>
      <c r="AV6092"/>
    </row>
    <row r="6093" spans="41:48" x14ac:dyDescent="0.35">
      <c r="AO6093"/>
      <c r="AP6093"/>
      <c r="AQ6093"/>
      <c r="AR6093"/>
      <c r="AS6093"/>
      <c r="AT6093"/>
      <c r="AU6093"/>
      <c r="AV6093"/>
    </row>
    <row r="6094" spans="41:48" x14ac:dyDescent="0.35">
      <c r="AO6094"/>
      <c r="AP6094"/>
      <c r="AQ6094"/>
      <c r="AR6094"/>
      <c r="AS6094"/>
      <c r="AT6094"/>
      <c r="AU6094"/>
      <c r="AV6094"/>
    </row>
    <row r="6095" spans="41:48" x14ac:dyDescent="0.35">
      <c r="AO6095"/>
      <c r="AP6095"/>
      <c r="AQ6095"/>
      <c r="AR6095"/>
      <c r="AS6095"/>
      <c r="AT6095"/>
      <c r="AU6095"/>
      <c r="AV6095"/>
    </row>
    <row r="6096" spans="41:48" x14ac:dyDescent="0.35">
      <c r="AO6096"/>
      <c r="AP6096"/>
      <c r="AQ6096"/>
      <c r="AR6096"/>
      <c r="AS6096"/>
      <c r="AT6096"/>
      <c r="AU6096"/>
      <c r="AV6096"/>
    </row>
    <row r="6097" spans="41:48" x14ac:dyDescent="0.35">
      <c r="AO6097"/>
      <c r="AP6097"/>
      <c r="AQ6097"/>
      <c r="AR6097"/>
      <c r="AS6097"/>
      <c r="AT6097"/>
      <c r="AU6097"/>
      <c r="AV6097"/>
    </row>
    <row r="6098" spans="41:48" x14ac:dyDescent="0.35">
      <c r="AO6098"/>
      <c r="AP6098"/>
      <c r="AQ6098"/>
      <c r="AR6098"/>
      <c r="AS6098"/>
      <c r="AT6098"/>
      <c r="AU6098"/>
      <c r="AV6098"/>
    </row>
    <row r="6099" spans="41:48" x14ac:dyDescent="0.35">
      <c r="AO6099"/>
      <c r="AP6099"/>
      <c r="AQ6099"/>
      <c r="AR6099"/>
      <c r="AS6099"/>
      <c r="AT6099"/>
      <c r="AU6099"/>
      <c r="AV6099"/>
    </row>
    <row r="6100" spans="41:48" x14ac:dyDescent="0.35">
      <c r="AO6100"/>
      <c r="AP6100"/>
      <c r="AQ6100"/>
      <c r="AR6100"/>
      <c r="AS6100"/>
      <c r="AT6100"/>
      <c r="AU6100"/>
      <c r="AV6100"/>
    </row>
    <row r="6101" spans="41:48" x14ac:dyDescent="0.35">
      <c r="AO6101"/>
      <c r="AP6101"/>
      <c r="AQ6101"/>
      <c r="AR6101"/>
      <c r="AS6101"/>
      <c r="AT6101"/>
      <c r="AU6101"/>
      <c r="AV6101"/>
    </row>
    <row r="6102" spans="41:48" x14ac:dyDescent="0.35">
      <c r="AO6102"/>
      <c r="AP6102"/>
      <c r="AQ6102"/>
      <c r="AR6102"/>
      <c r="AS6102"/>
      <c r="AT6102"/>
      <c r="AU6102"/>
      <c r="AV6102"/>
    </row>
    <row r="6103" spans="41:48" x14ac:dyDescent="0.35">
      <c r="AO6103"/>
      <c r="AP6103"/>
      <c r="AQ6103"/>
      <c r="AR6103"/>
      <c r="AS6103"/>
      <c r="AT6103"/>
      <c r="AU6103"/>
      <c r="AV6103"/>
    </row>
    <row r="6104" spans="41:48" x14ac:dyDescent="0.35">
      <c r="AO6104"/>
      <c r="AP6104"/>
      <c r="AQ6104"/>
      <c r="AR6104"/>
      <c r="AS6104"/>
      <c r="AT6104"/>
      <c r="AU6104"/>
      <c r="AV6104"/>
    </row>
    <row r="6105" spans="41:48" x14ac:dyDescent="0.35">
      <c r="AO6105"/>
      <c r="AP6105"/>
      <c r="AQ6105"/>
      <c r="AR6105"/>
      <c r="AS6105"/>
      <c r="AT6105"/>
      <c r="AU6105"/>
      <c r="AV6105"/>
    </row>
    <row r="6106" spans="41:48" x14ac:dyDescent="0.35">
      <c r="AO6106"/>
      <c r="AP6106"/>
      <c r="AQ6106"/>
      <c r="AR6106"/>
      <c r="AS6106"/>
      <c r="AT6106"/>
      <c r="AU6106"/>
      <c r="AV6106"/>
    </row>
    <row r="6107" spans="41:48" x14ac:dyDescent="0.35">
      <c r="AO6107"/>
      <c r="AP6107"/>
      <c r="AQ6107"/>
      <c r="AR6107"/>
      <c r="AS6107"/>
      <c r="AT6107"/>
      <c r="AU6107"/>
      <c r="AV6107"/>
    </row>
    <row r="6108" spans="41:48" x14ac:dyDescent="0.35">
      <c r="AO6108"/>
      <c r="AP6108"/>
      <c r="AQ6108"/>
      <c r="AR6108"/>
      <c r="AS6108"/>
      <c r="AT6108"/>
      <c r="AU6108"/>
      <c r="AV6108"/>
    </row>
    <row r="6109" spans="41:48" x14ac:dyDescent="0.35">
      <c r="AO6109"/>
      <c r="AP6109"/>
      <c r="AQ6109"/>
      <c r="AR6109"/>
      <c r="AS6109"/>
      <c r="AT6109"/>
      <c r="AU6109"/>
      <c r="AV6109"/>
    </row>
    <row r="6110" spans="41:48" x14ac:dyDescent="0.35">
      <c r="AO6110"/>
      <c r="AP6110"/>
      <c r="AQ6110"/>
      <c r="AR6110"/>
      <c r="AS6110"/>
      <c r="AT6110"/>
      <c r="AU6110"/>
      <c r="AV6110"/>
    </row>
    <row r="6111" spans="41:48" x14ac:dyDescent="0.35">
      <c r="AO6111"/>
      <c r="AP6111"/>
      <c r="AQ6111"/>
      <c r="AR6111"/>
      <c r="AS6111"/>
      <c r="AT6111"/>
      <c r="AU6111"/>
      <c r="AV6111"/>
    </row>
    <row r="6112" spans="41:48" x14ac:dyDescent="0.35">
      <c r="AO6112"/>
      <c r="AP6112"/>
      <c r="AQ6112"/>
      <c r="AR6112"/>
      <c r="AS6112"/>
      <c r="AT6112"/>
      <c r="AU6112"/>
      <c r="AV6112"/>
    </row>
    <row r="6113" spans="41:48" x14ac:dyDescent="0.35">
      <c r="AO6113"/>
      <c r="AP6113"/>
      <c r="AQ6113"/>
      <c r="AR6113"/>
      <c r="AS6113"/>
      <c r="AT6113"/>
      <c r="AU6113"/>
      <c r="AV6113"/>
    </row>
    <row r="6114" spans="41:48" x14ac:dyDescent="0.35">
      <c r="AO6114"/>
      <c r="AP6114"/>
      <c r="AQ6114"/>
      <c r="AR6114"/>
      <c r="AS6114"/>
      <c r="AT6114"/>
      <c r="AU6114"/>
      <c r="AV6114"/>
    </row>
    <row r="6115" spans="41:48" x14ac:dyDescent="0.35">
      <c r="AO6115"/>
      <c r="AP6115"/>
      <c r="AQ6115"/>
      <c r="AR6115"/>
      <c r="AS6115"/>
      <c r="AT6115"/>
      <c r="AU6115"/>
      <c r="AV6115"/>
    </row>
    <row r="6116" spans="41:48" x14ac:dyDescent="0.35">
      <c r="AO6116"/>
      <c r="AP6116"/>
      <c r="AQ6116"/>
      <c r="AR6116"/>
      <c r="AS6116"/>
      <c r="AT6116"/>
      <c r="AU6116"/>
      <c r="AV6116"/>
    </row>
    <row r="6117" spans="41:48" x14ac:dyDescent="0.35">
      <c r="AO6117"/>
      <c r="AP6117"/>
      <c r="AQ6117"/>
      <c r="AR6117"/>
      <c r="AS6117"/>
      <c r="AT6117"/>
      <c r="AU6117"/>
      <c r="AV6117"/>
    </row>
    <row r="6118" spans="41:48" x14ac:dyDescent="0.35">
      <c r="AO6118"/>
      <c r="AP6118"/>
      <c r="AQ6118"/>
      <c r="AR6118"/>
      <c r="AS6118"/>
      <c r="AT6118"/>
      <c r="AU6118"/>
      <c r="AV6118"/>
    </row>
    <row r="6119" spans="41:48" x14ac:dyDescent="0.35">
      <c r="AO6119"/>
      <c r="AP6119"/>
      <c r="AQ6119"/>
      <c r="AR6119"/>
      <c r="AS6119"/>
      <c r="AT6119"/>
      <c r="AU6119"/>
      <c r="AV6119"/>
    </row>
    <row r="6120" spans="41:48" x14ac:dyDescent="0.35">
      <c r="AO6120"/>
      <c r="AP6120"/>
      <c r="AQ6120"/>
      <c r="AR6120"/>
      <c r="AS6120"/>
      <c r="AT6120"/>
      <c r="AU6120"/>
      <c r="AV6120"/>
    </row>
    <row r="6121" spans="41:48" x14ac:dyDescent="0.35">
      <c r="AO6121"/>
      <c r="AP6121"/>
      <c r="AQ6121"/>
      <c r="AR6121"/>
      <c r="AS6121"/>
      <c r="AT6121"/>
      <c r="AU6121"/>
      <c r="AV6121"/>
    </row>
    <row r="6122" spans="41:48" x14ac:dyDescent="0.35">
      <c r="AO6122"/>
      <c r="AP6122"/>
      <c r="AQ6122"/>
      <c r="AR6122"/>
      <c r="AS6122"/>
      <c r="AT6122"/>
      <c r="AU6122"/>
      <c r="AV6122"/>
    </row>
    <row r="6123" spans="41:48" x14ac:dyDescent="0.35">
      <c r="AO6123"/>
      <c r="AP6123"/>
      <c r="AQ6123"/>
      <c r="AR6123"/>
      <c r="AS6123"/>
      <c r="AT6123"/>
      <c r="AU6123"/>
      <c r="AV6123"/>
    </row>
    <row r="6124" spans="41:48" x14ac:dyDescent="0.35">
      <c r="AO6124"/>
      <c r="AP6124"/>
      <c r="AQ6124"/>
      <c r="AR6124"/>
      <c r="AS6124"/>
      <c r="AT6124"/>
      <c r="AU6124"/>
      <c r="AV6124"/>
    </row>
    <row r="6125" spans="41:48" x14ac:dyDescent="0.35">
      <c r="AO6125"/>
      <c r="AP6125"/>
      <c r="AQ6125"/>
      <c r="AR6125"/>
      <c r="AS6125"/>
      <c r="AT6125"/>
      <c r="AU6125"/>
      <c r="AV6125"/>
    </row>
    <row r="6126" spans="41:48" x14ac:dyDescent="0.35">
      <c r="AO6126"/>
      <c r="AP6126"/>
      <c r="AQ6126"/>
      <c r="AR6126"/>
      <c r="AS6126"/>
      <c r="AT6126"/>
      <c r="AU6126"/>
      <c r="AV6126"/>
    </row>
    <row r="6127" spans="41:48" x14ac:dyDescent="0.35">
      <c r="AO6127"/>
      <c r="AP6127"/>
      <c r="AQ6127"/>
      <c r="AR6127"/>
      <c r="AS6127"/>
      <c r="AT6127"/>
      <c r="AU6127"/>
      <c r="AV6127"/>
    </row>
    <row r="6128" spans="41:48" x14ac:dyDescent="0.35">
      <c r="AO6128"/>
      <c r="AP6128"/>
      <c r="AQ6128"/>
      <c r="AR6128"/>
      <c r="AS6128"/>
      <c r="AT6128"/>
      <c r="AU6128"/>
      <c r="AV6128"/>
    </row>
    <row r="6129" spans="41:48" x14ac:dyDescent="0.35">
      <c r="AO6129"/>
      <c r="AP6129"/>
      <c r="AQ6129"/>
      <c r="AR6129"/>
      <c r="AS6129"/>
      <c r="AT6129"/>
      <c r="AU6129"/>
      <c r="AV6129"/>
    </row>
    <row r="6130" spans="41:48" x14ac:dyDescent="0.35">
      <c r="AO6130"/>
      <c r="AP6130"/>
      <c r="AQ6130"/>
      <c r="AR6130"/>
      <c r="AS6130"/>
      <c r="AT6130"/>
      <c r="AU6130"/>
      <c r="AV6130"/>
    </row>
    <row r="6131" spans="41:48" x14ac:dyDescent="0.35">
      <c r="AO6131"/>
      <c r="AP6131"/>
      <c r="AQ6131"/>
      <c r="AR6131"/>
      <c r="AS6131"/>
      <c r="AT6131"/>
      <c r="AU6131"/>
      <c r="AV6131"/>
    </row>
    <row r="6132" spans="41:48" x14ac:dyDescent="0.35">
      <c r="AO6132"/>
      <c r="AP6132"/>
      <c r="AQ6132"/>
      <c r="AR6132"/>
      <c r="AS6132"/>
      <c r="AT6132"/>
      <c r="AU6132"/>
      <c r="AV6132"/>
    </row>
    <row r="6133" spans="41:48" x14ac:dyDescent="0.35">
      <c r="AO6133"/>
      <c r="AP6133"/>
      <c r="AQ6133"/>
      <c r="AR6133"/>
      <c r="AS6133"/>
      <c r="AT6133"/>
      <c r="AU6133"/>
      <c r="AV6133"/>
    </row>
    <row r="6134" spans="41:48" x14ac:dyDescent="0.35">
      <c r="AO6134"/>
      <c r="AP6134"/>
      <c r="AQ6134"/>
      <c r="AR6134"/>
      <c r="AS6134"/>
      <c r="AT6134"/>
      <c r="AU6134"/>
      <c r="AV6134"/>
    </row>
    <row r="6135" spans="41:48" x14ac:dyDescent="0.35">
      <c r="AO6135"/>
      <c r="AP6135"/>
      <c r="AQ6135"/>
      <c r="AR6135"/>
      <c r="AS6135"/>
      <c r="AT6135"/>
      <c r="AU6135"/>
      <c r="AV6135"/>
    </row>
    <row r="6136" spans="41:48" x14ac:dyDescent="0.35">
      <c r="AO6136"/>
      <c r="AP6136"/>
      <c r="AQ6136"/>
      <c r="AR6136"/>
      <c r="AS6136"/>
      <c r="AT6136"/>
      <c r="AU6136"/>
      <c r="AV6136"/>
    </row>
    <row r="6137" spans="41:48" x14ac:dyDescent="0.35">
      <c r="AO6137"/>
      <c r="AP6137"/>
      <c r="AQ6137"/>
      <c r="AR6137"/>
      <c r="AS6137"/>
      <c r="AT6137"/>
      <c r="AU6137"/>
      <c r="AV6137"/>
    </row>
    <row r="6138" spans="41:48" x14ac:dyDescent="0.35">
      <c r="AO6138"/>
      <c r="AP6138"/>
      <c r="AQ6138"/>
      <c r="AR6138"/>
      <c r="AS6138"/>
      <c r="AT6138"/>
      <c r="AU6138"/>
      <c r="AV6138"/>
    </row>
    <row r="6139" spans="41:48" x14ac:dyDescent="0.35">
      <c r="AO6139"/>
      <c r="AP6139"/>
      <c r="AQ6139"/>
      <c r="AR6139"/>
      <c r="AS6139"/>
      <c r="AT6139"/>
      <c r="AU6139"/>
      <c r="AV6139"/>
    </row>
    <row r="6140" spans="41:48" x14ac:dyDescent="0.35">
      <c r="AO6140"/>
      <c r="AP6140"/>
      <c r="AQ6140"/>
      <c r="AR6140"/>
      <c r="AS6140"/>
      <c r="AT6140"/>
      <c r="AU6140"/>
      <c r="AV6140"/>
    </row>
    <row r="6141" spans="41:48" x14ac:dyDescent="0.35">
      <c r="AO6141"/>
      <c r="AP6141"/>
      <c r="AQ6141"/>
      <c r="AR6141"/>
      <c r="AS6141"/>
      <c r="AT6141"/>
      <c r="AU6141"/>
      <c r="AV6141"/>
    </row>
    <row r="6142" spans="41:48" x14ac:dyDescent="0.35">
      <c r="AO6142"/>
      <c r="AP6142"/>
      <c r="AQ6142"/>
      <c r="AR6142"/>
      <c r="AS6142"/>
      <c r="AT6142"/>
      <c r="AU6142"/>
      <c r="AV6142"/>
    </row>
    <row r="6143" spans="41:48" x14ac:dyDescent="0.35">
      <c r="AO6143"/>
      <c r="AP6143"/>
      <c r="AQ6143"/>
      <c r="AR6143"/>
      <c r="AS6143"/>
      <c r="AT6143"/>
      <c r="AU6143"/>
      <c r="AV6143"/>
    </row>
    <row r="6144" spans="41:48" x14ac:dyDescent="0.35">
      <c r="AO6144"/>
      <c r="AP6144"/>
      <c r="AQ6144"/>
      <c r="AR6144"/>
      <c r="AS6144"/>
      <c r="AT6144"/>
      <c r="AU6144"/>
      <c r="AV6144"/>
    </row>
    <row r="6145" spans="41:48" x14ac:dyDescent="0.35">
      <c r="AO6145"/>
      <c r="AP6145"/>
      <c r="AQ6145"/>
      <c r="AR6145"/>
      <c r="AS6145"/>
      <c r="AT6145"/>
      <c r="AU6145"/>
      <c r="AV6145"/>
    </row>
    <row r="6146" spans="41:48" x14ac:dyDescent="0.35">
      <c r="AO6146"/>
      <c r="AP6146"/>
      <c r="AQ6146"/>
      <c r="AR6146"/>
      <c r="AS6146"/>
      <c r="AT6146"/>
      <c r="AU6146"/>
      <c r="AV6146"/>
    </row>
    <row r="6147" spans="41:48" x14ac:dyDescent="0.35">
      <c r="AO6147"/>
      <c r="AP6147"/>
      <c r="AQ6147"/>
      <c r="AR6147"/>
      <c r="AS6147"/>
      <c r="AT6147"/>
      <c r="AU6147"/>
      <c r="AV6147"/>
    </row>
    <row r="6148" spans="41:48" x14ac:dyDescent="0.35">
      <c r="AO6148"/>
      <c r="AP6148"/>
      <c r="AQ6148"/>
      <c r="AR6148"/>
      <c r="AS6148"/>
      <c r="AT6148"/>
      <c r="AU6148"/>
      <c r="AV6148"/>
    </row>
    <row r="6149" spans="41:48" x14ac:dyDescent="0.35">
      <c r="AO6149"/>
      <c r="AP6149"/>
      <c r="AQ6149"/>
      <c r="AR6149"/>
      <c r="AS6149"/>
      <c r="AT6149"/>
      <c r="AU6149"/>
      <c r="AV6149"/>
    </row>
    <row r="6150" spans="41:48" x14ac:dyDescent="0.35">
      <c r="AO6150"/>
      <c r="AP6150"/>
      <c r="AQ6150"/>
      <c r="AR6150"/>
      <c r="AS6150"/>
      <c r="AT6150"/>
      <c r="AU6150"/>
      <c r="AV6150"/>
    </row>
    <row r="6151" spans="41:48" x14ac:dyDescent="0.35">
      <c r="AO6151"/>
      <c r="AP6151"/>
      <c r="AQ6151"/>
      <c r="AR6151"/>
      <c r="AS6151"/>
      <c r="AT6151"/>
      <c r="AU6151"/>
      <c r="AV6151"/>
    </row>
    <row r="6152" spans="41:48" x14ac:dyDescent="0.35">
      <c r="AO6152"/>
      <c r="AP6152"/>
      <c r="AQ6152"/>
      <c r="AR6152"/>
      <c r="AS6152"/>
      <c r="AT6152"/>
      <c r="AU6152"/>
      <c r="AV6152"/>
    </row>
    <row r="6153" spans="41:48" x14ac:dyDescent="0.35">
      <c r="AO6153"/>
      <c r="AP6153"/>
      <c r="AQ6153"/>
      <c r="AR6153"/>
      <c r="AS6153"/>
      <c r="AT6153"/>
      <c r="AU6153"/>
      <c r="AV6153"/>
    </row>
    <row r="6154" spans="41:48" x14ac:dyDescent="0.35">
      <c r="AO6154"/>
      <c r="AP6154"/>
      <c r="AQ6154"/>
      <c r="AR6154"/>
      <c r="AS6154"/>
      <c r="AT6154"/>
      <c r="AU6154"/>
      <c r="AV6154"/>
    </row>
    <row r="6155" spans="41:48" x14ac:dyDescent="0.35">
      <c r="AO6155"/>
      <c r="AP6155"/>
      <c r="AQ6155"/>
      <c r="AR6155"/>
      <c r="AS6155"/>
      <c r="AT6155"/>
      <c r="AU6155"/>
      <c r="AV6155"/>
    </row>
    <row r="6156" spans="41:48" x14ac:dyDescent="0.35">
      <c r="AO6156"/>
      <c r="AP6156"/>
      <c r="AQ6156"/>
      <c r="AR6156"/>
      <c r="AS6156"/>
      <c r="AT6156"/>
      <c r="AU6156"/>
      <c r="AV6156"/>
    </row>
    <row r="6157" spans="41:48" x14ac:dyDescent="0.35">
      <c r="AO6157"/>
      <c r="AP6157"/>
      <c r="AQ6157"/>
      <c r="AR6157"/>
      <c r="AS6157"/>
      <c r="AT6157"/>
      <c r="AU6157"/>
      <c r="AV6157"/>
    </row>
    <row r="6158" spans="41:48" x14ac:dyDescent="0.35">
      <c r="AO6158"/>
      <c r="AP6158"/>
      <c r="AQ6158"/>
      <c r="AR6158"/>
      <c r="AS6158"/>
      <c r="AT6158"/>
      <c r="AU6158"/>
      <c r="AV6158"/>
    </row>
    <row r="6159" spans="41:48" x14ac:dyDescent="0.35">
      <c r="AO6159"/>
      <c r="AP6159"/>
      <c r="AQ6159"/>
      <c r="AR6159"/>
      <c r="AS6159"/>
      <c r="AT6159"/>
      <c r="AU6159"/>
      <c r="AV6159"/>
    </row>
    <row r="6160" spans="41:48" x14ac:dyDescent="0.35">
      <c r="AO6160"/>
      <c r="AP6160"/>
      <c r="AQ6160"/>
      <c r="AR6160"/>
      <c r="AS6160"/>
      <c r="AT6160"/>
      <c r="AU6160"/>
      <c r="AV6160"/>
    </row>
    <row r="6161" spans="41:48" x14ac:dyDescent="0.35">
      <c r="AO6161"/>
      <c r="AP6161"/>
      <c r="AQ6161"/>
      <c r="AR6161"/>
      <c r="AS6161"/>
      <c r="AT6161"/>
      <c r="AU6161"/>
      <c r="AV6161"/>
    </row>
    <row r="6162" spans="41:48" x14ac:dyDescent="0.35">
      <c r="AO6162"/>
      <c r="AP6162"/>
      <c r="AQ6162"/>
      <c r="AR6162"/>
      <c r="AS6162"/>
      <c r="AT6162"/>
      <c r="AU6162"/>
      <c r="AV6162"/>
    </row>
    <row r="6163" spans="41:48" x14ac:dyDescent="0.35">
      <c r="AO6163"/>
      <c r="AP6163"/>
      <c r="AQ6163"/>
      <c r="AR6163"/>
      <c r="AS6163"/>
      <c r="AT6163"/>
      <c r="AU6163"/>
      <c r="AV6163"/>
    </row>
    <row r="6164" spans="41:48" x14ac:dyDescent="0.35">
      <c r="AO6164"/>
      <c r="AP6164"/>
      <c r="AQ6164"/>
      <c r="AR6164"/>
      <c r="AS6164"/>
      <c r="AT6164"/>
      <c r="AU6164"/>
      <c r="AV6164"/>
    </row>
    <row r="6165" spans="41:48" x14ac:dyDescent="0.35">
      <c r="AO6165"/>
      <c r="AP6165"/>
      <c r="AQ6165"/>
      <c r="AR6165"/>
      <c r="AS6165"/>
      <c r="AT6165"/>
      <c r="AU6165"/>
      <c r="AV6165"/>
    </row>
    <row r="6166" spans="41:48" x14ac:dyDescent="0.35">
      <c r="AO6166"/>
      <c r="AP6166"/>
      <c r="AQ6166"/>
      <c r="AR6166"/>
      <c r="AS6166"/>
      <c r="AT6166"/>
      <c r="AU6166"/>
      <c r="AV6166"/>
    </row>
    <row r="6167" spans="41:48" x14ac:dyDescent="0.35">
      <c r="AO6167"/>
      <c r="AP6167"/>
      <c r="AQ6167"/>
      <c r="AR6167"/>
      <c r="AS6167"/>
      <c r="AT6167"/>
      <c r="AU6167"/>
      <c r="AV6167"/>
    </row>
    <row r="6168" spans="41:48" x14ac:dyDescent="0.35">
      <c r="AO6168"/>
      <c r="AP6168"/>
      <c r="AQ6168"/>
      <c r="AR6168"/>
      <c r="AS6168"/>
      <c r="AT6168"/>
      <c r="AU6168"/>
      <c r="AV6168"/>
    </row>
    <row r="6169" spans="41:48" x14ac:dyDescent="0.35">
      <c r="AO6169"/>
      <c r="AP6169"/>
      <c r="AQ6169"/>
      <c r="AR6169"/>
      <c r="AS6169"/>
      <c r="AT6169"/>
      <c r="AU6169"/>
      <c r="AV6169"/>
    </row>
    <row r="6170" spans="41:48" x14ac:dyDescent="0.35">
      <c r="AO6170"/>
      <c r="AP6170"/>
      <c r="AQ6170"/>
      <c r="AR6170"/>
      <c r="AS6170"/>
      <c r="AT6170"/>
      <c r="AU6170"/>
      <c r="AV6170"/>
    </row>
    <row r="6171" spans="41:48" x14ac:dyDescent="0.35">
      <c r="AO6171"/>
      <c r="AP6171"/>
      <c r="AQ6171"/>
      <c r="AR6171"/>
      <c r="AS6171"/>
      <c r="AT6171"/>
      <c r="AU6171"/>
      <c r="AV6171"/>
    </row>
    <row r="6172" spans="41:48" x14ac:dyDescent="0.35">
      <c r="AO6172"/>
      <c r="AP6172"/>
      <c r="AQ6172"/>
      <c r="AR6172"/>
      <c r="AS6172"/>
      <c r="AT6172"/>
      <c r="AU6172"/>
      <c r="AV6172"/>
    </row>
    <row r="6173" spans="41:48" x14ac:dyDescent="0.35">
      <c r="AO6173"/>
      <c r="AP6173"/>
      <c r="AQ6173"/>
      <c r="AR6173"/>
      <c r="AS6173"/>
      <c r="AT6173"/>
      <c r="AU6173"/>
      <c r="AV6173"/>
    </row>
    <row r="6174" spans="41:48" x14ac:dyDescent="0.35">
      <c r="AO6174"/>
      <c r="AP6174"/>
      <c r="AQ6174"/>
      <c r="AR6174"/>
      <c r="AS6174"/>
      <c r="AT6174"/>
      <c r="AU6174"/>
      <c r="AV6174"/>
    </row>
    <row r="6175" spans="41:48" x14ac:dyDescent="0.35">
      <c r="AO6175"/>
      <c r="AP6175"/>
      <c r="AQ6175"/>
      <c r="AR6175"/>
      <c r="AS6175"/>
      <c r="AT6175"/>
      <c r="AU6175"/>
      <c r="AV6175"/>
    </row>
    <row r="6176" spans="41:48" x14ac:dyDescent="0.35">
      <c r="AO6176"/>
      <c r="AP6176"/>
      <c r="AQ6176"/>
      <c r="AR6176"/>
      <c r="AS6176"/>
      <c r="AT6176"/>
      <c r="AU6176"/>
      <c r="AV6176"/>
    </row>
    <row r="6177" spans="41:48" x14ac:dyDescent="0.35">
      <c r="AO6177"/>
      <c r="AP6177"/>
      <c r="AQ6177"/>
      <c r="AR6177"/>
      <c r="AS6177"/>
      <c r="AT6177"/>
      <c r="AU6177"/>
      <c r="AV6177"/>
    </row>
    <row r="6178" spans="41:48" x14ac:dyDescent="0.35">
      <c r="AO6178"/>
      <c r="AP6178"/>
      <c r="AQ6178"/>
      <c r="AR6178"/>
      <c r="AS6178"/>
      <c r="AT6178"/>
      <c r="AU6178"/>
      <c r="AV6178"/>
    </row>
    <row r="6179" spans="41:48" x14ac:dyDescent="0.35">
      <c r="AO6179"/>
      <c r="AP6179"/>
      <c r="AQ6179"/>
      <c r="AR6179"/>
      <c r="AS6179"/>
      <c r="AT6179"/>
      <c r="AU6179"/>
      <c r="AV6179"/>
    </row>
    <row r="6180" spans="41:48" x14ac:dyDescent="0.35">
      <c r="AO6180"/>
      <c r="AP6180"/>
      <c r="AQ6180"/>
      <c r="AR6180"/>
      <c r="AS6180"/>
      <c r="AT6180"/>
      <c r="AU6180"/>
      <c r="AV6180"/>
    </row>
    <row r="6181" spans="41:48" x14ac:dyDescent="0.35">
      <c r="AO6181"/>
      <c r="AP6181"/>
      <c r="AQ6181"/>
      <c r="AR6181"/>
      <c r="AS6181"/>
      <c r="AT6181"/>
      <c r="AU6181"/>
      <c r="AV6181"/>
    </row>
    <row r="6182" spans="41:48" x14ac:dyDescent="0.35">
      <c r="AO6182"/>
      <c r="AP6182"/>
      <c r="AQ6182"/>
      <c r="AR6182"/>
      <c r="AS6182"/>
      <c r="AT6182"/>
      <c r="AU6182"/>
      <c r="AV6182"/>
    </row>
    <row r="6183" spans="41:48" x14ac:dyDescent="0.35">
      <c r="AO6183"/>
      <c r="AP6183"/>
      <c r="AQ6183"/>
      <c r="AR6183"/>
      <c r="AS6183"/>
      <c r="AT6183"/>
      <c r="AU6183"/>
      <c r="AV6183"/>
    </row>
    <row r="6184" spans="41:48" x14ac:dyDescent="0.35">
      <c r="AO6184"/>
      <c r="AP6184"/>
      <c r="AQ6184"/>
      <c r="AR6184"/>
      <c r="AS6184"/>
      <c r="AT6184"/>
      <c r="AU6184"/>
      <c r="AV6184"/>
    </row>
    <row r="6185" spans="41:48" x14ac:dyDescent="0.35">
      <c r="AO6185"/>
      <c r="AP6185"/>
      <c r="AQ6185"/>
      <c r="AR6185"/>
      <c r="AS6185"/>
      <c r="AT6185"/>
      <c r="AU6185"/>
      <c r="AV6185"/>
    </row>
    <row r="6186" spans="41:48" x14ac:dyDescent="0.35">
      <c r="AO6186"/>
      <c r="AP6186"/>
      <c r="AQ6186"/>
      <c r="AR6186"/>
      <c r="AS6186"/>
      <c r="AT6186"/>
      <c r="AU6186"/>
      <c r="AV6186"/>
    </row>
    <row r="6187" spans="41:48" x14ac:dyDescent="0.35">
      <c r="AO6187"/>
      <c r="AP6187"/>
      <c r="AQ6187"/>
      <c r="AR6187"/>
      <c r="AS6187"/>
      <c r="AT6187"/>
      <c r="AU6187"/>
      <c r="AV6187"/>
    </row>
    <row r="6188" spans="41:48" x14ac:dyDescent="0.35">
      <c r="AO6188"/>
      <c r="AP6188"/>
      <c r="AQ6188"/>
      <c r="AR6188"/>
      <c r="AS6188"/>
      <c r="AT6188"/>
      <c r="AU6188"/>
      <c r="AV6188"/>
    </row>
    <row r="6189" spans="41:48" x14ac:dyDescent="0.35">
      <c r="AO6189"/>
      <c r="AP6189"/>
      <c r="AQ6189"/>
      <c r="AR6189"/>
      <c r="AS6189"/>
      <c r="AT6189"/>
      <c r="AU6189"/>
      <c r="AV6189"/>
    </row>
    <row r="6190" spans="41:48" x14ac:dyDescent="0.35">
      <c r="AO6190"/>
      <c r="AP6190"/>
      <c r="AQ6190"/>
      <c r="AR6190"/>
      <c r="AS6190"/>
      <c r="AT6190"/>
      <c r="AU6190"/>
      <c r="AV6190"/>
    </row>
    <row r="6191" spans="41:48" x14ac:dyDescent="0.35">
      <c r="AO6191"/>
      <c r="AP6191"/>
      <c r="AQ6191"/>
      <c r="AR6191"/>
      <c r="AS6191"/>
      <c r="AT6191"/>
      <c r="AU6191"/>
      <c r="AV6191"/>
    </row>
    <row r="6192" spans="41:48" x14ac:dyDescent="0.35">
      <c r="AO6192"/>
      <c r="AP6192"/>
      <c r="AQ6192"/>
      <c r="AR6192"/>
      <c r="AS6192"/>
      <c r="AT6192"/>
      <c r="AU6192"/>
      <c r="AV6192"/>
    </row>
    <row r="6193" spans="41:48" x14ac:dyDescent="0.35">
      <c r="AO6193"/>
      <c r="AP6193"/>
      <c r="AQ6193"/>
      <c r="AR6193"/>
      <c r="AS6193"/>
      <c r="AT6193"/>
      <c r="AU6193"/>
      <c r="AV6193"/>
    </row>
    <row r="6194" spans="41:48" x14ac:dyDescent="0.35">
      <c r="AO6194"/>
      <c r="AP6194"/>
      <c r="AQ6194"/>
      <c r="AR6194"/>
      <c r="AS6194"/>
      <c r="AT6194"/>
      <c r="AU6194"/>
      <c r="AV6194"/>
    </row>
    <row r="6195" spans="41:48" x14ac:dyDescent="0.35">
      <c r="AO6195"/>
      <c r="AP6195"/>
      <c r="AQ6195"/>
      <c r="AR6195"/>
      <c r="AS6195"/>
      <c r="AT6195"/>
      <c r="AU6195"/>
      <c r="AV6195"/>
    </row>
    <row r="6196" spans="41:48" x14ac:dyDescent="0.35">
      <c r="AO6196"/>
      <c r="AP6196"/>
      <c r="AQ6196"/>
      <c r="AR6196"/>
      <c r="AS6196"/>
      <c r="AT6196"/>
      <c r="AU6196"/>
      <c r="AV6196"/>
    </row>
    <row r="6197" spans="41:48" x14ac:dyDescent="0.35">
      <c r="AO6197"/>
      <c r="AP6197"/>
      <c r="AQ6197"/>
      <c r="AR6197"/>
      <c r="AS6197"/>
      <c r="AT6197"/>
      <c r="AU6197"/>
      <c r="AV6197"/>
    </row>
    <row r="6198" spans="41:48" x14ac:dyDescent="0.35">
      <c r="AO6198"/>
      <c r="AP6198"/>
      <c r="AQ6198"/>
      <c r="AR6198"/>
      <c r="AS6198"/>
      <c r="AT6198"/>
      <c r="AU6198"/>
      <c r="AV6198"/>
    </row>
    <row r="6199" spans="41:48" x14ac:dyDescent="0.35">
      <c r="AO6199"/>
      <c r="AP6199"/>
      <c r="AQ6199"/>
      <c r="AR6199"/>
      <c r="AS6199"/>
      <c r="AT6199"/>
      <c r="AU6199"/>
      <c r="AV6199"/>
    </row>
    <row r="6200" spans="41:48" x14ac:dyDescent="0.35">
      <c r="AO6200"/>
      <c r="AP6200"/>
      <c r="AQ6200"/>
      <c r="AR6200"/>
      <c r="AS6200"/>
      <c r="AT6200"/>
      <c r="AU6200"/>
      <c r="AV6200"/>
    </row>
    <row r="6201" spans="41:48" x14ac:dyDescent="0.35">
      <c r="AO6201"/>
      <c r="AP6201"/>
      <c r="AQ6201"/>
      <c r="AR6201"/>
      <c r="AS6201"/>
      <c r="AT6201"/>
      <c r="AU6201"/>
      <c r="AV6201"/>
    </row>
    <row r="6202" spans="41:48" x14ac:dyDescent="0.35">
      <c r="AO6202"/>
      <c r="AP6202"/>
      <c r="AQ6202"/>
      <c r="AR6202"/>
      <c r="AS6202"/>
      <c r="AT6202"/>
      <c r="AU6202"/>
      <c r="AV6202"/>
    </row>
    <row r="6203" spans="41:48" x14ac:dyDescent="0.35">
      <c r="AO6203"/>
      <c r="AP6203"/>
      <c r="AQ6203"/>
      <c r="AR6203"/>
      <c r="AS6203"/>
      <c r="AT6203"/>
      <c r="AU6203"/>
      <c r="AV6203"/>
    </row>
    <row r="6204" spans="41:48" x14ac:dyDescent="0.35">
      <c r="AO6204"/>
      <c r="AP6204"/>
      <c r="AQ6204"/>
      <c r="AR6204"/>
      <c r="AS6204"/>
      <c r="AT6204"/>
      <c r="AU6204"/>
      <c r="AV6204"/>
    </row>
    <row r="6205" spans="41:48" x14ac:dyDescent="0.35">
      <c r="AO6205"/>
      <c r="AP6205"/>
      <c r="AQ6205"/>
      <c r="AR6205"/>
      <c r="AS6205"/>
      <c r="AT6205"/>
      <c r="AU6205"/>
      <c r="AV6205"/>
    </row>
    <row r="6206" spans="41:48" x14ac:dyDescent="0.35">
      <c r="AO6206"/>
      <c r="AP6206"/>
      <c r="AQ6206"/>
      <c r="AR6206"/>
      <c r="AS6206"/>
      <c r="AT6206"/>
      <c r="AU6206"/>
      <c r="AV6206"/>
    </row>
    <row r="6207" spans="41:48" x14ac:dyDescent="0.35">
      <c r="AO6207"/>
      <c r="AP6207"/>
      <c r="AQ6207"/>
      <c r="AR6207"/>
      <c r="AS6207"/>
      <c r="AT6207"/>
      <c r="AU6207"/>
      <c r="AV6207"/>
    </row>
    <row r="6208" spans="41:48" x14ac:dyDescent="0.35">
      <c r="AO6208"/>
      <c r="AP6208"/>
      <c r="AQ6208"/>
      <c r="AR6208"/>
      <c r="AS6208"/>
      <c r="AT6208"/>
      <c r="AU6208"/>
      <c r="AV6208"/>
    </row>
    <row r="6209" spans="41:48" x14ac:dyDescent="0.35">
      <c r="AO6209"/>
      <c r="AP6209"/>
      <c r="AQ6209"/>
      <c r="AR6209"/>
      <c r="AS6209"/>
      <c r="AT6209"/>
      <c r="AU6209"/>
      <c r="AV6209"/>
    </row>
    <row r="6210" spans="41:48" x14ac:dyDescent="0.35">
      <c r="AO6210"/>
      <c r="AP6210"/>
      <c r="AQ6210"/>
      <c r="AR6210"/>
      <c r="AS6210"/>
      <c r="AT6210"/>
      <c r="AU6210"/>
      <c r="AV6210"/>
    </row>
    <row r="6211" spans="41:48" x14ac:dyDescent="0.35">
      <c r="AO6211"/>
      <c r="AP6211"/>
      <c r="AQ6211"/>
      <c r="AR6211"/>
      <c r="AS6211"/>
      <c r="AT6211"/>
      <c r="AU6211"/>
      <c r="AV6211"/>
    </row>
    <row r="6212" spans="41:48" x14ac:dyDescent="0.35">
      <c r="AO6212"/>
      <c r="AP6212"/>
      <c r="AQ6212"/>
      <c r="AR6212"/>
      <c r="AS6212"/>
      <c r="AT6212"/>
      <c r="AU6212"/>
      <c r="AV6212"/>
    </row>
    <row r="6213" spans="41:48" x14ac:dyDescent="0.35">
      <c r="AO6213"/>
      <c r="AP6213"/>
      <c r="AQ6213"/>
      <c r="AR6213"/>
      <c r="AS6213"/>
      <c r="AT6213"/>
      <c r="AU6213"/>
      <c r="AV6213"/>
    </row>
    <row r="6214" spans="41:48" x14ac:dyDescent="0.35">
      <c r="AO6214"/>
      <c r="AP6214"/>
      <c r="AQ6214"/>
      <c r="AR6214"/>
      <c r="AS6214"/>
      <c r="AT6214"/>
      <c r="AU6214"/>
      <c r="AV6214"/>
    </row>
    <row r="6215" spans="41:48" x14ac:dyDescent="0.35">
      <c r="AO6215"/>
      <c r="AP6215"/>
      <c r="AQ6215"/>
      <c r="AR6215"/>
      <c r="AS6215"/>
      <c r="AT6215"/>
      <c r="AU6215"/>
      <c r="AV6215"/>
    </row>
    <row r="6216" spans="41:48" x14ac:dyDescent="0.35">
      <c r="AO6216"/>
      <c r="AP6216"/>
      <c r="AQ6216"/>
      <c r="AR6216"/>
      <c r="AS6216"/>
      <c r="AT6216"/>
      <c r="AU6216"/>
      <c r="AV6216"/>
    </row>
    <row r="6217" spans="41:48" x14ac:dyDescent="0.35">
      <c r="AO6217"/>
      <c r="AP6217"/>
      <c r="AQ6217"/>
      <c r="AR6217"/>
      <c r="AS6217"/>
      <c r="AT6217"/>
      <c r="AU6217"/>
      <c r="AV6217"/>
    </row>
    <row r="6218" spans="41:48" x14ac:dyDescent="0.35">
      <c r="AO6218"/>
      <c r="AP6218"/>
      <c r="AQ6218"/>
      <c r="AR6218"/>
      <c r="AS6218"/>
      <c r="AT6218"/>
      <c r="AU6218"/>
      <c r="AV6218"/>
    </row>
    <row r="6219" spans="41:48" x14ac:dyDescent="0.35">
      <c r="AO6219"/>
      <c r="AP6219"/>
      <c r="AQ6219"/>
      <c r="AR6219"/>
      <c r="AS6219"/>
      <c r="AT6219"/>
      <c r="AU6219"/>
      <c r="AV6219"/>
    </row>
    <row r="6220" spans="41:48" x14ac:dyDescent="0.35">
      <c r="AO6220"/>
      <c r="AP6220"/>
      <c r="AQ6220"/>
      <c r="AR6220"/>
      <c r="AS6220"/>
      <c r="AT6220"/>
      <c r="AU6220"/>
      <c r="AV6220"/>
    </row>
    <row r="6221" spans="41:48" x14ac:dyDescent="0.35">
      <c r="AO6221"/>
      <c r="AP6221"/>
      <c r="AQ6221"/>
      <c r="AR6221"/>
      <c r="AS6221"/>
      <c r="AT6221"/>
      <c r="AU6221"/>
      <c r="AV6221"/>
    </row>
    <row r="6222" spans="41:48" x14ac:dyDescent="0.35">
      <c r="AO6222"/>
      <c r="AP6222"/>
      <c r="AQ6222"/>
      <c r="AR6222"/>
      <c r="AS6222"/>
      <c r="AT6222"/>
      <c r="AU6222"/>
      <c r="AV6222"/>
    </row>
    <row r="6223" spans="41:48" x14ac:dyDescent="0.35">
      <c r="AO6223"/>
      <c r="AP6223"/>
      <c r="AQ6223"/>
      <c r="AR6223"/>
      <c r="AS6223"/>
      <c r="AT6223"/>
      <c r="AU6223"/>
      <c r="AV6223"/>
    </row>
    <row r="6224" spans="41:48" x14ac:dyDescent="0.35">
      <c r="AO6224"/>
      <c r="AP6224"/>
      <c r="AQ6224"/>
      <c r="AR6224"/>
      <c r="AS6224"/>
      <c r="AT6224"/>
      <c r="AU6224"/>
      <c r="AV6224"/>
    </row>
    <row r="6225" spans="41:48" x14ac:dyDescent="0.35">
      <c r="AO6225"/>
      <c r="AP6225"/>
      <c r="AQ6225"/>
      <c r="AR6225"/>
      <c r="AS6225"/>
      <c r="AT6225"/>
      <c r="AU6225"/>
      <c r="AV6225"/>
    </row>
    <row r="6226" spans="41:48" x14ac:dyDescent="0.35">
      <c r="AO6226"/>
      <c r="AP6226"/>
      <c r="AQ6226"/>
      <c r="AR6226"/>
      <c r="AS6226"/>
      <c r="AT6226"/>
      <c r="AU6226"/>
      <c r="AV6226"/>
    </row>
    <row r="6227" spans="41:48" x14ac:dyDescent="0.35">
      <c r="AO6227"/>
      <c r="AP6227"/>
      <c r="AQ6227"/>
      <c r="AR6227"/>
      <c r="AS6227"/>
      <c r="AT6227"/>
      <c r="AU6227"/>
      <c r="AV6227"/>
    </row>
    <row r="6228" spans="41:48" x14ac:dyDescent="0.35">
      <c r="AO6228"/>
      <c r="AP6228"/>
      <c r="AQ6228"/>
      <c r="AR6228"/>
      <c r="AS6228"/>
      <c r="AT6228"/>
      <c r="AU6228"/>
      <c r="AV6228"/>
    </row>
    <row r="6229" spans="41:48" x14ac:dyDescent="0.35">
      <c r="AO6229"/>
      <c r="AP6229"/>
      <c r="AQ6229"/>
      <c r="AR6229"/>
      <c r="AS6229"/>
      <c r="AT6229"/>
      <c r="AU6229"/>
      <c r="AV6229"/>
    </row>
    <row r="6230" spans="41:48" x14ac:dyDescent="0.35">
      <c r="AO6230"/>
      <c r="AP6230"/>
      <c r="AQ6230"/>
      <c r="AR6230"/>
      <c r="AS6230"/>
      <c r="AT6230"/>
      <c r="AU6230"/>
      <c r="AV6230"/>
    </row>
    <row r="6231" spans="41:48" x14ac:dyDescent="0.35">
      <c r="AO6231"/>
      <c r="AP6231"/>
      <c r="AQ6231"/>
      <c r="AR6231"/>
      <c r="AS6231"/>
      <c r="AT6231"/>
      <c r="AU6231"/>
      <c r="AV6231"/>
    </row>
    <row r="6232" spans="41:48" x14ac:dyDescent="0.35">
      <c r="AO6232"/>
      <c r="AP6232"/>
      <c r="AQ6232"/>
      <c r="AR6232"/>
      <c r="AS6232"/>
      <c r="AT6232"/>
      <c r="AU6232"/>
      <c r="AV6232"/>
    </row>
    <row r="6233" spans="41:48" x14ac:dyDescent="0.35">
      <c r="AO6233"/>
      <c r="AP6233"/>
      <c r="AQ6233"/>
      <c r="AR6233"/>
      <c r="AS6233"/>
      <c r="AT6233"/>
      <c r="AU6233"/>
      <c r="AV6233"/>
    </row>
    <row r="6234" spans="41:48" x14ac:dyDescent="0.35">
      <c r="AO6234"/>
      <c r="AP6234"/>
      <c r="AQ6234"/>
      <c r="AR6234"/>
      <c r="AS6234"/>
      <c r="AT6234"/>
      <c r="AU6234"/>
      <c r="AV6234"/>
    </row>
    <row r="6235" spans="41:48" x14ac:dyDescent="0.35">
      <c r="AO6235"/>
      <c r="AP6235"/>
      <c r="AQ6235"/>
      <c r="AR6235"/>
      <c r="AS6235"/>
      <c r="AT6235"/>
      <c r="AU6235"/>
      <c r="AV6235"/>
    </row>
    <row r="6236" spans="41:48" x14ac:dyDescent="0.35">
      <c r="AO6236"/>
      <c r="AP6236"/>
      <c r="AQ6236"/>
      <c r="AR6236"/>
      <c r="AS6236"/>
      <c r="AT6236"/>
      <c r="AU6236"/>
      <c r="AV6236"/>
    </row>
    <row r="6237" spans="41:48" x14ac:dyDescent="0.35">
      <c r="AO6237"/>
      <c r="AP6237"/>
      <c r="AQ6237"/>
      <c r="AR6237"/>
      <c r="AS6237"/>
      <c r="AT6237"/>
      <c r="AU6237"/>
      <c r="AV6237"/>
    </row>
    <row r="6238" spans="41:48" x14ac:dyDescent="0.35">
      <c r="AO6238"/>
      <c r="AP6238"/>
      <c r="AQ6238"/>
      <c r="AR6238"/>
      <c r="AS6238"/>
      <c r="AT6238"/>
      <c r="AU6238"/>
      <c r="AV6238"/>
    </row>
    <row r="6239" spans="41:48" x14ac:dyDescent="0.35">
      <c r="AO6239"/>
      <c r="AP6239"/>
      <c r="AQ6239"/>
      <c r="AR6239"/>
      <c r="AS6239"/>
      <c r="AT6239"/>
      <c r="AU6239"/>
      <c r="AV6239"/>
    </row>
    <row r="6240" spans="41:48" x14ac:dyDescent="0.35">
      <c r="AO6240"/>
      <c r="AP6240"/>
      <c r="AQ6240"/>
      <c r="AR6240"/>
      <c r="AS6240"/>
      <c r="AT6240"/>
      <c r="AU6240"/>
      <c r="AV6240"/>
    </row>
    <row r="6241" spans="41:48" x14ac:dyDescent="0.35">
      <c r="AO6241"/>
      <c r="AP6241"/>
      <c r="AQ6241"/>
      <c r="AR6241"/>
      <c r="AS6241"/>
      <c r="AT6241"/>
      <c r="AU6241"/>
      <c r="AV6241"/>
    </row>
    <row r="6242" spans="41:48" x14ac:dyDescent="0.35">
      <c r="AO6242"/>
      <c r="AP6242"/>
      <c r="AQ6242"/>
      <c r="AR6242"/>
      <c r="AS6242"/>
      <c r="AT6242"/>
      <c r="AU6242"/>
      <c r="AV6242"/>
    </row>
    <row r="6243" spans="41:48" x14ac:dyDescent="0.35">
      <c r="AO6243"/>
      <c r="AP6243"/>
      <c r="AQ6243"/>
      <c r="AR6243"/>
      <c r="AS6243"/>
      <c r="AT6243"/>
      <c r="AU6243"/>
      <c r="AV6243"/>
    </row>
    <row r="6244" spans="41:48" x14ac:dyDescent="0.35">
      <c r="AO6244"/>
      <c r="AP6244"/>
      <c r="AQ6244"/>
      <c r="AR6244"/>
      <c r="AS6244"/>
      <c r="AT6244"/>
      <c r="AU6244"/>
      <c r="AV6244"/>
    </row>
    <row r="6245" spans="41:48" x14ac:dyDescent="0.35">
      <c r="AO6245"/>
      <c r="AP6245"/>
      <c r="AQ6245"/>
      <c r="AR6245"/>
      <c r="AS6245"/>
      <c r="AT6245"/>
      <c r="AU6245"/>
      <c r="AV6245"/>
    </row>
    <row r="6246" spans="41:48" x14ac:dyDescent="0.35">
      <c r="AO6246"/>
      <c r="AP6246"/>
      <c r="AQ6246"/>
      <c r="AR6246"/>
      <c r="AS6246"/>
      <c r="AT6246"/>
      <c r="AU6246"/>
      <c r="AV6246"/>
    </row>
    <row r="6247" spans="41:48" x14ac:dyDescent="0.35">
      <c r="AO6247"/>
      <c r="AP6247"/>
      <c r="AQ6247"/>
      <c r="AR6247"/>
      <c r="AS6247"/>
      <c r="AT6247"/>
      <c r="AU6247"/>
      <c r="AV6247"/>
    </row>
    <row r="6248" spans="41:48" x14ac:dyDescent="0.35">
      <c r="AO6248"/>
      <c r="AP6248"/>
      <c r="AQ6248"/>
      <c r="AR6248"/>
      <c r="AS6248"/>
      <c r="AT6248"/>
      <c r="AU6248"/>
      <c r="AV6248"/>
    </row>
    <row r="6249" spans="41:48" x14ac:dyDescent="0.35">
      <c r="AO6249"/>
      <c r="AP6249"/>
      <c r="AQ6249"/>
      <c r="AR6249"/>
      <c r="AS6249"/>
      <c r="AT6249"/>
      <c r="AU6249"/>
      <c r="AV6249"/>
    </row>
    <row r="6250" spans="41:48" x14ac:dyDescent="0.35">
      <c r="AO6250"/>
      <c r="AP6250"/>
      <c r="AQ6250"/>
      <c r="AR6250"/>
      <c r="AS6250"/>
      <c r="AT6250"/>
      <c r="AU6250"/>
      <c r="AV6250"/>
    </row>
    <row r="6251" spans="41:48" x14ac:dyDescent="0.35">
      <c r="AO6251"/>
      <c r="AP6251"/>
      <c r="AQ6251"/>
      <c r="AR6251"/>
      <c r="AS6251"/>
      <c r="AT6251"/>
      <c r="AU6251"/>
      <c r="AV6251"/>
    </row>
    <row r="6252" spans="41:48" x14ac:dyDescent="0.35">
      <c r="AO6252"/>
      <c r="AP6252"/>
      <c r="AQ6252"/>
      <c r="AR6252"/>
      <c r="AS6252"/>
      <c r="AT6252"/>
      <c r="AU6252"/>
      <c r="AV6252"/>
    </row>
    <row r="6253" spans="41:48" x14ac:dyDescent="0.35">
      <c r="AO6253"/>
      <c r="AP6253"/>
      <c r="AQ6253"/>
      <c r="AR6253"/>
      <c r="AS6253"/>
      <c r="AT6253"/>
      <c r="AU6253"/>
      <c r="AV6253"/>
    </row>
    <row r="6254" spans="41:48" x14ac:dyDescent="0.35">
      <c r="AO6254"/>
      <c r="AP6254"/>
      <c r="AQ6254"/>
      <c r="AR6254"/>
      <c r="AS6254"/>
      <c r="AT6254"/>
      <c r="AU6254"/>
      <c r="AV6254"/>
    </row>
    <row r="6255" spans="41:48" x14ac:dyDescent="0.35">
      <c r="AO6255"/>
      <c r="AP6255"/>
      <c r="AQ6255"/>
      <c r="AR6255"/>
      <c r="AS6255"/>
      <c r="AT6255"/>
      <c r="AU6255"/>
      <c r="AV6255"/>
    </row>
    <row r="6256" spans="41:48" x14ac:dyDescent="0.35">
      <c r="AO6256"/>
      <c r="AP6256"/>
      <c r="AQ6256"/>
      <c r="AR6256"/>
      <c r="AS6256"/>
      <c r="AT6256"/>
      <c r="AU6256"/>
      <c r="AV6256"/>
    </row>
    <row r="6257" spans="41:48" x14ac:dyDescent="0.35">
      <c r="AO6257"/>
      <c r="AP6257"/>
      <c r="AQ6257"/>
      <c r="AR6257"/>
      <c r="AS6257"/>
      <c r="AT6257"/>
      <c r="AU6257"/>
      <c r="AV6257"/>
    </row>
    <row r="6258" spans="41:48" x14ac:dyDescent="0.35">
      <c r="AO6258"/>
      <c r="AP6258"/>
      <c r="AQ6258"/>
      <c r="AR6258"/>
      <c r="AS6258"/>
      <c r="AT6258"/>
      <c r="AU6258"/>
      <c r="AV6258"/>
    </row>
    <row r="6259" spans="41:48" x14ac:dyDescent="0.35">
      <c r="AO6259"/>
      <c r="AP6259"/>
      <c r="AQ6259"/>
      <c r="AR6259"/>
      <c r="AS6259"/>
      <c r="AT6259"/>
      <c r="AU6259"/>
      <c r="AV6259"/>
    </row>
    <row r="6260" spans="41:48" x14ac:dyDescent="0.35">
      <c r="AO6260"/>
      <c r="AP6260"/>
      <c r="AQ6260"/>
      <c r="AR6260"/>
      <c r="AS6260"/>
      <c r="AT6260"/>
      <c r="AU6260"/>
      <c r="AV6260"/>
    </row>
    <row r="6261" spans="41:48" x14ac:dyDescent="0.35">
      <c r="AO6261"/>
      <c r="AP6261"/>
      <c r="AQ6261"/>
      <c r="AR6261"/>
      <c r="AS6261"/>
      <c r="AT6261"/>
      <c r="AU6261"/>
      <c r="AV6261"/>
    </row>
    <row r="6262" spans="41:48" x14ac:dyDescent="0.35">
      <c r="AO6262"/>
      <c r="AP6262"/>
      <c r="AQ6262"/>
      <c r="AR6262"/>
      <c r="AS6262"/>
      <c r="AT6262"/>
      <c r="AU6262"/>
      <c r="AV6262"/>
    </row>
    <row r="6263" spans="41:48" x14ac:dyDescent="0.35">
      <c r="AO6263"/>
      <c r="AP6263"/>
      <c r="AQ6263"/>
      <c r="AR6263"/>
      <c r="AS6263"/>
      <c r="AT6263"/>
      <c r="AU6263"/>
      <c r="AV6263"/>
    </row>
    <row r="6264" spans="41:48" x14ac:dyDescent="0.35">
      <c r="AO6264"/>
      <c r="AP6264"/>
      <c r="AQ6264"/>
      <c r="AR6264"/>
      <c r="AS6264"/>
      <c r="AT6264"/>
      <c r="AU6264"/>
      <c r="AV6264"/>
    </row>
    <row r="6265" spans="41:48" x14ac:dyDescent="0.35">
      <c r="AO6265"/>
      <c r="AP6265"/>
      <c r="AQ6265"/>
      <c r="AR6265"/>
      <c r="AS6265"/>
      <c r="AT6265"/>
      <c r="AU6265"/>
      <c r="AV6265"/>
    </row>
    <row r="6266" spans="41:48" x14ac:dyDescent="0.35">
      <c r="AO6266"/>
      <c r="AP6266"/>
      <c r="AQ6266"/>
      <c r="AR6266"/>
      <c r="AS6266"/>
      <c r="AT6266"/>
      <c r="AU6266"/>
      <c r="AV6266"/>
    </row>
    <row r="6267" spans="41:48" x14ac:dyDescent="0.35">
      <c r="AO6267"/>
      <c r="AP6267"/>
      <c r="AQ6267"/>
      <c r="AR6267"/>
      <c r="AS6267"/>
      <c r="AT6267"/>
      <c r="AU6267"/>
      <c r="AV6267"/>
    </row>
    <row r="6268" spans="41:48" x14ac:dyDescent="0.35">
      <c r="AO6268"/>
      <c r="AP6268"/>
      <c r="AQ6268"/>
      <c r="AR6268"/>
      <c r="AS6268"/>
      <c r="AT6268"/>
      <c r="AU6268"/>
      <c r="AV6268"/>
    </row>
    <row r="6269" spans="41:48" x14ac:dyDescent="0.35">
      <c r="AO6269"/>
      <c r="AP6269"/>
      <c r="AQ6269"/>
      <c r="AR6269"/>
      <c r="AS6269"/>
      <c r="AT6269"/>
      <c r="AU6269"/>
      <c r="AV6269"/>
    </row>
    <row r="6270" spans="41:48" x14ac:dyDescent="0.35">
      <c r="AO6270"/>
      <c r="AP6270"/>
      <c r="AQ6270"/>
      <c r="AR6270"/>
      <c r="AS6270"/>
      <c r="AT6270"/>
      <c r="AU6270"/>
      <c r="AV6270"/>
    </row>
    <row r="6271" spans="41:48" x14ac:dyDescent="0.35">
      <c r="AO6271"/>
      <c r="AP6271"/>
      <c r="AQ6271"/>
      <c r="AR6271"/>
      <c r="AS6271"/>
      <c r="AT6271"/>
      <c r="AU6271"/>
      <c r="AV6271"/>
    </row>
    <row r="6272" spans="41:48" x14ac:dyDescent="0.35">
      <c r="AO6272"/>
      <c r="AP6272"/>
      <c r="AQ6272"/>
      <c r="AR6272"/>
      <c r="AS6272"/>
      <c r="AT6272"/>
      <c r="AU6272"/>
      <c r="AV6272"/>
    </row>
    <row r="6273" spans="41:48" x14ac:dyDescent="0.35">
      <c r="AO6273"/>
      <c r="AP6273"/>
      <c r="AQ6273"/>
      <c r="AR6273"/>
      <c r="AS6273"/>
      <c r="AT6273"/>
      <c r="AU6273"/>
      <c r="AV6273"/>
    </row>
    <row r="6274" spans="41:48" x14ac:dyDescent="0.35">
      <c r="AO6274"/>
      <c r="AP6274"/>
      <c r="AQ6274"/>
      <c r="AR6274"/>
      <c r="AS6274"/>
      <c r="AT6274"/>
      <c r="AU6274"/>
      <c r="AV6274"/>
    </row>
    <row r="6275" spans="41:48" x14ac:dyDescent="0.35">
      <c r="AO6275"/>
      <c r="AP6275"/>
      <c r="AQ6275"/>
      <c r="AR6275"/>
      <c r="AS6275"/>
      <c r="AT6275"/>
      <c r="AU6275"/>
      <c r="AV6275"/>
    </row>
    <row r="6276" spans="41:48" x14ac:dyDescent="0.35">
      <c r="AO6276"/>
      <c r="AP6276"/>
      <c r="AQ6276"/>
      <c r="AR6276"/>
      <c r="AS6276"/>
      <c r="AT6276"/>
      <c r="AU6276"/>
      <c r="AV6276"/>
    </row>
    <row r="6277" spans="41:48" x14ac:dyDescent="0.35">
      <c r="AO6277"/>
      <c r="AP6277"/>
      <c r="AQ6277"/>
      <c r="AR6277"/>
      <c r="AS6277"/>
      <c r="AT6277"/>
      <c r="AU6277"/>
      <c r="AV6277"/>
    </row>
    <row r="6278" spans="41:48" x14ac:dyDescent="0.35">
      <c r="AO6278"/>
      <c r="AP6278"/>
      <c r="AQ6278"/>
      <c r="AR6278"/>
      <c r="AS6278"/>
      <c r="AT6278"/>
      <c r="AU6278"/>
      <c r="AV6278"/>
    </row>
    <row r="6279" spans="41:48" x14ac:dyDescent="0.35">
      <c r="AO6279"/>
      <c r="AP6279"/>
      <c r="AQ6279"/>
      <c r="AR6279"/>
      <c r="AS6279"/>
      <c r="AT6279"/>
      <c r="AU6279"/>
      <c r="AV6279"/>
    </row>
    <row r="6280" spans="41:48" x14ac:dyDescent="0.35">
      <c r="AO6280"/>
      <c r="AP6280"/>
      <c r="AQ6280"/>
      <c r="AR6280"/>
      <c r="AS6280"/>
      <c r="AT6280"/>
      <c r="AU6280"/>
      <c r="AV6280"/>
    </row>
    <row r="6281" spans="41:48" x14ac:dyDescent="0.35">
      <c r="AO6281"/>
      <c r="AP6281"/>
      <c r="AQ6281"/>
      <c r="AR6281"/>
      <c r="AS6281"/>
      <c r="AT6281"/>
      <c r="AU6281"/>
      <c r="AV6281"/>
    </row>
    <row r="6282" spans="41:48" x14ac:dyDescent="0.35">
      <c r="AO6282"/>
      <c r="AP6282"/>
      <c r="AQ6282"/>
      <c r="AR6282"/>
      <c r="AS6282"/>
      <c r="AT6282"/>
      <c r="AU6282"/>
      <c r="AV6282"/>
    </row>
    <row r="6283" spans="41:48" x14ac:dyDescent="0.35">
      <c r="AO6283"/>
      <c r="AP6283"/>
      <c r="AQ6283"/>
      <c r="AR6283"/>
      <c r="AS6283"/>
      <c r="AT6283"/>
      <c r="AU6283"/>
      <c r="AV6283"/>
    </row>
    <row r="6284" spans="41:48" x14ac:dyDescent="0.35">
      <c r="AO6284"/>
      <c r="AP6284"/>
      <c r="AQ6284"/>
      <c r="AR6284"/>
      <c r="AS6284"/>
      <c r="AT6284"/>
      <c r="AU6284"/>
      <c r="AV6284"/>
    </row>
    <row r="6285" spans="41:48" x14ac:dyDescent="0.35">
      <c r="AO6285"/>
      <c r="AP6285"/>
      <c r="AQ6285"/>
      <c r="AR6285"/>
      <c r="AS6285"/>
      <c r="AT6285"/>
      <c r="AU6285"/>
      <c r="AV6285"/>
    </row>
    <row r="6286" spans="41:48" x14ac:dyDescent="0.35">
      <c r="AO6286"/>
      <c r="AP6286"/>
      <c r="AQ6286"/>
      <c r="AR6286"/>
      <c r="AS6286"/>
      <c r="AT6286"/>
      <c r="AU6286"/>
      <c r="AV6286"/>
    </row>
    <row r="6287" spans="41:48" x14ac:dyDescent="0.35">
      <c r="AO6287"/>
      <c r="AP6287"/>
      <c r="AQ6287"/>
      <c r="AR6287"/>
      <c r="AS6287"/>
      <c r="AT6287"/>
      <c r="AU6287"/>
      <c r="AV6287"/>
    </row>
    <row r="6288" spans="41:48" x14ac:dyDescent="0.35">
      <c r="AO6288"/>
      <c r="AP6288"/>
      <c r="AQ6288"/>
      <c r="AR6288"/>
      <c r="AS6288"/>
      <c r="AT6288"/>
      <c r="AU6288"/>
      <c r="AV6288"/>
    </row>
    <row r="6289" spans="41:48" x14ac:dyDescent="0.35">
      <c r="AO6289"/>
      <c r="AP6289"/>
      <c r="AQ6289"/>
      <c r="AR6289"/>
      <c r="AS6289"/>
      <c r="AT6289"/>
      <c r="AU6289"/>
      <c r="AV6289"/>
    </row>
    <row r="6290" spans="41:48" x14ac:dyDescent="0.35">
      <c r="AO6290"/>
      <c r="AP6290"/>
      <c r="AQ6290"/>
      <c r="AR6290"/>
      <c r="AS6290"/>
      <c r="AT6290"/>
      <c r="AU6290"/>
      <c r="AV6290"/>
    </row>
    <row r="6291" spans="41:48" x14ac:dyDescent="0.35">
      <c r="AO6291"/>
      <c r="AP6291"/>
      <c r="AQ6291"/>
      <c r="AR6291"/>
      <c r="AS6291"/>
      <c r="AT6291"/>
      <c r="AU6291"/>
      <c r="AV6291"/>
    </row>
    <row r="6292" spans="41:48" x14ac:dyDescent="0.35">
      <c r="AO6292"/>
      <c r="AP6292"/>
      <c r="AQ6292"/>
      <c r="AR6292"/>
      <c r="AS6292"/>
      <c r="AT6292"/>
      <c r="AU6292"/>
      <c r="AV6292"/>
    </row>
    <row r="6293" spans="41:48" x14ac:dyDescent="0.35">
      <c r="AO6293"/>
      <c r="AP6293"/>
      <c r="AQ6293"/>
      <c r="AR6293"/>
      <c r="AS6293"/>
      <c r="AT6293"/>
      <c r="AU6293"/>
      <c r="AV6293"/>
    </row>
    <row r="6294" spans="41:48" x14ac:dyDescent="0.35">
      <c r="AO6294"/>
      <c r="AP6294"/>
      <c r="AQ6294"/>
      <c r="AR6294"/>
      <c r="AS6294"/>
      <c r="AT6294"/>
      <c r="AU6294"/>
      <c r="AV6294"/>
    </row>
    <row r="6295" spans="41:48" x14ac:dyDescent="0.35">
      <c r="AO6295"/>
      <c r="AP6295"/>
      <c r="AQ6295"/>
      <c r="AR6295"/>
      <c r="AS6295"/>
      <c r="AT6295"/>
      <c r="AU6295"/>
      <c r="AV6295"/>
    </row>
    <row r="6296" spans="41:48" x14ac:dyDescent="0.35">
      <c r="AO6296"/>
      <c r="AP6296"/>
      <c r="AQ6296"/>
      <c r="AR6296"/>
      <c r="AS6296"/>
      <c r="AT6296"/>
      <c r="AU6296"/>
      <c r="AV6296"/>
    </row>
    <row r="6297" spans="41:48" x14ac:dyDescent="0.35">
      <c r="AO6297"/>
      <c r="AP6297"/>
      <c r="AQ6297"/>
      <c r="AR6297"/>
      <c r="AS6297"/>
      <c r="AT6297"/>
      <c r="AU6297"/>
      <c r="AV6297"/>
    </row>
    <row r="6298" spans="41:48" x14ac:dyDescent="0.35">
      <c r="AO6298"/>
      <c r="AP6298"/>
      <c r="AQ6298"/>
      <c r="AR6298"/>
      <c r="AS6298"/>
      <c r="AT6298"/>
      <c r="AU6298"/>
      <c r="AV6298"/>
    </row>
    <row r="6299" spans="41:48" x14ac:dyDescent="0.35">
      <c r="AO6299"/>
      <c r="AP6299"/>
      <c r="AQ6299"/>
      <c r="AR6299"/>
      <c r="AS6299"/>
      <c r="AT6299"/>
      <c r="AU6299"/>
      <c r="AV6299"/>
    </row>
    <row r="6300" spans="41:48" x14ac:dyDescent="0.35">
      <c r="AO6300"/>
      <c r="AP6300"/>
      <c r="AQ6300"/>
      <c r="AR6300"/>
      <c r="AS6300"/>
      <c r="AT6300"/>
      <c r="AU6300"/>
      <c r="AV6300"/>
    </row>
    <row r="6301" spans="41:48" x14ac:dyDescent="0.35">
      <c r="AO6301"/>
      <c r="AP6301"/>
      <c r="AQ6301"/>
      <c r="AR6301"/>
      <c r="AS6301"/>
      <c r="AT6301"/>
      <c r="AU6301"/>
      <c r="AV6301"/>
    </row>
    <row r="6302" spans="41:48" x14ac:dyDescent="0.35">
      <c r="AO6302"/>
      <c r="AP6302"/>
      <c r="AQ6302"/>
      <c r="AR6302"/>
      <c r="AS6302"/>
      <c r="AT6302"/>
      <c r="AU6302"/>
      <c r="AV6302"/>
    </row>
    <row r="6303" spans="41:48" x14ac:dyDescent="0.35">
      <c r="AO6303"/>
      <c r="AP6303"/>
      <c r="AQ6303"/>
      <c r="AR6303"/>
      <c r="AS6303"/>
      <c r="AT6303"/>
      <c r="AU6303"/>
      <c r="AV6303"/>
    </row>
    <row r="6304" spans="41:48" x14ac:dyDescent="0.35">
      <c r="AO6304"/>
      <c r="AP6304"/>
      <c r="AQ6304"/>
      <c r="AR6304"/>
      <c r="AS6304"/>
      <c r="AT6304"/>
      <c r="AU6304"/>
      <c r="AV6304"/>
    </row>
    <row r="6305" spans="41:48" x14ac:dyDescent="0.35">
      <c r="AO6305"/>
      <c r="AP6305"/>
      <c r="AQ6305"/>
      <c r="AR6305"/>
      <c r="AS6305"/>
      <c r="AT6305"/>
      <c r="AU6305"/>
      <c r="AV6305"/>
    </row>
    <row r="6306" spans="41:48" x14ac:dyDescent="0.35">
      <c r="AO6306"/>
      <c r="AP6306"/>
      <c r="AQ6306"/>
      <c r="AR6306"/>
      <c r="AS6306"/>
      <c r="AT6306"/>
      <c r="AU6306"/>
      <c r="AV6306"/>
    </row>
    <row r="6307" spans="41:48" x14ac:dyDescent="0.35">
      <c r="AO6307"/>
      <c r="AP6307"/>
      <c r="AQ6307"/>
      <c r="AR6307"/>
      <c r="AS6307"/>
      <c r="AT6307"/>
      <c r="AU6307"/>
      <c r="AV6307"/>
    </row>
    <row r="6308" spans="41:48" x14ac:dyDescent="0.35">
      <c r="AO6308"/>
      <c r="AP6308"/>
      <c r="AQ6308"/>
      <c r="AR6308"/>
      <c r="AS6308"/>
      <c r="AT6308"/>
      <c r="AU6308"/>
      <c r="AV6308"/>
    </row>
    <row r="6309" spans="41:48" x14ac:dyDescent="0.35">
      <c r="AO6309"/>
      <c r="AP6309"/>
      <c r="AQ6309"/>
      <c r="AR6309"/>
      <c r="AS6309"/>
      <c r="AT6309"/>
      <c r="AU6309"/>
      <c r="AV6309"/>
    </row>
    <row r="6310" spans="41:48" x14ac:dyDescent="0.35">
      <c r="AO6310"/>
      <c r="AP6310"/>
      <c r="AQ6310"/>
      <c r="AR6310"/>
      <c r="AS6310"/>
      <c r="AT6310"/>
      <c r="AU6310"/>
      <c r="AV6310"/>
    </row>
    <row r="6311" spans="41:48" x14ac:dyDescent="0.35">
      <c r="AO6311"/>
      <c r="AP6311"/>
      <c r="AQ6311"/>
      <c r="AR6311"/>
      <c r="AS6311"/>
      <c r="AT6311"/>
      <c r="AU6311"/>
      <c r="AV6311"/>
    </row>
    <row r="6312" spans="41:48" x14ac:dyDescent="0.35">
      <c r="AO6312"/>
      <c r="AP6312"/>
      <c r="AQ6312"/>
      <c r="AR6312"/>
      <c r="AS6312"/>
      <c r="AT6312"/>
      <c r="AU6312"/>
      <c r="AV6312"/>
    </row>
    <row r="6313" spans="41:48" x14ac:dyDescent="0.35">
      <c r="AO6313"/>
      <c r="AP6313"/>
      <c r="AQ6313"/>
      <c r="AR6313"/>
      <c r="AS6313"/>
      <c r="AT6313"/>
      <c r="AU6313"/>
      <c r="AV6313"/>
    </row>
    <row r="6314" spans="41:48" x14ac:dyDescent="0.35">
      <c r="AO6314"/>
      <c r="AP6314"/>
      <c r="AQ6314"/>
      <c r="AR6314"/>
      <c r="AS6314"/>
      <c r="AT6314"/>
      <c r="AU6314"/>
      <c r="AV6314"/>
    </row>
    <row r="6315" spans="41:48" x14ac:dyDescent="0.35">
      <c r="AO6315"/>
      <c r="AP6315"/>
      <c r="AQ6315"/>
      <c r="AR6315"/>
      <c r="AS6315"/>
      <c r="AT6315"/>
      <c r="AU6315"/>
      <c r="AV6315"/>
    </row>
    <row r="6316" spans="41:48" x14ac:dyDescent="0.35">
      <c r="AO6316"/>
      <c r="AP6316"/>
      <c r="AQ6316"/>
      <c r="AR6316"/>
      <c r="AS6316"/>
      <c r="AT6316"/>
      <c r="AU6316"/>
      <c r="AV6316"/>
    </row>
    <row r="6317" spans="41:48" x14ac:dyDescent="0.35">
      <c r="AO6317"/>
      <c r="AP6317"/>
      <c r="AQ6317"/>
      <c r="AR6317"/>
      <c r="AS6317"/>
      <c r="AT6317"/>
      <c r="AU6317"/>
      <c r="AV6317"/>
    </row>
    <row r="6318" spans="41:48" x14ac:dyDescent="0.35">
      <c r="AO6318"/>
      <c r="AP6318"/>
      <c r="AQ6318"/>
      <c r="AR6318"/>
      <c r="AS6318"/>
      <c r="AT6318"/>
      <c r="AU6318"/>
      <c r="AV6318"/>
    </row>
    <row r="6319" spans="41:48" x14ac:dyDescent="0.35">
      <c r="AO6319"/>
      <c r="AP6319"/>
      <c r="AQ6319"/>
      <c r="AR6319"/>
      <c r="AS6319"/>
      <c r="AT6319"/>
      <c r="AU6319"/>
      <c r="AV6319"/>
    </row>
    <row r="6320" spans="41:48" x14ac:dyDescent="0.35">
      <c r="AO6320"/>
      <c r="AP6320"/>
      <c r="AQ6320"/>
      <c r="AR6320"/>
      <c r="AS6320"/>
      <c r="AT6320"/>
      <c r="AU6320"/>
      <c r="AV6320"/>
    </row>
    <row r="6321" spans="41:48" x14ac:dyDescent="0.35">
      <c r="AO6321"/>
      <c r="AP6321"/>
      <c r="AQ6321"/>
      <c r="AR6321"/>
      <c r="AS6321"/>
      <c r="AT6321"/>
      <c r="AU6321"/>
      <c r="AV6321"/>
    </row>
    <row r="6322" spans="41:48" x14ac:dyDescent="0.35">
      <c r="AO6322"/>
      <c r="AP6322"/>
      <c r="AQ6322"/>
      <c r="AR6322"/>
      <c r="AS6322"/>
      <c r="AT6322"/>
      <c r="AU6322"/>
      <c r="AV6322"/>
    </row>
    <row r="6323" spans="41:48" x14ac:dyDescent="0.35">
      <c r="AO6323"/>
      <c r="AP6323"/>
      <c r="AQ6323"/>
      <c r="AR6323"/>
      <c r="AS6323"/>
      <c r="AT6323"/>
      <c r="AU6323"/>
      <c r="AV6323"/>
    </row>
    <row r="6324" spans="41:48" x14ac:dyDescent="0.35">
      <c r="AO6324"/>
      <c r="AP6324"/>
      <c r="AQ6324"/>
      <c r="AR6324"/>
      <c r="AS6324"/>
      <c r="AT6324"/>
      <c r="AU6324"/>
      <c r="AV6324"/>
    </row>
    <row r="6325" spans="41:48" x14ac:dyDescent="0.35">
      <c r="AO6325"/>
      <c r="AP6325"/>
      <c r="AQ6325"/>
      <c r="AR6325"/>
      <c r="AS6325"/>
      <c r="AT6325"/>
      <c r="AU6325"/>
      <c r="AV6325"/>
    </row>
    <row r="6326" spans="41:48" x14ac:dyDescent="0.35">
      <c r="AO6326"/>
      <c r="AP6326"/>
      <c r="AQ6326"/>
      <c r="AR6326"/>
      <c r="AS6326"/>
      <c r="AT6326"/>
      <c r="AU6326"/>
      <c r="AV6326"/>
    </row>
    <row r="6327" spans="41:48" x14ac:dyDescent="0.35">
      <c r="AO6327"/>
      <c r="AP6327"/>
      <c r="AQ6327"/>
      <c r="AR6327"/>
      <c r="AS6327"/>
      <c r="AT6327"/>
      <c r="AU6327"/>
      <c r="AV6327"/>
    </row>
    <row r="6328" spans="41:48" x14ac:dyDescent="0.35">
      <c r="AO6328"/>
      <c r="AP6328"/>
      <c r="AQ6328"/>
      <c r="AR6328"/>
      <c r="AS6328"/>
      <c r="AT6328"/>
      <c r="AU6328"/>
      <c r="AV6328"/>
    </row>
    <row r="6329" spans="41:48" x14ac:dyDescent="0.35">
      <c r="AO6329"/>
      <c r="AP6329"/>
      <c r="AQ6329"/>
      <c r="AR6329"/>
      <c r="AS6329"/>
      <c r="AT6329"/>
      <c r="AU6329"/>
      <c r="AV6329"/>
    </row>
    <row r="6330" spans="41:48" x14ac:dyDescent="0.35">
      <c r="AO6330"/>
      <c r="AP6330"/>
      <c r="AQ6330"/>
      <c r="AR6330"/>
      <c r="AS6330"/>
      <c r="AT6330"/>
      <c r="AU6330"/>
      <c r="AV6330"/>
    </row>
    <row r="6331" spans="41:48" x14ac:dyDescent="0.35">
      <c r="AO6331"/>
      <c r="AP6331"/>
      <c r="AQ6331"/>
      <c r="AR6331"/>
      <c r="AS6331"/>
      <c r="AT6331"/>
      <c r="AU6331"/>
      <c r="AV6331"/>
    </row>
    <row r="6332" spans="41:48" x14ac:dyDescent="0.35">
      <c r="AO6332"/>
      <c r="AP6332"/>
      <c r="AQ6332"/>
      <c r="AR6332"/>
      <c r="AS6332"/>
      <c r="AT6332"/>
      <c r="AU6332"/>
      <c r="AV6332"/>
    </row>
    <row r="6333" spans="41:48" x14ac:dyDescent="0.35">
      <c r="AO6333"/>
      <c r="AP6333"/>
      <c r="AQ6333"/>
      <c r="AR6333"/>
      <c r="AS6333"/>
      <c r="AT6333"/>
      <c r="AU6333"/>
      <c r="AV6333"/>
    </row>
    <row r="6334" spans="41:48" x14ac:dyDescent="0.35">
      <c r="AO6334"/>
      <c r="AP6334"/>
      <c r="AQ6334"/>
      <c r="AR6334"/>
      <c r="AS6334"/>
      <c r="AT6334"/>
      <c r="AU6334"/>
      <c r="AV6334"/>
    </row>
    <row r="6335" spans="41:48" x14ac:dyDescent="0.35">
      <c r="AO6335"/>
      <c r="AP6335"/>
      <c r="AQ6335"/>
      <c r="AR6335"/>
      <c r="AS6335"/>
      <c r="AT6335"/>
      <c r="AU6335"/>
      <c r="AV6335"/>
    </row>
    <row r="6336" spans="41:48" x14ac:dyDescent="0.35">
      <c r="AO6336"/>
      <c r="AP6336"/>
      <c r="AQ6336"/>
      <c r="AR6336"/>
      <c r="AS6336"/>
      <c r="AT6336"/>
      <c r="AU6336"/>
      <c r="AV6336"/>
    </row>
    <row r="6337" spans="41:48" x14ac:dyDescent="0.35">
      <c r="AO6337"/>
      <c r="AP6337"/>
      <c r="AQ6337"/>
      <c r="AR6337"/>
      <c r="AS6337"/>
      <c r="AT6337"/>
      <c r="AU6337"/>
      <c r="AV6337"/>
    </row>
    <row r="6338" spans="41:48" x14ac:dyDescent="0.35">
      <c r="AO6338"/>
      <c r="AP6338"/>
      <c r="AQ6338"/>
      <c r="AR6338"/>
      <c r="AS6338"/>
      <c r="AT6338"/>
      <c r="AU6338"/>
      <c r="AV6338"/>
    </row>
    <row r="6339" spans="41:48" x14ac:dyDescent="0.35">
      <c r="AO6339"/>
      <c r="AP6339"/>
      <c r="AQ6339"/>
      <c r="AR6339"/>
      <c r="AS6339"/>
      <c r="AT6339"/>
      <c r="AU6339"/>
      <c r="AV6339"/>
    </row>
    <row r="6340" spans="41:48" x14ac:dyDescent="0.35">
      <c r="AO6340"/>
      <c r="AP6340"/>
      <c r="AQ6340"/>
      <c r="AR6340"/>
      <c r="AS6340"/>
      <c r="AT6340"/>
      <c r="AU6340"/>
      <c r="AV6340"/>
    </row>
    <row r="6341" spans="41:48" x14ac:dyDescent="0.35">
      <c r="AO6341"/>
      <c r="AP6341"/>
      <c r="AQ6341"/>
      <c r="AR6341"/>
      <c r="AS6341"/>
      <c r="AT6341"/>
      <c r="AU6341"/>
      <c r="AV6341"/>
    </row>
    <row r="6342" spans="41:48" x14ac:dyDescent="0.35">
      <c r="AO6342"/>
      <c r="AP6342"/>
      <c r="AQ6342"/>
      <c r="AR6342"/>
      <c r="AS6342"/>
      <c r="AT6342"/>
      <c r="AU6342"/>
      <c r="AV6342"/>
    </row>
    <row r="6343" spans="41:48" x14ac:dyDescent="0.35">
      <c r="AO6343"/>
      <c r="AP6343"/>
      <c r="AQ6343"/>
      <c r="AR6343"/>
      <c r="AS6343"/>
      <c r="AT6343"/>
      <c r="AU6343"/>
      <c r="AV6343"/>
    </row>
    <row r="6344" spans="41:48" x14ac:dyDescent="0.35">
      <c r="AO6344"/>
      <c r="AP6344"/>
      <c r="AQ6344"/>
      <c r="AR6344"/>
      <c r="AS6344"/>
      <c r="AT6344"/>
      <c r="AU6344"/>
      <c r="AV6344"/>
    </row>
    <row r="6345" spans="41:48" x14ac:dyDescent="0.35">
      <c r="AO6345"/>
      <c r="AP6345"/>
      <c r="AQ6345"/>
      <c r="AR6345"/>
      <c r="AS6345"/>
      <c r="AT6345"/>
      <c r="AU6345"/>
      <c r="AV6345"/>
    </row>
    <row r="6346" spans="41:48" x14ac:dyDescent="0.35">
      <c r="AO6346"/>
      <c r="AP6346"/>
      <c r="AQ6346"/>
      <c r="AR6346"/>
      <c r="AS6346"/>
      <c r="AT6346"/>
      <c r="AU6346"/>
      <c r="AV6346"/>
    </row>
    <row r="6347" spans="41:48" x14ac:dyDescent="0.35">
      <c r="AO6347"/>
      <c r="AP6347"/>
      <c r="AQ6347"/>
      <c r="AR6347"/>
      <c r="AS6347"/>
      <c r="AT6347"/>
      <c r="AU6347"/>
      <c r="AV6347"/>
    </row>
    <row r="6348" spans="41:48" x14ac:dyDescent="0.35">
      <c r="AO6348"/>
      <c r="AP6348"/>
      <c r="AQ6348"/>
      <c r="AR6348"/>
      <c r="AS6348"/>
      <c r="AT6348"/>
      <c r="AU6348"/>
      <c r="AV6348"/>
    </row>
    <row r="6349" spans="41:48" x14ac:dyDescent="0.35">
      <c r="AO6349"/>
      <c r="AP6349"/>
      <c r="AQ6349"/>
      <c r="AR6349"/>
      <c r="AS6349"/>
      <c r="AT6349"/>
      <c r="AU6349"/>
      <c r="AV6349"/>
    </row>
    <row r="6350" spans="41:48" x14ac:dyDescent="0.35">
      <c r="AO6350"/>
      <c r="AP6350"/>
      <c r="AQ6350"/>
      <c r="AR6350"/>
      <c r="AS6350"/>
      <c r="AT6350"/>
      <c r="AU6350"/>
      <c r="AV6350"/>
    </row>
    <row r="6351" spans="41:48" x14ac:dyDescent="0.35">
      <c r="AO6351"/>
      <c r="AP6351"/>
      <c r="AQ6351"/>
      <c r="AR6351"/>
      <c r="AS6351"/>
      <c r="AT6351"/>
      <c r="AU6351"/>
      <c r="AV6351"/>
    </row>
    <row r="6352" spans="41:48" x14ac:dyDescent="0.35">
      <c r="AO6352"/>
      <c r="AP6352"/>
      <c r="AQ6352"/>
      <c r="AR6352"/>
      <c r="AS6352"/>
      <c r="AT6352"/>
      <c r="AU6352"/>
      <c r="AV6352"/>
    </row>
    <row r="6353" spans="41:48" x14ac:dyDescent="0.35">
      <c r="AO6353"/>
      <c r="AP6353"/>
      <c r="AQ6353"/>
      <c r="AR6353"/>
      <c r="AS6353"/>
      <c r="AT6353"/>
      <c r="AU6353"/>
      <c r="AV6353"/>
    </row>
    <row r="6354" spans="41:48" x14ac:dyDescent="0.35">
      <c r="AO6354"/>
      <c r="AP6354"/>
      <c r="AQ6354"/>
      <c r="AR6354"/>
      <c r="AS6354"/>
      <c r="AT6354"/>
      <c r="AU6354"/>
      <c r="AV6354"/>
    </row>
    <row r="6355" spans="41:48" x14ac:dyDescent="0.35">
      <c r="AO6355"/>
      <c r="AP6355"/>
      <c r="AQ6355"/>
      <c r="AR6355"/>
      <c r="AS6355"/>
      <c r="AT6355"/>
      <c r="AU6355"/>
      <c r="AV6355"/>
    </row>
    <row r="6356" spans="41:48" x14ac:dyDescent="0.35">
      <c r="AO6356"/>
      <c r="AP6356"/>
      <c r="AQ6356"/>
      <c r="AR6356"/>
      <c r="AS6356"/>
      <c r="AT6356"/>
      <c r="AU6356"/>
      <c r="AV6356"/>
    </row>
    <row r="6357" spans="41:48" x14ac:dyDescent="0.35">
      <c r="AO6357"/>
      <c r="AP6357"/>
      <c r="AQ6357"/>
      <c r="AR6357"/>
      <c r="AS6357"/>
      <c r="AT6357"/>
      <c r="AU6357"/>
      <c r="AV6357"/>
    </row>
    <row r="6358" spans="41:48" x14ac:dyDescent="0.35">
      <c r="AO6358"/>
      <c r="AP6358"/>
      <c r="AQ6358"/>
      <c r="AR6358"/>
      <c r="AS6358"/>
      <c r="AT6358"/>
      <c r="AU6358"/>
      <c r="AV6358"/>
    </row>
    <row r="6359" spans="41:48" x14ac:dyDescent="0.35">
      <c r="AO6359"/>
      <c r="AP6359"/>
      <c r="AQ6359"/>
      <c r="AR6359"/>
      <c r="AS6359"/>
      <c r="AT6359"/>
      <c r="AU6359"/>
      <c r="AV6359"/>
    </row>
    <row r="6360" spans="41:48" x14ac:dyDescent="0.35">
      <c r="AO6360"/>
      <c r="AP6360"/>
      <c r="AQ6360"/>
      <c r="AR6360"/>
      <c r="AS6360"/>
      <c r="AT6360"/>
      <c r="AU6360"/>
      <c r="AV6360"/>
    </row>
    <row r="6361" spans="41:48" x14ac:dyDescent="0.35">
      <c r="AO6361"/>
      <c r="AP6361"/>
      <c r="AQ6361"/>
      <c r="AR6361"/>
      <c r="AS6361"/>
      <c r="AT6361"/>
      <c r="AU6361"/>
      <c r="AV6361"/>
    </row>
    <row r="6362" spans="41:48" x14ac:dyDescent="0.35">
      <c r="AO6362"/>
      <c r="AP6362"/>
      <c r="AQ6362"/>
      <c r="AR6362"/>
      <c r="AS6362"/>
      <c r="AT6362"/>
      <c r="AU6362"/>
      <c r="AV6362"/>
    </row>
    <row r="6363" spans="41:48" x14ac:dyDescent="0.35">
      <c r="AO6363"/>
      <c r="AP6363"/>
      <c r="AQ6363"/>
      <c r="AR6363"/>
      <c r="AS6363"/>
      <c r="AT6363"/>
      <c r="AU6363"/>
      <c r="AV6363"/>
    </row>
    <row r="6364" spans="41:48" x14ac:dyDescent="0.35">
      <c r="AO6364"/>
      <c r="AP6364"/>
      <c r="AQ6364"/>
      <c r="AR6364"/>
      <c r="AS6364"/>
      <c r="AT6364"/>
      <c r="AU6364"/>
      <c r="AV6364"/>
    </row>
    <row r="6365" spans="41:48" x14ac:dyDescent="0.35">
      <c r="AO6365"/>
      <c r="AP6365"/>
      <c r="AQ6365"/>
      <c r="AR6365"/>
      <c r="AS6365"/>
      <c r="AT6365"/>
      <c r="AU6365"/>
      <c r="AV6365"/>
    </row>
    <row r="6366" spans="41:48" x14ac:dyDescent="0.35">
      <c r="AO6366"/>
      <c r="AP6366"/>
      <c r="AQ6366"/>
      <c r="AR6366"/>
      <c r="AS6366"/>
      <c r="AT6366"/>
      <c r="AU6366"/>
      <c r="AV6366"/>
    </row>
    <row r="6367" spans="41:48" x14ac:dyDescent="0.35">
      <c r="AO6367"/>
      <c r="AP6367"/>
      <c r="AQ6367"/>
      <c r="AR6367"/>
      <c r="AS6367"/>
      <c r="AT6367"/>
      <c r="AU6367"/>
      <c r="AV6367"/>
    </row>
    <row r="6368" spans="41:48" x14ac:dyDescent="0.35">
      <c r="AO6368"/>
      <c r="AP6368"/>
      <c r="AQ6368"/>
      <c r="AR6368"/>
      <c r="AS6368"/>
      <c r="AT6368"/>
      <c r="AU6368"/>
      <c r="AV6368"/>
    </row>
    <row r="6369" spans="41:48" x14ac:dyDescent="0.35">
      <c r="AO6369"/>
      <c r="AP6369"/>
      <c r="AQ6369"/>
      <c r="AR6369"/>
      <c r="AS6369"/>
      <c r="AT6369"/>
      <c r="AU6369"/>
      <c r="AV6369"/>
    </row>
    <row r="6370" spans="41:48" x14ac:dyDescent="0.35">
      <c r="AO6370"/>
      <c r="AP6370"/>
      <c r="AQ6370"/>
      <c r="AR6370"/>
      <c r="AS6370"/>
      <c r="AT6370"/>
      <c r="AU6370"/>
      <c r="AV6370"/>
    </row>
    <row r="6371" spans="41:48" x14ac:dyDescent="0.35">
      <c r="AO6371"/>
      <c r="AP6371"/>
      <c r="AQ6371"/>
      <c r="AR6371"/>
      <c r="AS6371"/>
      <c r="AT6371"/>
      <c r="AU6371"/>
      <c r="AV6371"/>
    </row>
    <row r="6372" spans="41:48" x14ac:dyDescent="0.35">
      <c r="AO6372"/>
      <c r="AP6372"/>
      <c r="AQ6372"/>
      <c r="AR6372"/>
      <c r="AS6372"/>
      <c r="AT6372"/>
      <c r="AU6372"/>
      <c r="AV6372"/>
    </row>
    <row r="6373" spans="41:48" x14ac:dyDescent="0.35">
      <c r="AO6373"/>
      <c r="AP6373"/>
      <c r="AQ6373"/>
      <c r="AR6373"/>
      <c r="AS6373"/>
      <c r="AT6373"/>
      <c r="AU6373"/>
      <c r="AV6373"/>
    </row>
    <row r="6374" spans="41:48" x14ac:dyDescent="0.35">
      <c r="AO6374"/>
      <c r="AP6374"/>
      <c r="AQ6374"/>
      <c r="AR6374"/>
      <c r="AS6374"/>
      <c r="AT6374"/>
      <c r="AU6374"/>
      <c r="AV6374"/>
    </row>
    <row r="6375" spans="41:48" x14ac:dyDescent="0.35">
      <c r="AO6375"/>
      <c r="AP6375"/>
      <c r="AQ6375"/>
      <c r="AR6375"/>
      <c r="AS6375"/>
      <c r="AT6375"/>
      <c r="AU6375"/>
      <c r="AV6375"/>
    </row>
    <row r="6376" spans="41:48" x14ac:dyDescent="0.35">
      <c r="AO6376"/>
      <c r="AP6376"/>
      <c r="AQ6376"/>
      <c r="AR6376"/>
      <c r="AS6376"/>
      <c r="AT6376"/>
      <c r="AU6376"/>
      <c r="AV6376"/>
    </row>
    <row r="6377" spans="41:48" x14ac:dyDescent="0.35">
      <c r="AO6377"/>
      <c r="AP6377"/>
      <c r="AQ6377"/>
      <c r="AR6377"/>
      <c r="AS6377"/>
      <c r="AT6377"/>
      <c r="AU6377"/>
      <c r="AV6377"/>
    </row>
    <row r="6378" spans="41:48" x14ac:dyDescent="0.35">
      <c r="AO6378"/>
      <c r="AP6378"/>
      <c r="AQ6378"/>
      <c r="AR6378"/>
      <c r="AS6378"/>
      <c r="AT6378"/>
      <c r="AU6378"/>
      <c r="AV6378"/>
    </row>
    <row r="6379" spans="41:48" x14ac:dyDescent="0.35">
      <c r="AO6379"/>
      <c r="AP6379"/>
      <c r="AQ6379"/>
      <c r="AR6379"/>
      <c r="AS6379"/>
      <c r="AT6379"/>
      <c r="AU6379"/>
      <c r="AV6379"/>
    </row>
    <row r="6380" spans="41:48" x14ac:dyDescent="0.35">
      <c r="AO6380"/>
      <c r="AP6380"/>
      <c r="AQ6380"/>
      <c r="AR6380"/>
      <c r="AS6380"/>
      <c r="AT6380"/>
      <c r="AU6380"/>
      <c r="AV6380"/>
    </row>
    <row r="6381" spans="41:48" x14ac:dyDescent="0.35">
      <c r="AO6381"/>
      <c r="AP6381"/>
      <c r="AQ6381"/>
      <c r="AR6381"/>
      <c r="AS6381"/>
      <c r="AT6381"/>
      <c r="AU6381"/>
      <c r="AV6381"/>
    </row>
    <row r="6382" spans="41:48" x14ac:dyDescent="0.35">
      <c r="AO6382"/>
      <c r="AP6382"/>
      <c r="AQ6382"/>
      <c r="AR6382"/>
      <c r="AS6382"/>
      <c r="AT6382"/>
      <c r="AU6382"/>
      <c r="AV6382"/>
    </row>
    <row r="6383" spans="41:48" x14ac:dyDescent="0.35">
      <c r="AO6383"/>
      <c r="AP6383"/>
      <c r="AQ6383"/>
      <c r="AR6383"/>
      <c r="AS6383"/>
      <c r="AT6383"/>
      <c r="AU6383"/>
      <c r="AV6383"/>
    </row>
    <row r="6384" spans="41:48" x14ac:dyDescent="0.35">
      <c r="AO6384"/>
      <c r="AP6384"/>
      <c r="AQ6384"/>
      <c r="AR6384"/>
      <c r="AS6384"/>
      <c r="AT6384"/>
      <c r="AU6384"/>
      <c r="AV6384"/>
    </row>
    <row r="6385" spans="41:48" x14ac:dyDescent="0.35">
      <c r="AO6385"/>
      <c r="AP6385"/>
      <c r="AQ6385"/>
      <c r="AR6385"/>
      <c r="AS6385"/>
      <c r="AT6385"/>
      <c r="AU6385"/>
      <c r="AV6385"/>
    </row>
    <row r="6386" spans="41:48" x14ac:dyDescent="0.35">
      <c r="AO6386"/>
      <c r="AP6386"/>
      <c r="AQ6386"/>
      <c r="AR6386"/>
      <c r="AS6386"/>
      <c r="AT6386"/>
      <c r="AU6386"/>
      <c r="AV6386"/>
    </row>
    <row r="6387" spans="41:48" x14ac:dyDescent="0.35">
      <c r="AO6387"/>
      <c r="AP6387"/>
      <c r="AQ6387"/>
      <c r="AR6387"/>
      <c r="AS6387"/>
      <c r="AT6387"/>
      <c r="AU6387"/>
      <c r="AV6387"/>
    </row>
    <row r="6388" spans="41:48" x14ac:dyDescent="0.35">
      <c r="AO6388"/>
      <c r="AP6388"/>
      <c r="AQ6388"/>
      <c r="AR6388"/>
      <c r="AS6388"/>
      <c r="AT6388"/>
      <c r="AU6388"/>
      <c r="AV6388"/>
    </row>
    <row r="6389" spans="41:48" x14ac:dyDescent="0.35">
      <c r="AO6389"/>
      <c r="AP6389"/>
      <c r="AQ6389"/>
      <c r="AR6389"/>
      <c r="AS6389"/>
      <c r="AT6389"/>
      <c r="AU6389"/>
      <c r="AV6389"/>
    </row>
    <row r="6390" spans="41:48" x14ac:dyDescent="0.35">
      <c r="AO6390"/>
      <c r="AP6390"/>
      <c r="AQ6390"/>
      <c r="AR6390"/>
      <c r="AS6390"/>
      <c r="AT6390"/>
      <c r="AU6390"/>
      <c r="AV6390"/>
    </row>
    <row r="6391" spans="41:48" x14ac:dyDescent="0.35">
      <c r="AO6391"/>
      <c r="AP6391"/>
      <c r="AQ6391"/>
      <c r="AR6391"/>
      <c r="AS6391"/>
      <c r="AT6391"/>
      <c r="AU6391"/>
      <c r="AV6391"/>
    </row>
    <row r="6392" spans="41:48" x14ac:dyDescent="0.35">
      <c r="AO6392"/>
      <c r="AP6392"/>
      <c r="AQ6392"/>
      <c r="AR6392"/>
      <c r="AS6392"/>
      <c r="AT6392"/>
      <c r="AU6392"/>
      <c r="AV6392"/>
    </row>
    <row r="6393" spans="41:48" x14ac:dyDescent="0.35">
      <c r="AO6393"/>
      <c r="AP6393"/>
      <c r="AQ6393"/>
      <c r="AR6393"/>
      <c r="AS6393"/>
      <c r="AT6393"/>
      <c r="AU6393"/>
      <c r="AV6393"/>
    </row>
    <row r="6394" spans="41:48" x14ac:dyDescent="0.35">
      <c r="AO6394"/>
      <c r="AP6394"/>
      <c r="AQ6394"/>
      <c r="AR6394"/>
      <c r="AS6394"/>
      <c r="AT6394"/>
      <c r="AU6394"/>
      <c r="AV6394"/>
    </row>
    <row r="6395" spans="41:48" x14ac:dyDescent="0.35">
      <c r="AO6395"/>
      <c r="AP6395"/>
      <c r="AQ6395"/>
      <c r="AR6395"/>
      <c r="AS6395"/>
      <c r="AT6395"/>
      <c r="AU6395"/>
      <c r="AV6395"/>
    </row>
    <row r="6396" spans="41:48" x14ac:dyDescent="0.35">
      <c r="AO6396"/>
      <c r="AP6396"/>
      <c r="AQ6396"/>
      <c r="AR6396"/>
      <c r="AS6396"/>
      <c r="AT6396"/>
      <c r="AU6396"/>
      <c r="AV6396"/>
    </row>
    <row r="6397" spans="41:48" x14ac:dyDescent="0.35">
      <c r="AO6397"/>
      <c r="AP6397"/>
      <c r="AQ6397"/>
      <c r="AR6397"/>
      <c r="AS6397"/>
      <c r="AT6397"/>
      <c r="AU6397"/>
      <c r="AV6397"/>
    </row>
    <row r="6398" spans="41:48" x14ac:dyDescent="0.35">
      <c r="AO6398"/>
      <c r="AP6398"/>
      <c r="AQ6398"/>
      <c r="AR6398"/>
      <c r="AS6398"/>
      <c r="AT6398"/>
      <c r="AU6398"/>
      <c r="AV6398"/>
    </row>
    <row r="6399" spans="41:48" x14ac:dyDescent="0.35">
      <c r="AO6399"/>
      <c r="AP6399"/>
      <c r="AQ6399"/>
      <c r="AR6399"/>
      <c r="AS6399"/>
      <c r="AT6399"/>
      <c r="AU6399"/>
      <c r="AV6399"/>
    </row>
    <row r="6400" spans="41:48" x14ac:dyDescent="0.35">
      <c r="AO6400"/>
      <c r="AP6400"/>
      <c r="AQ6400"/>
      <c r="AR6400"/>
      <c r="AS6400"/>
      <c r="AT6400"/>
      <c r="AU6400"/>
      <c r="AV6400"/>
    </row>
    <row r="6401" spans="41:48" x14ac:dyDescent="0.35">
      <c r="AO6401"/>
      <c r="AP6401"/>
      <c r="AQ6401"/>
      <c r="AR6401"/>
      <c r="AS6401"/>
      <c r="AT6401"/>
      <c r="AU6401"/>
      <c r="AV6401"/>
    </row>
    <row r="6402" spans="41:48" x14ac:dyDescent="0.35">
      <c r="AO6402"/>
      <c r="AP6402"/>
      <c r="AQ6402"/>
      <c r="AR6402"/>
      <c r="AS6402"/>
      <c r="AT6402"/>
      <c r="AU6402"/>
      <c r="AV6402"/>
    </row>
    <row r="6403" spans="41:48" x14ac:dyDescent="0.35">
      <c r="AO6403"/>
      <c r="AP6403"/>
      <c r="AQ6403"/>
      <c r="AR6403"/>
      <c r="AS6403"/>
      <c r="AT6403"/>
      <c r="AU6403"/>
      <c r="AV6403"/>
    </row>
    <row r="6404" spans="41:48" x14ac:dyDescent="0.35">
      <c r="AO6404"/>
      <c r="AP6404"/>
      <c r="AQ6404"/>
      <c r="AR6404"/>
      <c r="AS6404"/>
      <c r="AT6404"/>
      <c r="AU6404"/>
      <c r="AV6404"/>
    </row>
    <row r="6405" spans="41:48" x14ac:dyDescent="0.35">
      <c r="AO6405"/>
      <c r="AP6405"/>
      <c r="AQ6405"/>
      <c r="AR6405"/>
      <c r="AS6405"/>
      <c r="AT6405"/>
      <c r="AU6405"/>
      <c r="AV6405"/>
    </row>
    <row r="6406" spans="41:48" x14ac:dyDescent="0.35">
      <c r="AO6406"/>
      <c r="AP6406"/>
      <c r="AQ6406"/>
      <c r="AR6406"/>
      <c r="AS6406"/>
      <c r="AT6406"/>
      <c r="AU6406"/>
      <c r="AV6406"/>
    </row>
    <row r="6407" spans="41:48" x14ac:dyDescent="0.35">
      <c r="AO6407"/>
      <c r="AP6407"/>
      <c r="AQ6407"/>
      <c r="AR6407"/>
      <c r="AS6407"/>
      <c r="AT6407"/>
      <c r="AU6407"/>
      <c r="AV6407"/>
    </row>
    <row r="6408" spans="41:48" x14ac:dyDescent="0.35">
      <c r="AO6408"/>
      <c r="AP6408"/>
      <c r="AQ6408"/>
      <c r="AR6408"/>
      <c r="AS6408"/>
      <c r="AT6408"/>
      <c r="AU6408"/>
      <c r="AV6408"/>
    </row>
    <row r="6409" spans="41:48" x14ac:dyDescent="0.35">
      <c r="AO6409"/>
      <c r="AP6409"/>
      <c r="AQ6409"/>
      <c r="AR6409"/>
      <c r="AS6409"/>
      <c r="AT6409"/>
      <c r="AU6409"/>
      <c r="AV6409"/>
    </row>
    <row r="6410" spans="41:48" x14ac:dyDescent="0.35">
      <c r="AO6410"/>
      <c r="AP6410"/>
      <c r="AQ6410"/>
      <c r="AR6410"/>
      <c r="AS6410"/>
      <c r="AT6410"/>
      <c r="AU6410"/>
      <c r="AV6410"/>
    </row>
    <row r="6411" spans="41:48" x14ac:dyDescent="0.35">
      <c r="AO6411"/>
      <c r="AP6411"/>
      <c r="AQ6411"/>
      <c r="AR6411"/>
      <c r="AS6411"/>
      <c r="AT6411"/>
      <c r="AU6411"/>
      <c r="AV6411"/>
    </row>
    <row r="6412" spans="41:48" x14ac:dyDescent="0.35">
      <c r="AO6412"/>
      <c r="AP6412"/>
      <c r="AQ6412"/>
      <c r="AR6412"/>
      <c r="AS6412"/>
      <c r="AT6412"/>
      <c r="AU6412"/>
      <c r="AV6412"/>
    </row>
    <row r="6413" spans="41:48" x14ac:dyDescent="0.35">
      <c r="AO6413"/>
      <c r="AP6413"/>
      <c r="AQ6413"/>
      <c r="AR6413"/>
      <c r="AS6413"/>
      <c r="AT6413"/>
      <c r="AU6413"/>
      <c r="AV6413"/>
    </row>
    <row r="6414" spans="41:48" x14ac:dyDescent="0.35">
      <c r="AO6414"/>
      <c r="AP6414"/>
      <c r="AQ6414"/>
      <c r="AR6414"/>
      <c r="AS6414"/>
      <c r="AT6414"/>
      <c r="AU6414"/>
      <c r="AV6414"/>
    </row>
    <row r="6415" spans="41:48" x14ac:dyDescent="0.35">
      <c r="AO6415"/>
      <c r="AP6415"/>
      <c r="AQ6415"/>
      <c r="AR6415"/>
      <c r="AS6415"/>
      <c r="AT6415"/>
      <c r="AU6415"/>
      <c r="AV6415"/>
    </row>
    <row r="6416" spans="41:48" x14ac:dyDescent="0.35">
      <c r="AO6416"/>
      <c r="AP6416"/>
      <c r="AQ6416"/>
      <c r="AR6416"/>
      <c r="AS6416"/>
      <c r="AT6416"/>
      <c r="AU6416"/>
      <c r="AV6416"/>
    </row>
    <row r="6417" spans="41:48" x14ac:dyDescent="0.35">
      <c r="AO6417"/>
      <c r="AP6417"/>
      <c r="AQ6417"/>
      <c r="AR6417"/>
      <c r="AS6417"/>
      <c r="AT6417"/>
      <c r="AU6417"/>
      <c r="AV6417"/>
    </row>
    <row r="6418" spans="41:48" x14ac:dyDescent="0.35">
      <c r="AO6418"/>
      <c r="AP6418"/>
      <c r="AQ6418"/>
      <c r="AR6418"/>
      <c r="AS6418"/>
      <c r="AT6418"/>
      <c r="AU6418"/>
      <c r="AV6418"/>
    </row>
    <row r="6419" spans="41:48" x14ac:dyDescent="0.35">
      <c r="AO6419"/>
      <c r="AP6419"/>
      <c r="AQ6419"/>
      <c r="AR6419"/>
      <c r="AS6419"/>
      <c r="AT6419"/>
      <c r="AU6419"/>
      <c r="AV6419"/>
    </row>
    <row r="6420" spans="41:48" x14ac:dyDescent="0.35">
      <c r="AO6420"/>
      <c r="AP6420"/>
      <c r="AQ6420"/>
      <c r="AR6420"/>
      <c r="AS6420"/>
      <c r="AT6420"/>
      <c r="AU6420"/>
      <c r="AV6420"/>
    </row>
    <row r="6421" spans="41:48" x14ac:dyDescent="0.35">
      <c r="AO6421"/>
      <c r="AP6421"/>
      <c r="AQ6421"/>
      <c r="AR6421"/>
      <c r="AS6421"/>
      <c r="AT6421"/>
      <c r="AU6421"/>
      <c r="AV6421"/>
    </row>
    <row r="6422" spans="41:48" x14ac:dyDescent="0.35">
      <c r="AO6422"/>
      <c r="AP6422"/>
      <c r="AQ6422"/>
      <c r="AR6422"/>
      <c r="AS6422"/>
      <c r="AT6422"/>
      <c r="AU6422"/>
      <c r="AV6422"/>
    </row>
    <row r="6423" spans="41:48" x14ac:dyDescent="0.35">
      <c r="AO6423"/>
      <c r="AP6423"/>
      <c r="AQ6423"/>
      <c r="AR6423"/>
      <c r="AS6423"/>
      <c r="AT6423"/>
      <c r="AU6423"/>
      <c r="AV6423"/>
    </row>
    <row r="6424" spans="41:48" x14ac:dyDescent="0.35">
      <c r="AO6424"/>
      <c r="AP6424"/>
      <c r="AQ6424"/>
      <c r="AR6424"/>
      <c r="AS6424"/>
      <c r="AT6424"/>
      <c r="AU6424"/>
      <c r="AV6424"/>
    </row>
    <row r="6425" spans="41:48" x14ac:dyDescent="0.35">
      <c r="AO6425"/>
      <c r="AP6425"/>
      <c r="AQ6425"/>
      <c r="AR6425"/>
      <c r="AS6425"/>
      <c r="AT6425"/>
      <c r="AU6425"/>
      <c r="AV6425"/>
    </row>
    <row r="6426" spans="41:48" x14ac:dyDescent="0.35">
      <c r="AO6426"/>
      <c r="AP6426"/>
      <c r="AQ6426"/>
      <c r="AR6426"/>
      <c r="AS6426"/>
      <c r="AT6426"/>
      <c r="AU6426"/>
      <c r="AV6426"/>
    </row>
    <row r="6427" spans="41:48" x14ac:dyDescent="0.35">
      <c r="AO6427"/>
      <c r="AP6427"/>
      <c r="AQ6427"/>
      <c r="AR6427"/>
      <c r="AS6427"/>
      <c r="AT6427"/>
      <c r="AU6427"/>
      <c r="AV6427"/>
    </row>
    <row r="6428" spans="41:48" x14ac:dyDescent="0.35">
      <c r="AO6428"/>
      <c r="AP6428"/>
      <c r="AQ6428"/>
      <c r="AR6428"/>
      <c r="AS6428"/>
      <c r="AT6428"/>
      <c r="AU6428"/>
      <c r="AV6428"/>
    </row>
    <row r="6429" spans="41:48" x14ac:dyDescent="0.35">
      <c r="AO6429"/>
      <c r="AP6429"/>
      <c r="AQ6429"/>
      <c r="AR6429"/>
      <c r="AS6429"/>
      <c r="AT6429"/>
      <c r="AU6429"/>
      <c r="AV6429"/>
    </row>
    <row r="6430" spans="41:48" x14ac:dyDescent="0.35">
      <c r="AO6430"/>
      <c r="AP6430"/>
      <c r="AQ6430"/>
      <c r="AR6430"/>
      <c r="AS6430"/>
      <c r="AT6430"/>
      <c r="AU6430"/>
      <c r="AV6430"/>
    </row>
    <row r="6431" spans="41:48" x14ac:dyDescent="0.35">
      <c r="AO6431"/>
      <c r="AP6431"/>
      <c r="AQ6431"/>
      <c r="AR6431"/>
      <c r="AS6431"/>
      <c r="AT6431"/>
      <c r="AU6431"/>
      <c r="AV6431"/>
    </row>
    <row r="6432" spans="41:48" x14ac:dyDescent="0.35">
      <c r="AO6432"/>
      <c r="AP6432"/>
      <c r="AQ6432"/>
      <c r="AR6432"/>
      <c r="AS6432"/>
      <c r="AT6432"/>
      <c r="AU6432"/>
      <c r="AV6432"/>
    </row>
    <row r="6433" spans="41:48" x14ac:dyDescent="0.35">
      <c r="AO6433"/>
      <c r="AP6433"/>
      <c r="AQ6433"/>
      <c r="AR6433"/>
      <c r="AS6433"/>
      <c r="AT6433"/>
      <c r="AU6433"/>
      <c r="AV6433"/>
    </row>
    <row r="6434" spans="41:48" x14ac:dyDescent="0.35">
      <c r="AO6434"/>
      <c r="AP6434"/>
      <c r="AQ6434"/>
      <c r="AR6434"/>
      <c r="AS6434"/>
      <c r="AT6434"/>
      <c r="AU6434"/>
      <c r="AV6434"/>
    </row>
    <row r="6435" spans="41:48" x14ac:dyDescent="0.35">
      <c r="AO6435"/>
      <c r="AP6435"/>
      <c r="AQ6435"/>
      <c r="AR6435"/>
      <c r="AS6435"/>
      <c r="AT6435"/>
      <c r="AU6435"/>
      <c r="AV6435"/>
    </row>
    <row r="6436" spans="41:48" x14ac:dyDescent="0.35">
      <c r="AO6436"/>
      <c r="AP6436"/>
      <c r="AQ6436"/>
      <c r="AR6436"/>
      <c r="AS6436"/>
      <c r="AT6436"/>
      <c r="AU6436"/>
      <c r="AV6436"/>
    </row>
    <row r="6437" spans="41:48" x14ac:dyDescent="0.35">
      <c r="AO6437"/>
      <c r="AP6437"/>
      <c r="AQ6437"/>
      <c r="AR6437"/>
      <c r="AS6437"/>
      <c r="AT6437"/>
      <c r="AU6437"/>
      <c r="AV6437"/>
    </row>
    <row r="6438" spans="41:48" x14ac:dyDescent="0.35">
      <c r="AO6438"/>
      <c r="AP6438"/>
      <c r="AQ6438"/>
      <c r="AR6438"/>
      <c r="AS6438"/>
      <c r="AT6438"/>
      <c r="AU6438"/>
      <c r="AV6438"/>
    </row>
    <row r="6439" spans="41:48" x14ac:dyDescent="0.35">
      <c r="AO6439"/>
      <c r="AP6439"/>
      <c r="AQ6439"/>
      <c r="AR6439"/>
      <c r="AS6439"/>
      <c r="AT6439"/>
      <c r="AU6439"/>
      <c r="AV6439"/>
    </row>
    <row r="6440" spans="41:48" x14ac:dyDescent="0.35">
      <c r="AO6440"/>
      <c r="AP6440"/>
      <c r="AQ6440"/>
      <c r="AR6440"/>
      <c r="AS6440"/>
      <c r="AT6440"/>
      <c r="AU6440"/>
      <c r="AV6440"/>
    </row>
    <row r="6441" spans="41:48" x14ac:dyDescent="0.35">
      <c r="AO6441"/>
      <c r="AP6441"/>
      <c r="AQ6441"/>
      <c r="AR6441"/>
      <c r="AS6441"/>
      <c r="AT6441"/>
      <c r="AU6441"/>
      <c r="AV6441"/>
    </row>
    <row r="6442" spans="41:48" x14ac:dyDescent="0.35">
      <c r="AO6442"/>
      <c r="AP6442"/>
      <c r="AQ6442"/>
      <c r="AR6442"/>
      <c r="AS6442"/>
      <c r="AT6442"/>
      <c r="AU6442"/>
      <c r="AV6442"/>
    </row>
    <row r="6443" spans="41:48" x14ac:dyDescent="0.35">
      <c r="AO6443"/>
      <c r="AP6443"/>
      <c r="AQ6443"/>
      <c r="AR6443"/>
      <c r="AS6443"/>
      <c r="AT6443"/>
      <c r="AU6443"/>
      <c r="AV6443"/>
    </row>
    <row r="6444" spans="41:48" x14ac:dyDescent="0.35">
      <c r="AO6444"/>
      <c r="AP6444"/>
      <c r="AQ6444"/>
      <c r="AR6444"/>
      <c r="AS6444"/>
      <c r="AT6444"/>
      <c r="AU6444"/>
      <c r="AV6444"/>
    </row>
    <row r="6445" spans="41:48" x14ac:dyDescent="0.35">
      <c r="AO6445"/>
      <c r="AP6445"/>
      <c r="AQ6445"/>
      <c r="AR6445"/>
      <c r="AS6445"/>
      <c r="AT6445"/>
      <c r="AU6445"/>
      <c r="AV6445"/>
    </row>
    <row r="6446" spans="41:48" x14ac:dyDescent="0.35">
      <c r="AO6446"/>
      <c r="AP6446"/>
      <c r="AQ6446"/>
      <c r="AR6446"/>
      <c r="AS6446"/>
      <c r="AT6446"/>
      <c r="AU6446"/>
      <c r="AV6446"/>
    </row>
    <row r="6447" spans="41:48" x14ac:dyDescent="0.35">
      <c r="AO6447"/>
      <c r="AP6447"/>
      <c r="AQ6447"/>
      <c r="AR6447"/>
      <c r="AS6447"/>
      <c r="AT6447"/>
      <c r="AU6447"/>
      <c r="AV6447"/>
    </row>
    <row r="6448" spans="41:48" x14ac:dyDescent="0.35">
      <c r="AO6448"/>
      <c r="AP6448"/>
      <c r="AQ6448"/>
      <c r="AR6448"/>
      <c r="AS6448"/>
      <c r="AT6448"/>
      <c r="AU6448"/>
      <c r="AV6448"/>
    </row>
    <row r="6449" spans="41:48" x14ac:dyDescent="0.35">
      <c r="AO6449"/>
      <c r="AP6449"/>
      <c r="AQ6449"/>
      <c r="AR6449"/>
      <c r="AS6449"/>
      <c r="AT6449"/>
      <c r="AU6449"/>
      <c r="AV6449"/>
    </row>
    <row r="6450" spans="41:48" x14ac:dyDescent="0.35">
      <c r="AO6450"/>
      <c r="AP6450"/>
      <c r="AQ6450"/>
      <c r="AR6450"/>
      <c r="AS6450"/>
      <c r="AT6450"/>
      <c r="AU6450"/>
      <c r="AV6450"/>
    </row>
    <row r="6451" spans="41:48" x14ac:dyDescent="0.35">
      <c r="AO6451"/>
      <c r="AP6451"/>
      <c r="AQ6451"/>
      <c r="AR6451"/>
      <c r="AS6451"/>
      <c r="AT6451"/>
      <c r="AU6451"/>
      <c r="AV6451"/>
    </row>
    <row r="6452" spans="41:48" x14ac:dyDescent="0.35">
      <c r="AO6452"/>
      <c r="AP6452"/>
      <c r="AQ6452"/>
      <c r="AR6452"/>
      <c r="AS6452"/>
      <c r="AT6452"/>
      <c r="AU6452"/>
      <c r="AV6452"/>
    </row>
    <row r="6453" spans="41:48" x14ac:dyDescent="0.35">
      <c r="AO6453"/>
      <c r="AP6453"/>
      <c r="AQ6453"/>
      <c r="AR6453"/>
      <c r="AS6453"/>
      <c r="AT6453"/>
      <c r="AU6453"/>
      <c r="AV6453"/>
    </row>
    <row r="6454" spans="41:48" x14ac:dyDescent="0.35">
      <c r="AO6454"/>
      <c r="AP6454"/>
      <c r="AQ6454"/>
      <c r="AR6454"/>
      <c r="AS6454"/>
      <c r="AT6454"/>
      <c r="AU6454"/>
      <c r="AV6454"/>
    </row>
    <row r="6455" spans="41:48" x14ac:dyDescent="0.35">
      <c r="AO6455"/>
      <c r="AP6455"/>
      <c r="AQ6455"/>
      <c r="AR6455"/>
      <c r="AS6455"/>
      <c r="AT6455"/>
      <c r="AU6455"/>
      <c r="AV6455"/>
    </row>
    <row r="6456" spans="41:48" x14ac:dyDescent="0.35">
      <c r="AO6456"/>
      <c r="AP6456"/>
      <c r="AQ6456"/>
      <c r="AR6456"/>
      <c r="AS6456"/>
      <c r="AT6456"/>
      <c r="AU6456"/>
      <c r="AV6456"/>
    </row>
    <row r="6457" spans="41:48" x14ac:dyDescent="0.35">
      <c r="AO6457"/>
      <c r="AP6457"/>
      <c r="AQ6457"/>
      <c r="AR6457"/>
      <c r="AS6457"/>
      <c r="AT6457"/>
      <c r="AU6457"/>
      <c r="AV6457"/>
    </row>
    <row r="6458" spans="41:48" x14ac:dyDescent="0.35">
      <c r="AO6458"/>
      <c r="AP6458"/>
      <c r="AQ6458"/>
      <c r="AR6458"/>
      <c r="AS6458"/>
      <c r="AT6458"/>
      <c r="AU6458"/>
      <c r="AV6458"/>
    </row>
    <row r="6459" spans="41:48" x14ac:dyDescent="0.35">
      <c r="AO6459"/>
      <c r="AP6459"/>
      <c r="AQ6459"/>
      <c r="AR6459"/>
      <c r="AS6459"/>
      <c r="AT6459"/>
      <c r="AU6459"/>
      <c r="AV6459"/>
    </row>
    <row r="6460" spans="41:48" x14ac:dyDescent="0.35">
      <c r="AO6460"/>
      <c r="AP6460"/>
      <c r="AQ6460"/>
      <c r="AR6460"/>
      <c r="AS6460"/>
      <c r="AT6460"/>
      <c r="AU6460"/>
      <c r="AV6460"/>
    </row>
    <row r="6461" spans="41:48" x14ac:dyDescent="0.35">
      <c r="AO6461"/>
      <c r="AP6461"/>
      <c r="AQ6461"/>
      <c r="AR6461"/>
      <c r="AS6461"/>
      <c r="AT6461"/>
      <c r="AU6461"/>
      <c r="AV6461"/>
    </row>
    <row r="6462" spans="41:48" x14ac:dyDescent="0.35">
      <c r="AO6462"/>
      <c r="AP6462"/>
      <c r="AQ6462"/>
      <c r="AR6462"/>
      <c r="AS6462"/>
      <c r="AT6462"/>
      <c r="AU6462"/>
      <c r="AV6462"/>
    </row>
    <row r="6463" spans="41:48" x14ac:dyDescent="0.35">
      <c r="AO6463"/>
      <c r="AP6463"/>
      <c r="AQ6463"/>
      <c r="AR6463"/>
      <c r="AS6463"/>
      <c r="AT6463"/>
      <c r="AU6463"/>
      <c r="AV6463"/>
    </row>
    <row r="6464" spans="41:48" x14ac:dyDescent="0.35">
      <c r="AO6464"/>
      <c r="AP6464"/>
      <c r="AQ6464"/>
      <c r="AR6464"/>
      <c r="AS6464"/>
      <c r="AT6464"/>
      <c r="AU6464"/>
      <c r="AV6464"/>
    </row>
    <row r="6465" spans="41:48" x14ac:dyDescent="0.35">
      <c r="AO6465"/>
      <c r="AP6465"/>
      <c r="AQ6465"/>
      <c r="AR6465"/>
      <c r="AS6465"/>
      <c r="AT6465"/>
      <c r="AU6465"/>
      <c r="AV6465"/>
    </row>
    <row r="6466" spans="41:48" x14ac:dyDescent="0.35">
      <c r="AO6466"/>
      <c r="AP6466"/>
      <c r="AQ6466"/>
      <c r="AR6466"/>
      <c r="AS6466"/>
      <c r="AT6466"/>
      <c r="AU6466"/>
      <c r="AV6466"/>
    </row>
    <row r="6467" spans="41:48" x14ac:dyDescent="0.35">
      <c r="AO6467"/>
      <c r="AP6467"/>
      <c r="AQ6467"/>
      <c r="AR6467"/>
      <c r="AS6467"/>
      <c r="AT6467"/>
      <c r="AU6467"/>
      <c r="AV6467"/>
    </row>
    <row r="6468" spans="41:48" x14ac:dyDescent="0.35">
      <c r="AO6468"/>
      <c r="AP6468"/>
      <c r="AQ6468"/>
      <c r="AR6468"/>
      <c r="AS6468"/>
      <c r="AT6468"/>
      <c r="AU6468"/>
      <c r="AV6468"/>
    </row>
    <row r="6469" spans="41:48" x14ac:dyDescent="0.35">
      <c r="AO6469"/>
      <c r="AP6469"/>
      <c r="AQ6469"/>
      <c r="AR6469"/>
      <c r="AS6469"/>
      <c r="AT6469"/>
      <c r="AU6469"/>
      <c r="AV6469"/>
    </row>
    <row r="6470" spans="41:48" x14ac:dyDescent="0.35">
      <c r="AO6470"/>
      <c r="AP6470"/>
      <c r="AQ6470"/>
      <c r="AR6470"/>
      <c r="AS6470"/>
      <c r="AT6470"/>
      <c r="AU6470"/>
      <c r="AV6470"/>
    </row>
    <row r="6471" spans="41:48" x14ac:dyDescent="0.35">
      <c r="AO6471"/>
      <c r="AP6471"/>
      <c r="AQ6471"/>
      <c r="AR6471"/>
      <c r="AS6471"/>
      <c r="AT6471"/>
      <c r="AU6471"/>
      <c r="AV6471"/>
    </row>
    <row r="6472" spans="41:48" x14ac:dyDescent="0.35">
      <c r="AO6472"/>
      <c r="AP6472"/>
      <c r="AQ6472"/>
      <c r="AR6472"/>
      <c r="AS6472"/>
      <c r="AT6472"/>
      <c r="AU6472"/>
      <c r="AV6472"/>
    </row>
    <row r="6473" spans="41:48" x14ac:dyDescent="0.35">
      <c r="AO6473"/>
      <c r="AP6473"/>
      <c r="AQ6473"/>
      <c r="AR6473"/>
      <c r="AS6473"/>
      <c r="AT6473"/>
      <c r="AU6473"/>
      <c r="AV6473"/>
    </row>
    <row r="6474" spans="41:48" x14ac:dyDescent="0.35">
      <c r="AO6474"/>
      <c r="AP6474"/>
      <c r="AQ6474"/>
      <c r="AR6474"/>
      <c r="AS6474"/>
      <c r="AT6474"/>
      <c r="AU6474"/>
      <c r="AV6474"/>
    </row>
    <row r="6475" spans="41:48" x14ac:dyDescent="0.35">
      <c r="AO6475"/>
      <c r="AP6475"/>
      <c r="AQ6475"/>
      <c r="AR6475"/>
      <c r="AS6475"/>
      <c r="AT6475"/>
      <c r="AU6475"/>
      <c r="AV6475"/>
    </row>
    <row r="6476" spans="41:48" x14ac:dyDescent="0.35">
      <c r="AO6476"/>
      <c r="AP6476"/>
      <c r="AQ6476"/>
      <c r="AR6476"/>
      <c r="AS6476"/>
      <c r="AT6476"/>
      <c r="AU6476"/>
      <c r="AV6476"/>
    </row>
    <row r="6477" spans="41:48" x14ac:dyDescent="0.35">
      <c r="AO6477"/>
      <c r="AP6477"/>
      <c r="AQ6477"/>
      <c r="AR6477"/>
      <c r="AS6477"/>
      <c r="AT6477"/>
      <c r="AU6477"/>
      <c r="AV6477"/>
    </row>
    <row r="6478" spans="41:48" x14ac:dyDescent="0.35">
      <c r="AO6478"/>
      <c r="AP6478"/>
      <c r="AQ6478"/>
      <c r="AR6478"/>
      <c r="AS6478"/>
      <c r="AT6478"/>
      <c r="AU6478"/>
      <c r="AV6478"/>
    </row>
    <row r="6479" spans="41:48" x14ac:dyDescent="0.35">
      <c r="AO6479"/>
      <c r="AP6479"/>
      <c r="AQ6479"/>
      <c r="AR6479"/>
      <c r="AS6479"/>
      <c r="AT6479"/>
      <c r="AU6479"/>
      <c r="AV6479"/>
    </row>
    <row r="6480" spans="41:48" x14ac:dyDescent="0.35">
      <c r="AO6480"/>
      <c r="AP6480"/>
      <c r="AQ6480"/>
      <c r="AR6480"/>
      <c r="AS6480"/>
      <c r="AT6480"/>
      <c r="AU6480"/>
      <c r="AV6480"/>
    </row>
    <row r="6481" spans="41:48" x14ac:dyDescent="0.35">
      <c r="AO6481"/>
      <c r="AP6481"/>
      <c r="AQ6481"/>
      <c r="AR6481"/>
      <c r="AS6481"/>
      <c r="AT6481"/>
      <c r="AU6481"/>
      <c r="AV6481"/>
    </row>
    <row r="6482" spans="41:48" x14ac:dyDescent="0.35">
      <c r="AO6482"/>
      <c r="AP6482"/>
      <c r="AQ6482"/>
      <c r="AR6482"/>
      <c r="AS6482"/>
      <c r="AT6482"/>
      <c r="AU6482"/>
      <c r="AV6482"/>
    </row>
    <row r="6483" spans="41:48" x14ac:dyDescent="0.35">
      <c r="AO6483"/>
      <c r="AP6483"/>
      <c r="AQ6483"/>
      <c r="AR6483"/>
      <c r="AS6483"/>
      <c r="AT6483"/>
      <c r="AU6483"/>
      <c r="AV6483"/>
    </row>
    <row r="6484" spans="41:48" x14ac:dyDescent="0.35">
      <c r="AO6484"/>
      <c r="AP6484"/>
      <c r="AQ6484"/>
      <c r="AR6484"/>
      <c r="AS6484"/>
      <c r="AT6484"/>
      <c r="AU6484"/>
      <c r="AV6484"/>
    </row>
    <row r="6485" spans="41:48" x14ac:dyDescent="0.35">
      <c r="AO6485"/>
      <c r="AP6485"/>
      <c r="AQ6485"/>
      <c r="AR6485"/>
      <c r="AS6485"/>
      <c r="AT6485"/>
      <c r="AU6485"/>
      <c r="AV6485"/>
    </row>
    <row r="6486" spans="41:48" x14ac:dyDescent="0.35">
      <c r="AO6486"/>
      <c r="AP6486"/>
      <c r="AQ6486"/>
      <c r="AR6486"/>
      <c r="AS6486"/>
      <c r="AT6486"/>
      <c r="AU6486"/>
      <c r="AV6486"/>
    </row>
    <row r="6487" spans="41:48" x14ac:dyDescent="0.35">
      <c r="AO6487"/>
      <c r="AP6487"/>
      <c r="AQ6487"/>
      <c r="AR6487"/>
      <c r="AS6487"/>
      <c r="AT6487"/>
      <c r="AU6487"/>
      <c r="AV6487"/>
    </row>
    <row r="6488" spans="41:48" x14ac:dyDescent="0.35">
      <c r="AO6488"/>
      <c r="AP6488"/>
      <c r="AQ6488"/>
      <c r="AR6488"/>
      <c r="AS6488"/>
      <c r="AT6488"/>
      <c r="AU6488"/>
      <c r="AV6488"/>
    </row>
    <row r="6489" spans="41:48" x14ac:dyDescent="0.35">
      <c r="AO6489"/>
      <c r="AP6489"/>
      <c r="AQ6489"/>
      <c r="AR6489"/>
      <c r="AS6489"/>
      <c r="AT6489"/>
      <c r="AU6489"/>
      <c r="AV6489"/>
    </row>
    <row r="6490" spans="41:48" x14ac:dyDescent="0.35">
      <c r="AO6490"/>
      <c r="AP6490"/>
      <c r="AQ6490"/>
      <c r="AR6490"/>
      <c r="AS6490"/>
      <c r="AT6490"/>
      <c r="AU6490"/>
      <c r="AV6490"/>
    </row>
    <row r="6491" spans="41:48" x14ac:dyDescent="0.35">
      <c r="AO6491"/>
      <c r="AP6491"/>
      <c r="AQ6491"/>
      <c r="AR6491"/>
      <c r="AS6491"/>
      <c r="AT6491"/>
      <c r="AU6491"/>
      <c r="AV6491"/>
    </row>
    <row r="6492" spans="41:48" x14ac:dyDescent="0.35">
      <c r="AO6492"/>
      <c r="AP6492"/>
      <c r="AQ6492"/>
      <c r="AR6492"/>
      <c r="AS6492"/>
      <c r="AT6492"/>
      <c r="AU6492"/>
      <c r="AV6492"/>
    </row>
    <row r="6493" spans="41:48" x14ac:dyDescent="0.35">
      <c r="AO6493"/>
      <c r="AP6493"/>
      <c r="AQ6493"/>
      <c r="AR6493"/>
      <c r="AS6493"/>
      <c r="AT6493"/>
      <c r="AU6493"/>
      <c r="AV6493"/>
    </row>
    <row r="6494" spans="41:48" x14ac:dyDescent="0.35">
      <c r="AO6494"/>
      <c r="AP6494"/>
      <c r="AQ6494"/>
      <c r="AR6494"/>
      <c r="AS6494"/>
      <c r="AT6494"/>
      <c r="AU6494"/>
      <c r="AV6494"/>
    </row>
    <row r="6495" spans="41:48" x14ac:dyDescent="0.35">
      <c r="AO6495"/>
      <c r="AP6495"/>
      <c r="AQ6495"/>
      <c r="AR6495"/>
      <c r="AS6495"/>
      <c r="AT6495"/>
      <c r="AU6495"/>
      <c r="AV6495"/>
    </row>
    <row r="6496" spans="41:48" x14ac:dyDescent="0.35">
      <c r="AO6496"/>
      <c r="AP6496"/>
      <c r="AQ6496"/>
      <c r="AR6496"/>
      <c r="AS6496"/>
      <c r="AT6496"/>
      <c r="AU6496"/>
      <c r="AV6496"/>
    </row>
    <row r="6497" spans="41:48" x14ac:dyDescent="0.35">
      <c r="AO6497"/>
      <c r="AP6497"/>
      <c r="AQ6497"/>
      <c r="AR6497"/>
      <c r="AS6497"/>
      <c r="AT6497"/>
      <c r="AU6497"/>
      <c r="AV6497"/>
    </row>
    <row r="6498" spans="41:48" x14ac:dyDescent="0.35">
      <c r="AO6498"/>
      <c r="AP6498"/>
      <c r="AQ6498"/>
      <c r="AR6498"/>
      <c r="AS6498"/>
      <c r="AT6498"/>
      <c r="AU6498"/>
      <c r="AV6498"/>
    </row>
    <row r="6499" spans="41:48" x14ac:dyDescent="0.35">
      <c r="AO6499"/>
      <c r="AP6499"/>
      <c r="AQ6499"/>
      <c r="AR6499"/>
      <c r="AS6499"/>
      <c r="AT6499"/>
      <c r="AU6499"/>
      <c r="AV6499"/>
    </row>
    <row r="6500" spans="41:48" x14ac:dyDescent="0.35">
      <c r="AO6500"/>
      <c r="AP6500"/>
      <c r="AQ6500"/>
      <c r="AR6500"/>
      <c r="AS6500"/>
      <c r="AT6500"/>
      <c r="AU6500"/>
      <c r="AV6500"/>
    </row>
    <row r="6501" spans="41:48" x14ac:dyDescent="0.35">
      <c r="AO6501"/>
      <c r="AP6501"/>
      <c r="AQ6501"/>
      <c r="AR6501"/>
      <c r="AS6501"/>
      <c r="AT6501"/>
      <c r="AU6501"/>
      <c r="AV6501"/>
    </row>
    <row r="6502" spans="41:48" x14ac:dyDescent="0.35">
      <c r="AO6502"/>
      <c r="AP6502"/>
      <c r="AQ6502"/>
      <c r="AR6502"/>
      <c r="AS6502"/>
      <c r="AT6502"/>
      <c r="AU6502"/>
      <c r="AV6502"/>
    </row>
    <row r="6503" spans="41:48" x14ac:dyDescent="0.35">
      <c r="AO6503"/>
      <c r="AP6503"/>
      <c r="AQ6503"/>
      <c r="AR6503"/>
      <c r="AS6503"/>
      <c r="AT6503"/>
      <c r="AU6503"/>
      <c r="AV6503"/>
    </row>
    <row r="6504" spans="41:48" x14ac:dyDescent="0.35">
      <c r="AO6504"/>
      <c r="AP6504"/>
      <c r="AQ6504"/>
      <c r="AR6504"/>
      <c r="AS6504"/>
      <c r="AT6504"/>
      <c r="AU6504"/>
      <c r="AV6504"/>
    </row>
    <row r="6505" spans="41:48" x14ac:dyDescent="0.35">
      <c r="AO6505"/>
      <c r="AP6505"/>
      <c r="AQ6505"/>
      <c r="AR6505"/>
      <c r="AS6505"/>
      <c r="AT6505"/>
      <c r="AU6505"/>
      <c r="AV6505"/>
    </row>
    <row r="6506" spans="41:48" x14ac:dyDescent="0.35">
      <c r="AO6506"/>
      <c r="AP6506"/>
      <c r="AQ6506"/>
      <c r="AR6506"/>
      <c r="AS6506"/>
      <c r="AT6506"/>
      <c r="AU6506"/>
      <c r="AV6506"/>
    </row>
    <row r="6507" spans="41:48" x14ac:dyDescent="0.35">
      <c r="AO6507"/>
      <c r="AP6507"/>
      <c r="AQ6507"/>
      <c r="AR6507"/>
      <c r="AS6507"/>
      <c r="AT6507"/>
      <c r="AU6507"/>
      <c r="AV6507"/>
    </row>
    <row r="6508" spans="41:48" x14ac:dyDescent="0.35">
      <c r="AO6508"/>
      <c r="AP6508"/>
      <c r="AQ6508"/>
      <c r="AR6508"/>
      <c r="AS6508"/>
      <c r="AT6508"/>
      <c r="AU6508"/>
      <c r="AV6508"/>
    </row>
    <row r="6509" spans="41:48" x14ac:dyDescent="0.35">
      <c r="AO6509"/>
      <c r="AP6509"/>
      <c r="AQ6509"/>
      <c r="AR6509"/>
      <c r="AS6509"/>
      <c r="AT6509"/>
      <c r="AU6509"/>
      <c r="AV6509"/>
    </row>
    <row r="6510" spans="41:48" x14ac:dyDescent="0.35">
      <c r="AO6510"/>
      <c r="AP6510"/>
      <c r="AQ6510"/>
      <c r="AR6510"/>
      <c r="AS6510"/>
      <c r="AT6510"/>
      <c r="AU6510"/>
      <c r="AV6510"/>
    </row>
    <row r="6511" spans="41:48" x14ac:dyDescent="0.35">
      <c r="AO6511"/>
      <c r="AP6511"/>
      <c r="AQ6511"/>
      <c r="AR6511"/>
      <c r="AS6511"/>
      <c r="AT6511"/>
      <c r="AU6511"/>
      <c r="AV6511"/>
    </row>
    <row r="6512" spans="41:48" x14ac:dyDescent="0.35">
      <c r="AO6512"/>
      <c r="AP6512"/>
      <c r="AQ6512"/>
      <c r="AR6512"/>
      <c r="AS6512"/>
      <c r="AT6512"/>
      <c r="AU6512"/>
      <c r="AV6512"/>
    </row>
    <row r="6513" spans="41:48" x14ac:dyDescent="0.35">
      <c r="AO6513"/>
      <c r="AP6513"/>
      <c r="AQ6513"/>
      <c r="AR6513"/>
      <c r="AS6513"/>
      <c r="AT6513"/>
      <c r="AU6513"/>
      <c r="AV6513"/>
    </row>
    <row r="6514" spans="41:48" x14ac:dyDescent="0.35">
      <c r="AO6514"/>
      <c r="AP6514"/>
      <c r="AQ6514"/>
      <c r="AR6514"/>
      <c r="AS6514"/>
      <c r="AT6514"/>
      <c r="AU6514"/>
      <c r="AV6514"/>
    </row>
    <row r="6515" spans="41:48" x14ac:dyDescent="0.35">
      <c r="AO6515"/>
      <c r="AP6515"/>
      <c r="AQ6515"/>
      <c r="AR6515"/>
      <c r="AS6515"/>
      <c r="AT6515"/>
      <c r="AU6515"/>
      <c r="AV6515"/>
    </row>
    <row r="6516" spans="41:48" x14ac:dyDescent="0.35">
      <c r="AO6516"/>
      <c r="AP6516"/>
      <c r="AQ6516"/>
      <c r="AR6516"/>
      <c r="AS6516"/>
      <c r="AT6516"/>
      <c r="AU6516"/>
      <c r="AV6516"/>
    </row>
    <row r="6517" spans="41:48" x14ac:dyDescent="0.35">
      <c r="AO6517"/>
      <c r="AP6517"/>
      <c r="AQ6517"/>
      <c r="AR6517"/>
      <c r="AS6517"/>
      <c r="AT6517"/>
      <c r="AU6517"/>
      <c r="AV6517"/>
    </row>
    <row r="6518" spans="41:48" x14ac:dyDescent="0.35">
      <c r="AO6518"/>
      <c r="AP6518"/>
      <c r="AQ6518"/>
      <c r="AR6518"/>
      <c r="AS6518"/>
      <c r="AT6518"/>
      <c r="AU6518"/>
      <c r="AV6518"/>
    </row>
    <row r="6519" spans="41:48" x14ac:dyDescent="0.35">
      <c r="AO6519"/>
      <c r="AP6519"/>
      <c r="AQ6519"/>
      <c r="AR6519"/>
      <c r="AS6519"/>
      <c r="AT6519"/>
      <c r="AU6519"/>
      <c r="AV6519"/>
    </row>
    <row r="6520" spans="41:48" x14ac:dyDescent="0.35">
      <c r="AO6520"/>
      <c r="AP6520"/>
      <c r="AQ6520"/>
      <c r="AR6520"/>
      <c r="AS6520"/>
      <c r="AT6520"/>
      <c r="AU6520"/>
      <c r="AV6520"/>
    </row>
    <row r="6521" spans="41:48" x14ac:dyDescent="0.35">
      <c r="AO6521"/>
      <c r="AP6521"/>
      <c r="AQ6521"/>
      <c r="AR6521"/>
      <c r="AS6521"/>
      <c r="AT6521"/>
      <c r="AU6521"/>
      <c r="AV6521"/>
    </row>
    <row r="6522" spans="41:48" x14ac:dyDescent="0.35">
      <c r="AO6522"/>
      <c r="AP6522"/>
      <c r="AQ6522"/>
      <c r="AR6522"/>
      <c r="AS6522"/>
      <c r="AT6522"/>
      <c r="AU6522"/>
      <c r="AV6522"/>
    </row>
    <row r="6523" spans="41:48" x14ac:dyDescent="0.35">
      <c r="AO6523"/>
      <c r="AP6523"/>
      <c r="AQ6523"/>
      <c r="AR6523"/>
      <c r="AS6523"/>
      <c r="AT6523"/>
      <c r="AU6523"/>
      <c r="AV6523"/>
    </row>
    <row r="6524" spans="41:48" x14ac:dyDescent="0.35">
      <c r="AO6524"/>
      <c r="AP6524"/>
      <c r="AQ6524"/>
      <c r="AR6524"/>
      <c r="AS6524"/>
      <c r="AT6524"/>
      <c r="AU6524"/>
      <c r="AV6524"/>
    </row>
    <row r="6525" spans="41:48" x14ac:dyDescent="0.35">
      <c r="AO6525"/>
      <c r="AP6525"/>
      <c r="AQ6525"/>
      <c r="AR6525"/>
      <c r="AS6525"/>
      <c r="AT6525"/>
      <c r="AU6525"/>
      <c r="AV6525"/>
    </row>
    <row r="6526" spans="41:48" x14ac:dyDescent="0.35">
      <c r="AO6526"/>
      <c r="AP6526"/>
      <c r="AQ6526"/>
      <c r="AR6526"/>
      <c r="AS6526"/>
      <c r="AT6526"/>
      <c r="AU6526"/>
      <c r="AV6526"/>
    </row>
    <row r="6527" spans="41:48" x14ac:dyDescent="0.35">
      <c r="AO6527"/>
      <c r="AP6527"/>
      <c r="AQ6527"/>
      <c r="AR6527"/>
      <c r="AS6527"/>
      <c r="AT6527"/>
      <c r="AU6527"/>
      <c r="AV6527"/>
    </row>
    <row r="6528" spans="41:48" x14ac:dyDescent="0.35">
      <c r="AO6528"/>
      <c r="AP6528"/>
      <c r="AQ6528"/>
      <c r="AR6528"/>
      <c r="AS6528"/>
      <c r="AT6528"/>
      <c r="AU6528"/>
      <c r="AV6528"/>
    </row>
    <row r="6529" spans="41:48" x14ac:dyDescent="0.35">
      <c r="AO6529"/>
      <c r="AP6529"/>
      <c r="AQ6529"/>
      <c r="AR6529"/>
      <c r="AS6529"/>
      <c r="AT6529"/>
      <c r="AU6529"/>
      <c r="AV6529"/>
    </row>
    <row r="6530" spans="41:48" x14ac:dyDescent="0.35">
      <c r="AO6530"/>
      <c r="AP6530"/>
      <c r="AQ6530"/>
      <c r="AR6530"/>
      <c r="AS6530"/>
      <c r="AT6530"/>
      <c r="AU6530"/>
      <c r="AV6530"/>
    </row>
    <row r="6531" spans="41:48" x14ac:dyDescent="0.35">
      <c r="AO6531"/>
      <c r="AP6531"/>
      <c r="AQ6531"/>
      <c r="AR6531"/>
      <c r="AS6531"/>
      <c r="AT6531"/>
      <c r="AU6531"/>
      <c r="AV6531"/>
    </row>
    <row r="6532" spans="41:48" x14ac:dyDescent="0.35">
      <c r="AO6532"/>
      <c r="AP6532"/>
      <c r="AQ6532"/>
      <c r="AR6532"/>
      <c r="AS6532"/>
      <c r="AT6532"/>
      <c r="AU6532"/>
      <c r="AV6532"/>
    </row>
    <row r="6533" spans="41:48" x14ac:dyDescent="0.35">
      <c r="AO6533"/>
      <c r="AP6533"/>
      <c r="AQ6533"/>
      <c r="AR6533"/>
      <c r="AS6533"/>
      <c r="AT6533"/>
      <c r="AU6533"/>
      <c r="AV6533"/>
    </row>
    <row r="6534" spans="41:48" x14ac:dyDescent="0.35">
      <c r="AO6534"/>
      <c r="AP6534"/>
      <c r="AQ6534"/>
      <c r="AR6534"/>
      <c r="AS6534"/>
      <c r="AT6534"/>
      <c r="AU6534"/>
      <c r="AV6534"/>
    </row>
    <row r="6535" spans="41:48" x14ac:dyDescent="0.35">
      <c r="AO6535"/>
      <c r="AP6535"/>
      <c r="AQ6535"/>
      <c r="AR6535"/>
      <c r="AS6535"/>
      <c r="AT6535"/>
      <c r="AU6535"/>
      <c r="AV6535"/>
    </row>
    <row r="6536" spans="41:48" x14ac:dyDescent="0.35">
      <c r="AO6536"/>
      <c r="AP6536"/>
      <c r="AQ6536"/>
      <c r="AR6536"/>
      <c r="AS6536"/>
      <c r="AT6536"/>
      <c r="AU6536"/>
      <c r="AV6536"/>
    </row>
    <row r="6537" spans="41:48" x14ac:dyDescent="0.35">
      <c r="AO6537"/>
      <c r="AP6537"/>
      <c r="AQ6537"/>
      <c r="AR6537"/>
      <c r="AS6537"/>
      <c r="AT6537"/>
      <c r="AU6537"/>
      <c r="AV6537"/>
    </row>
    <row r="6538" spans="41:48" x14ac:dyDescent="0.35">
      <c r="AO6538"/>
      <c r="AP6538"/>
      <c r="AQ6538"/>
      <c r="AR6538"/>
      <c r="AS6538"/>
      <c r="AT6538"/>
      <c r="AU6538"/>
      <c r="AV6538"/>
    </row>
    <row r="6539" spans="41:48" x14ac:dyDescent="0.35">
      <c r="AO6539"/>
      <c r="AP6539"/>
      <c r="AQ6539"/>
      <c r="AR6539"/>
      <c r="AS6539"/>
      <c r="AT6539"/>
      <c r="AU6539"/>
      <c r="AV6539"/>
    </row>
    <row r="6540" spans="41:48" x14ac:dyDescent="0.35">
      <c r="AO6540"/>
      <c r="AP6540"/>
      <c r="AQ6540"/>
      <c r="AR6540"/>
      <c r="AS6540"/>
      <c r="AT6540"/>
      <c r="AU6540"/>
      <c r="AV6540"/>
    </row>
    <row r="6541" spans="41:48" x14ac:dyDescent="0.35">
      <c r="AO6541"/>
      <c r="AP6541"/>
      <c r="AQ6541"/>
      <c r="AR6541"/>
      <c r="AS6541"/>
      <c r="AT6541"/>
      <c r="AU6541"/>
      <c r="AV6541"/>
    </row>
    <row r="6542" spans="41:48" x14ac:dyDescent="0.35">
      <c r="AO6542"/>
      <c r="AP6542"/>
      <c r="AQ6542"/>
      <c r="AR6542"/>
      <c r="AS6542"/>
      <c r="AT6542"/>
      <c r="AU6542"/>
      <c r="AV6542"/>
    </row>
    <row r="6543" spans="41:48" x14ac:dyDescent="0.35">
      <c r="AO6543"/>
      <c r="AP6543"/>
      <c r="AQ6543"/>
      <c r="AR6543"/>
      <c r="AS6543"/>
      <c r="AT6543"/>
      <c r="AU6543"/>
      <c r="AV6543"/>
    </row>
    <row r="6544" spans="41:48" x14ac:dyDescent="0.35">
      <c r="AO6544"/>
      <c r="AP6544"/>
      <c r="AQ6544"/>
      <c r="AR6544"/>
      <c r="AS6544"/>
      <c r="AT6544"/>
      <c r="AU6544"/>
      <c r="AV6544"/>
    </row>
    <row r="6545" spans="41:48" x14ac:dyDescent="0.35">
      <c r="AO6545"/>
      <c r="AP6545"/>
      <c r="AQ6545"/>
      <c r="AR6545"/>
      <c r="AS6545"/>
      <c r="AT6545"/>
      <c r="AU6545"/>
      <c r="AV6545"/>
    </row>
    <row r="6546" spans="41:48" x14ac:dyDescent="0.35">
      <c r="AO6546"/>
      <c r="AP6546"/>
      <c r="AQ6546"/>
      <c r="AR6546"/>
      <c r="AS6546"/>
      <c r="AT6546"/>
      <c r="AU6546"/>
      <c r="AV6546"/>
    </row>
    <row r="6547" spans="41:48" x14ac:dyDescent="0.35">
      <c r="AO6547"/>
      <c r="AP6547"/>
      <c r="AQ6547"/>
      <c r="AR6547"/>
      <c r="AS6547"/>
      <c r="AT6547"/>
      <c r="AU6547"/>
      <c r="AV6547"/>
    </row>
    <row r="6548" spans="41:48" x14ac:dyDescent="0.35">
      <c r="AO6548"/>
      <c r="AP6548"/>
      <c r="AQ6548"/>
      <c r="AR6548"/>
      <c r="AS6548"/>
      <c r="AT6548"/>
      <c r="AU6548"/>
      <c r="AV6548"/>
    </row>
    <row r="6549" spans="41:48" x14ac:dyDescent="0.35">
      <c r="AO6549"/>
      <c r="AP6549"/>
      <c r="AQ6549"/>
      <c r="AR6549"/>
      <c r="AS6549"/>
      <c r="AT6549"/>
      <c r="AU6549"/>
      <c r="AV6549"/>
    </row>
    <row r="6550" spans="41:48" x14ac:dyDescent="0.35">
      <c r="AO6550"/>
      <c r="AP6550"/>
      <c r="AQ6550"/>
      <c r="AR6550"/>
      <c r="AS6550"/>
      <c r="AT6550"/>
      <c r="AU6550"/>
      <c r="AV6550"/>
    </row>
    <row r="6551" spans="41:48" x14ac:dyDescent="0.35">
      <c r="AO6551"/>
      <c r="AP6551"/>
      <c r="AQ6551"/>
      <c r="AR6551"/>
      <c r="AS6551"/>
      <c r="AT6551"/>
      <c r="AU6551"/>
      <c r="AV6551"/>
    </row>
    <row r="6552" spans="41:48" x14ac:dyDescent="0.35">
      <c r="AO6552"/>
      <c r="AP6552"/>
      <c r="AQ6552"/>
      <c r="AR6552"/>
      <c r="AS6552"/>
      <c r="AT6552"/>
      <c r="AU6552"/>
      <c r="AV6552"/>
    </row>
    <row r="6553" spans="41:48" x14ac:dyDescent="0.35">
      <c r="AO6553"/>
      <c r="AP6553"/>
      <c r="AQ6553"/>
      <c r="AR6553"/>
      <c r="AS6553"/>
      <c r="AT6553"/>
      <c r="AU6553"/>
      <c r="AV6553"/>
    </row>
    <row r="6554" spans="41:48" x14ac:dyDescent="0.35">
      <c r="AO6554"/>
      <c r="AP6554"/>
      <c r="AQ6554"/>
      <c r="AR6554"/>
      <c r="AS6554"/>
      <c r="AT6554"/>
      <c r="AU6554"/>
      <c r="AV6554"/>
    </row>
    <row r="6555" spans="41:48" x14ac:dyDescent="0.35">
      <c r="AO6555"/>
      <c r="AP6555"/>
      <c r="AQ6555"/>
      <c r="AR6555"/>
      <c r="AS6555"/>
      <c r="AT6555"/>
      <c r="AU6555"/>
      <c r="AV6555"/>
    </row>
    <row r="6556" spans="41:48" x14ac:dyDescent="0.35">
      <c r="AO6556"/>
      <c r="AP6556"/>
      <c r="AQ6556"/>
      <c r="AR6556"/>
      <c r="AS6556"/>
      <c r="AT6556"/>
      <c r="AU6556"/>
      <c r="AV6556"/>
    </row>
    <row r="6557" spans="41:48" x14ac:dyDescent="0.35">
      <c r="AO6557"/>
      <c r="AP6557"/>
      <c r="AQ6557"/>
      <c r="AR6557"/>
      <c r="AS6557"/>
      <c r="AT6557"/>
      <c r="AU6557"/>
      <c r="AV6557"/>
    </row>
    <row r="6558" spans="41:48" x14ac:dyDescent="0.35">
      <c r="AO6558"/>
      <c r="AP6558"/>
      <c r="AQ6558"/>
      <c r="AR6558"/>
      <c r="AS6558"/>
      <c r="AT6558"/>
      <c r="AU6558"/>
      <c r="AV6558"/>
    </row>
    <row r="6559" spans="41:48" x14ac:dyDescent="0.35">
      <c r="AO6559"/>
      <c r="AP6559"/>
      <c r="AQ6559"/>
      <c r="AR6559"/>
      <c r="AS6559"/>
      <c r="AT6559"/>
      <c r="AU6559"/>
      <c r="AV6559"/>
    </row>
    <row r="6560" spans="41:48" x14ac:dyDescent="0.35">
      <c r="AO6560"/>
      <c r="AP6560"/>
      <c r="AQ6560"/>
      <c r="AR6560"/>
      <c r="AS6560"/>
      <c r="AT6560"/>
      <c r="AU6560"/>
      <c r="AV6560"/>
    </row>
    <row r="6561" spans="41:48" x14ac:dyDescent="0.35">
      <c r="AO6561"/>
      <c r="AP6561"/>
      <c r="AQ6561"/>
      <c r="AR6561"/>
      <c r="AS6561"/>
      <c r="AT6561"/>
      <c r="AU6561"/>
      <c r="AV6561"/>
    </row>
    <row r="6562" spans="41:48" x14ac:dyDescent="0.35">
      <c r="AO6562"/>
      <c r="AP6562"/>
      <c r="AQ6562"/>
      <c r="AR6562"/>
      <c r="AS6562"/>
      <c r="AT6562"/>
      <c r="AU6562"/>
      <c r="AV6562"/>
    </row>
    <row r="6563" spans="41:48" x14ac:dyDescent="0.35">
      <c r="AO6563"/>
      <c r="AP6563"/>
      <c r="AQ6563"/>
      <c r="AR6563"/>
      <c r="AS6563"/>
      <c r="AT6563"/>
      <c r="AU6563"/>
      <c r="AV6563"/>
    </row>
    <row r="6564" spans="41:48" x14ac:dyDescent="0.35">
      <c r="AO6564"/>
      <c r="AP6564"/>
      <c r="AQ6564"/>
      <c r="AR6564"/>
      <c r="AS6564"/>
      <c r="AT6564"/>
      <c r="AU6564"/>
      <c r="AV6564"/>
    </row>
    <row r="6565" spans="41:48" x14ac:dyDescent="0.35">
      <c r="AO6565"/>
      <c r="AP6565"/>
      <c r="AQ6565"/>
      <c r="AR6565"/>
      <c r="AS6565"/>
      <c r="AT6565"/>
      <c r="AU6565"/>
      <c r="AV6565"/>
    </row>
    <row r="6566" spans="41:48" x14ac:dyDescent="0.35">
      <c r="AO6566"/>
      <c r="AP6566"/>
      <c r="AQ6566"/>
      <c r="AR6566"/>
      <c r="AS6566"/>
      <c r="AT6566"/>
      <c r="AU6566"/>
      <c r="AV6566"/>
    </row>
    <row r="6567" spans="41:48" x14ac:dyDescent="0.35">
      <c r="AO6567"/>
      <c r="AP6567"/>
      <c r="AQ6567"/>
      <c r="AR6567"/>
      <c r="AS6567"/>
      <c r="AT6567"/>
      <c r="AU6567"/>
      <c r="AV6567"/>
    </row>
    <row r="6568" spans="41:48" x14ac:dyDescent="0.35">
      <c r="AO6568"/>
      <c r="AP6568"/>
      <c r="AQ6568"/>
      <c r="AR6568"/>
      <c r="AS6568"/>
      <c r="AT6568"/>
      <c r="AU6568"/>
      <c r="AV6568"/>
    </row>
    <row r="6569" spans="41:48" x14ac:dyDescent="0.35">
      <c r="AO6569"/>
      <c r="AP6569"/>
      <c r="AQ6569"/>
      <c r="AR6569"/>
      <c r="AS6569"/>
      <c r="AT6569"/>
      <c r="AU6569"/>
      <c r="AV6569"/>
    </row>
    <row r="6570" spans="41:48" x14ac:dyDescent="0.35">
      <c r="AO6570"/>
      <c r="AP6570"/>
      <c r="AQ6570"/>
      <c r="AR6570"/>
      <c r="AS6570"/>
      <c r="AT6570"/>
      <c r="AU6570"/>
      <c r="AV6570"/>
    </row>
    <row r="6571" spans="41:48" x14ac:dyDescent="0.35">
      <c r="AO6571"/>
      <c r="AP6571"/>
      <c r="AQ6571"/>
      <c r="AR6571"/>
      <c r="AS6571"/>
      <c r="AT6571"/>
      <c r="AU6571"/>
      <c r="AV6571"/>
    </row>
    <row r="6572" spans="41:48" x14ac:dyDescent="0.35">
      <c r="AO6572"/>
      <c r="AP6572"/>
      <c r="AQ6572"/>
      <c r="AR6572"/>
      <c r="AS6572"/>
      <c r="AT6572"/>
      <c r="AU6572"/>
      <c r="AV6572"/>
    </row>
    <row r="6573" spans="41:48" x14ac:dyDescent="0.35">
      <c r="AO6573"/>
      <c r="AP6573"/>
      <c r="AQ6573"/>
      <c r="AR6573"/>
      <c r="AS6573"/>
      <c r="AT6573"/>
      <c r="AU6573"/>
      <c r="AV6573"/>
    </row>
    <row r="6574" spans="41:48" x14ac:dyDescent="0.35">
      <c r="AO6574"/>
      <c r="AP6574"/>
      <c r="AQ6574"/>
      <c r="AR6574"/>
      <c r="AS6574"/>
      <c r="AT6574"/>
      <c r="AU6574"/>
      <c r="AV6574"/>
    </row>
    <row r="6575" spans="41:48" x14ac:dyDescent="0.35">
      <c r="AO6575"/>
      <c r="AP6575"/>
      <c r="AQ6575"/>
      <c r="AR6575"/>
      <c r="AS6575"/>
      <c r="AT6575"/>
      <c r="AU6575"/>
      <c r="AV6575"/>
    </row>
    <row r="6576" spans="41:48" x14ac:dyDescent="0.35">
      <c r="AO6576"/>
      <c r="AP6576"/>
      <c r="AQ6576"/>
      <c r="AR6576"/>
      <c r="AS6576"/>
      <c r="AT6576"/>
      <c r="AU6576"/>
      <c r="AV6576"/>
    </row>
    <row r="6577" spans="41:48" x14ac:dyDescent="0.35">
      <c r="AO6577"/>
      <c r="AP6577"/>
      <c r="AQ6577"/>
      <c r="AR6577"/>
      <c r="AS6577"/>
      <c r="AT6577"/>
      <c r="AU6577"/>
      <c r="AV6577"/>
    </row>
    <row r="6578" spans="41:48" x14ac:dyDescent="0.35">
      <c r="AO6578"/>
      <c r="AP6578"/>
      <c r="AQ6578"/>
      <c r="AR6578"/>
      <c r="AS6578"/>
      <c r="AT6578"/>
      <c r="AU6578"/>
      <c r="AV6578"/>
    </row>
    <row r="6579" spans="41:48" x14ac:dyDescent="0.35">
      <c r="AO6579"/>
      <c r="AP6579"/>
      <c r="AQ6579"/>
      <c r="AR6579"/>
      <c r="AS6579"/>
      <c r="AT6579"/>
      <c r="AU6579"/>
      <c r="AV6579"/>
    </row>
    <row r="6580" spans="41:48" x14ac:dyDescent="0.35">
      <c r="AO6580"/>
      <c r="AP6580"/>
      <c r="AQ6580"/>
      <c r="AR6580"/>
      <c r="AS6580"/>
      <c r="AT6580"/>
      <c r="AU6580"/>
      <c r="AV6580"/>
    </row>
    <row r="6581" spans="41:48" x14ac:dyDescent="0.35">
      <c r="AO6581"/>
      <c r="AP6581"/>
      <c r="AQ6581"/>
      <c r="AR6581"/>
      <c r="AS6581"/>
      <c r="AT6581"/>
      <c r="AU6581"/>
      <c r="AV6581"/>
    </row>
    <row r="6582" spans="41:48" x14ac:dyDescent="0.35">
      <c r="AO6582"/>
      <c r="AP6582"/>
      <c r="AQ6582"/>
      <c r="AR6582"/>
      <c r="AS6582"/>
      <c r="AT6582"/>
      <c r="AU6582"/>
      <c r="AV6582"/>
    </row>
    <row r="6583" spans="41:48" x14ac:dyDescent="0.35">
      <c r="AO6583"/>
      <c r="AP6583"/>
      <c r="AQ6583"/>
      <c r="AR6583"/>
      <c r="AS6583"/>
      <c r="AT6583"/>
      <c r="AU6583"/>
      <c r="AV6583"/>
    </row>
    <row r="6584" spans="41:48" x14ac:dyDescent="0.35">
      <c r="AO6584"/>
      <c r="AP6584"/>
      <c r="AQ6584"/>
      <c r="AR6584"/>
      <c r="AS6584"/>
      <c r="AT6584"/>
      <c r="AU6584"/>
      <c r="AV6584"/>
    </row>
    <row r="6585" spans="41:48" x14ac:dyDescent="0.35">
      <c r="AO6585"/>
      <c r="AP6585"/>
      <c r="AQ6585"/>
      <c r="AR6585"/>
      <c r="AS6585"/>
      <c r="AT6585"/>
      <c r="AU6585"/>
      <c r="AV6585"/>
    </row>
    <row r="6586" spans="41:48" x14ac:dyDescent="0.35">
      <c r="AO6586"/>
      <c r="AP6586"/>
      <c r="AQ6586"/>
      <c r="AR6586"/>
      <c r="AS6586"/>
      <c r="AT6586"/>
      <c r="AU6586"/>
      <c r="AV6586"/>
    </row>
    <row r="6587" spans="41:48" x14ac:dyDescent="0.35">
      <c r="AO6587"/>
      <c r="AP6587"/>
      <c r="AQ6587"/>
      <c r="AR6587"/>
      <c r="AS6587"/>
      <c r="AT6587"/>
      <c r="AU6587"/>
      <c r="AV6587"/>
    </row>
    <row r="6588" spans="41:48" x14ac:dyDescent="0.35">
      <c r="AO6588"/>
      <c r="AP6588"/>
      <c r="AQ6588"/>
      <c r="AR6588"/>
      <c r="AS6588"/>
      <c r="AT6588"/>
      <c r="AU6588"/>
      <c r="AV6588"/>
    </row>
    <row r="6589" spans="41:48" x14ac:dyDescent="0.35">
      <c r="AO6589"/>
      <c r="AP6589"/>
      <c r="AQ6589"/>
      <c r="AR6589"/>
      <c r="AS6589"/>
      <c r="AT6589"/>
      <c r="AU6589"/>
      <c r="AV6589"/>
    </row>
    <row r="6590" spans="41:48" x14ac:dyDescent="0.35">
      <c r="AO6590"/>
      <c r="AP6590"/>
      <c r="AQ6590"/>
      <c r="AR6590"/>
      <c r="AS6590"/>
      <c r="AT6590"/>
      <c r="AU6590"/>
      <c r="AV6590"/>
    </row>
    <row r="6591" spans="41:48" x14ac:dyDescent="0.35">
      <c r="AO6591"/>
      <c r="AP6591"/>
      <c r="AQ6591"/>
      <c r="AR6591"/>
      <c r="AS6591"/>
      <c r="AT6591"/>
      <c r="AU6591"/>
      <c r="AV6591"/>
    </row>
    <row r="6592" spans="41:48" x14ac:dyDescent="0.35">
      <c r="AO6592"/>
      <c r="AP6592"/>
      <c r="AQ6592"/>
      <c r="AR6592"/>
      <c r="AS6592"/>
      <c r="AT6592"/>
      <c r="AU6592"/>
      <c r="AV6592"/>
    </row>
    <row r="6593" spans="41:48" x14ac:dyDescent="0.35">
      <c r="AO6593"/>
      <c r="AP6593"/>
      <c r="AQ6593"/>
      <c r="AR6593"/>
      <c r="AS6593"/>
      <c r="AT6593"/>
      <c r="AU6593"/>
      <c r="AV6593"/>
    </row>
    <row r="6594" spans="41:48" x14ac:dyDescent="0.35">
      <c r="AO6594"/>
      <c r="AP6594"/>
      <c r="AQ6594"/>
      <c r="AR6594"/>
      <c r="AS6594"/>
      <c r="AT6594"/>
      <c r="AU6594"/>
      <c r="AV6594"/>
    </row>
    <row r="6595" spans="41:48" x14ac:dyDescent="0.35">
      <c r="AO6595"/>
      <c r="AP6595"/>
      <c r="AQ6595"/>
      <c r="AR6595"/>
      <c r="AS6595"/>
      <c r="AT6595"/>
      <c r="AU6595"/>
      <c r="AV6595"/>
    </row>
    <row r="6596" spans="41:48" x14ac:dyDescent="0.35">
      <c r="AO6596"/>
      <c r="AP6596"/>
      <c r="AQ6596"/>
      <c r="AR6596"/>
      <c r="AS6596"/>
      <c r="AT6596"/>
      <c r="AU6596"/>
      <c r="AV6596"/>
    </row>
    <row r="6597" spans="41:48" x14ac:dyDescent="0.35">
      <c r="AO6597"/>
      <c r="AP6597"/>
      <c r="AQ6597"/>
      <c r="AR6597"/>
      <c r="AS6597"/>
      <c r="AT6597"/>
      <c r="AU6597"/>
      <c r="AV6597"/>
    </row>
    <row r="6598" spans="41:48" x14ac:dyDescent="0.35">
      <c r="AO6598"/>
      <c r="AP6598"/>
      <c r="AQ6598"/>
      <c r="AR6598"/>
      <c r="AS6598"/>
      <c r="AT6598"/>
      <c r="AU6598"/>
      <c r="AV6598"/>
    </row>
    <row r="6599" spans="41:48" x14ac:dyDescent="0.35">
      <c r="AO6599"/>
      <c r="AP6599"/>
      <c r="AQ6599"/>
      <c r="AR6599"/>
      <c r="AS6599"/>
      <c r="AT6599"/>
      <c r="AU6599"/>
      <c r="AV6599"/>
    </row>
    <row r="6600" spans="41:48" x14ac:dyDescent="0.35">
      <c r="AO6600"/>
      <c r="AP6600"/>
      <c r="AQ6600"/>
      <c r="AR6600"/>
      <c r="AS6600"/>
      <c r="AT6600"/>
      <c r="AU6600"/>
      <c r="AV6600"/>
    </row>
    <row r="6601" spans="41:48" x14ac:dyDescent="0.35">
      <c r="AO6601"/>
      <c r="AP6601"/>
      <c r="AQ6601"/>
      <c r="AR6601"/>
      <c r="AS6601"/>
      <c r="AT6601"/>
      <c r="AU6601"/>
      <c r="AV6601"/>
    </row>
    <row r="6602" spans="41:48" x14ac:dyDescent="0.35">
      <c r="AO6602"/>
      <c r="AP6602"/>
      <c r="AQ6602"/>
      <c r="AR6602"/>
      <c r="AS6602"/>
      <c r="AT6602"/>
      <c r="AU6602"/>
      <c r="AV6602"/>
    </row>
    <row r="6603" spans="41:48" x14ac:dyDescent="0.35">
      <c r="AO6603"/>
      <c r="AP6603"/>
      <c r="AQ6603"/>
      <c r="AR6603"/>
      <c r="AS6603"/>
      <c r="AT6603"/>
      <c r="AU6603"/>
      <c r="AV6603"/>
    </row>
    <row r="6604" spans="41:48" x14ac:dyDescent="0.35">
      <c r="AO6604"/>
      <c r="AP6604"/>
      <c r="AQ6604"/>
      <c r="AR6604"/>
      <c r="AS6604"/>
      <c r="AT6604"/>
      <c r="AU6604"/>
      <c r="AV6604"/>
    </row>
    <row r="6605" spans="41:48" x14ac:dyDescent="0.35">
      <c r="AO6605"/>
      <c r="AP6605"/>
      <c r="AQ6605"/>
      <c r="AR6605"/>
      <c r="AS6605"/>
      <c r="AT6605"/>
      <c r="AU6605"/>
      <c r="AV6605"/>
    </row>
    <row r="6606" spans="41:48" x14ac:dyDescent="0.35">
      <c r="AO6606"/>
      <c r="AP6606"/>
      <c r="AQ6606"/>
      <c r="AR6606"/>
      <c r="AS6606"/>
      <c r="AT6606"/>
      <c r="AU6606"/>
      <c r="AV6606"/>
    </row>
    <row r="6607" spans="41:48" x14ac:dyDescent="0.35">
      <c r="AO6607"/>
      <c r="AP6607"/>
      <c r="AQ6607"/>
      <c r="AR6607"/>
      <c r="AS6607"/>
      <c r="AT6607"/>
      <c r="AU6607"/>
      <c r="AV6607"/>
    </row>
    <row r="6608" spans="41:48" x14ac:dyDescent="0.35">
      <c r="AO6608"/>
      <c r="AP6608"/>
      <c r="AQ6608"/>
      <c r="AR6608"/>
      <c r="AS6608"/>
      <c r="AT6608"/>
      <c r="AU6608"/>
      <c r="AV6608"/>
    </row>
    <row r="6609" spans="41:48" x14ac:dyDescent="0.35">
      <c r="AO6609"/>
      <c r="AP6609"/>
      <c r="AQ6609"/>
      <c r="AR6609"/>
      <c r="AS6609"/>
      <c r="AT6609"/>
      <c r="AU6609"/>
      <c r="AV6609"/>
    </row>
    <row r="6610" spans="41:48" x14ac:dyDescent="0.35">
      <c r="AO6610"/>
      <c r="AP6610"/>
      <c r="AQ6610"/>
      <c r="AR6610"/>
      <c r="AS6610"/>
      <c r="AT6610"/>
      <c r="AU6610"/>
      <c r="AV6610"/>
    </row>
    <row r="6611" spans="41:48" x14ac:dyDescent="0.35">
      <c r="AO6611"/>
      <c r="AP6611"/>
      <c r="AQ6611"/>
      <c r="AR6611"/>
      <c r="AS6611"/>
      <c r="AT6611"/>
      <c r="AU6611"/>
      <c r="AV6611"/>
    </row>
    <row r="6612" spans="41:48" x14ac:dyDescent="0.35">
      <c r="AO6612"/>
      <c r="AP6612"/>
      <c r="AQ6612"/>
      <c r="AR6612"/>
      <c r="AS6612"/>
      <c r="AT6612"/>
      <c r="AU6612"/>
      <c r="AV6612"/>
    </row>
    <row r="6613" spans="41:48" x14ac:dyDescent="0.35">
      <c r="AO6613"/>
      <c r="AP6613"/>
      <c r="AQ6613"/>
      <c r="AR6613"/>
      <c r="AS6613"/>
      <c r="AT6613"/>
      <c r="AU6613"/>
      <c r="AV6613"/>
    </row>
    <row r="6614" spans="41:48" x14ac:dyDescent="0.35">
      <c r="AO6614"/>
      <c r="AP6614"/>
      <c r="AQ6614"/>
      <c r="AR6614"/>
      <c r="AS6614"/>
      <c r="AT6614"/>
      <c r="AU6614"/>
      <c r="AV6614"/>
    </row>
    <row r="6615" spans="41:48" x14ac:dyDescent="0.35">
      <c r="AO6615"/>
      <c r="AP6615"/>
      <c r="AQ6615"/>
      <c r="AR6615"/>
      <c r="AS6615"/>
      <c r="AT6615"/>
      <c r="AU6615"/>
      <c r="AV6615"/>
    </row>
    <row r="6616" spans="41:48" x14ac:dyDescent="0.35">
      <c r="AO6616"/>
      <c r="AP6616"/>
      <c r="AQ6616"/>
      <c r="AR6616"/>
      <c r="AS6616"/>
      <c r="AT6616"/>
      <c r="AU6616"/>
      <c r="AV6616"/>
    </row>
    <row r="6617" spans="41:48" x14ac:dyDescent="0.35">
      <c r="AO6617"/>
      <c r="AP6617"/>
      <c r="AQ6617"/>
      <c r="AR6617"/>
      <c r="AS6617"/>
      <c r="AT6617"/>
      <c r="AU6617"/>
      <c r="AV6617"/>
    </row>
    <row r="6618" spans="41:48" x14ac:dyDescent="0.35">
      <c r="AO6618"/>
      <c r="AP6618"/>
      <c r="AQ6618"/>
      <c r="AR6618"/>
      <c r="AS6618"/>
      <c r="AT6618"/>
      <c r="AU6618"/>
      <c r="AV6618"/>
    </row>
    <row r="6619" spans="41:48" x14ac:dyDescent="0.35">
      <c r="AO6619"/>
      <c r="AP6619"/>
      <c r="AQ6619"/>
      <c r="AR6619"/>
      <c r="AS6619"/>
      <c r="AT6619"/>
      <c r="AU6619"/>
      <c r="AV6619"/>
    </row>
    <row r="6620" spans="41:48" x14ac:dyDescent="0.35">
      <c r="AO6620"/>
      <c r="AP6620"/>
      <c r="AQ6620"/>
      <c r="AR6620"/>
      <c r="AS6620"/>
      <c r="AT6620"/>
      <c r="AU6620"/>
      <c r="AV6620"/>
    </row>
    <row r="6621" spans="41:48" x14ac:dyDescent="0.35">
      <c r="AO6621"/>
      <c r="AP6621"/>
      <c r="AQ6621"/>
      <c r="AR6621"/>
      <c r="AS6621"/>
      <c r="AT6621"/>
      <c r="AU6621"/>
      <c r="AV6621"/>
    </row>
    <row r="6622" spans="41:48" x14ac:dyDescent="0.35">
      <c r="AO6622"/>
      <c r="AP6622"/>
      <c r="AQ6622"/>
      <c r="AR6622"/>
      <c r="AS6622"/>
      <c r="AT6622"/>
      <c r="AU6622"/>
      <c r="AV6622"/>
    </row>
    <row r="6623" spans="41:48" x14ac:dyDescent="0.35">
      <c r="AO6623"/>
      <c r="AP6623"/>
      <c r="AQ6623"/>
      <c r="AR6623"/>
      <c r="AS6623"/>
      <c r="AT6623"/>
      <c r="AU6623"/>
      <c r="AV6623"/>
    </row>
    <row r="6624" spans="41:48" x14ac:dyDescent="0.35">
      <c r="AO6624"/>
      <c r="AP6624"/>
      <c r="AQ6624"/>
      <c r="AR6624"/>
      <c r="AS6624"/>
      <c r="AT6624"/>
      <c r="AU6624"/>
      <c r="AV6624"/>
    </row>
    <row r="6625" spans="41:48" x14ac:dyDescent="0.35">
      <c r="AO6625"/>
      <c r="AP6625"/>
      <c r="AQ6625"/>
      <c r="AR6625"/>
      <c r="AS6625"/>
      <c r="AT6625"/>
      <c r="AU6625"/>
      <c r="AV6625"/>
    </row>
    <row r="6626" spans="41:48" x14ac:dyDescent="0.35">
      <c r="AO6626"/>
      <c r="AP6626"/>
      <c r="AQ6626"/>
      <c r="AR6626"/>
      <c r="AS6626"/>
      <c r="AT6626"/>
      <c r="AU6626"/>
      <c r="AV6626"/>
    </row>
    <row r="6627" spans="41:48" x14ac:dyDescent="0.35">
      <c r="AO6627"/>
      <c r="AP6627"/>
      <c r="AQ6627"/>
      <c r="AR6627"/>
      <c r="AS6627"/>
      <c r="AT6627"/>
      <c r="AU6627"/>
      <c r="AV6627"/>
    </row>
    <row r="6628" spans="41:48" x14ac:dyDescent="0.35">
      <c r="AO6628"/>
      <c r="AP6628"/>
      <c r="AQ6628"/>
      <c r="AR6628"/>
      <c r="AS6628"/>
      <c r="AT6628"/>
      <c r="AU6628"/>
      <c r="AV6628"/>
    </row>
    <row r="6629" spans="41:48" x14ac:dyDescent="0.35">
      <c r="AO6629"/>
      <c r="AP6629"/>
      <c r="AQ6629"/>
      <c r="AR6629"/>
      <c r="AS6629"/>
      <c r="AT6629"/>
      <c r="AU6629"/>
      <c r="AV6629"/>
    </row>
    <row r="6630" spans="41:48" x14ac:dyDescent="0.35">
      <c r="AO6630"/>
      <c r="AP6630"/>
      <c r="AQ6630"/>
      <c r="AR6630"/>
      <c r="AS6630"/>
      <c r="AT6630"/>
      <c r="AU6630"/>
      <c r="AV6630"/>
    </row>
    <row r="6631" spans="41:48" x14ac:dyDescent="0.35">
      <c r="AO6631"/>
      <c r="AP6631"/>
      <c r="AQ6631"/>
      <c r="AR6631"/>
      <c r="AS6631"/>
      <c r="AT6631"/>
      <c r="AU6631"/>
      <c r="AV6631"/>
    </row>
    <row r="6632" spans="41:48" x14ac:dyDescent="0.35">
      <c r="AO6632"/>
      <c r="AP6632"/>
      <c r="AQ6632"/>
      <c r="AR6632"/>
      <c r="AS6632"/>
      <c r="AT6632"/>
      <c r="AU6632"/>
      <c r="AV6632"/>
    </row>
    <row r="6633" spans="41:48" x14ac:dyDescent="0.35">
      <c r="AO6633"/>
      <c r="AP6633"/>
      <c r="AQ6633"/>
      <c r="AR6633"/>
      <c r="AS6633"/>
      <c r="AT6633"/>
      <c r="AU6633"/>
      <c r="AV6633"/>
    </row>
    <row r="6634" spans="41:48" x14ac:dyDescent="0.35">
      <c r="AO6634"/>
      <c r="AP6634"/>
      <c r="AQ6634"/>
      <c r="AR6634"/>
      <c r="AS6634"/>
      <c r="AT6634"/>
      <c r="AU6634"/>
      <c r="AV6634"/>
    </row>
    <row r="6635" spans="41:48" x14ac:dyDescent="0.35">
      <c r="AO6635"/>
      <c r="AP6635"/>
      <c r="AQ6635"/>
      <c r="AR6635"/>
      <c r="AS6635"/>
      <c r="AT6635"/>
      <c r="AU6635"/>
      <c r="AV6635"/>
    </row>
    <row r="6636" spans="41:48" x14ac:dyDescent="0.35">
      <c r="AO6636"/>
      <c r="AP6636"/>
      <c r="AQ6636"/>
      <c r="AR6636"/>
      <c r="AS6636"/>
      <c r="AT6636"/>
      <c r="AU6636"/>
      <c r="AV6636"/>
    </row>
    <row r="6637" spans="41:48" x14ac:dyDescent="0.35">
      <c r="AO6637"/>
      <c r="AP6637"/>
      <c r="AQ6637"/>
      <c r="AR6637"/>
      <c r="AS6637"/>
      <c r="AT6637"/>
      <c r="AU6637"/>
      <c r="AV6637"/>
    </row>
    <row r="6638" spans="41:48" x14ac:dyDescent="0.35">
      <c r="AO6638"/>
      <c r="AP6638"/>
      <c r="AQ6638"/>
      <c r="AR6638"/>
      <c r="AS6638"/>
      <c r="AT6638"/>
      <c r="AU6638"/>
      <c r="AV6638"/>
    </row>
    <row r="6639" spans="41:48" x14ac:dyDescent="0.35">
      <c r="AO6639"/>
      <c r="AP6639"/>
      <c r="AQ6639"/>
      <c r="AR6639"/>
      <c r="AS6639"/>
      <c r="AT6639"/>
      <c r="AU6639"/>
      <c r="AV6639"/>
    </row>
    <row r="6640" spans="41:48" x14ac:dyDescent="0.35">
      <c r="AO6640"/>
      <c r="AP6640"/>
      <c r="AQ6640"/>
      <c r="AR6640"/>
      <c r="AS6640"/>
      <c r="AT6640"/>
      <c r="AU6640"/>
      <c r="AV6640"/>
    </row>
    <row r="6641" spans="41:48" x14ac:dyDescent="0.35">
      <c r="AO6641"/>
      <c r="AP6641"/>
      <c r="AQ6641"/>
      <c r="AR6641"/>
      <c r="AS6641"/>
      <c r="AT6641"/>
      <c r="AU6641"/>
      <c r="AV6641"/>
    </row>
    <row r="6642" spans="41:48" x14ac:dyDescent="0.35">
      <c r="AO6642"/>
      <c r="AP6642"/>
      <c r="AQ6642"/>
      <c r="AR6642"/>
      <c r="AS6642"/>
      <c r="AT6642"/>
      <c r="AU6642"/>
      <c r="AV6642"/>
    </row>
    <row r="6643" spans="41:48" x14ac:dyDescent="0.35">
      <c r="AO6643"/>
      <c r="AP6643"/>
      <c r="AQ6643"/>
      <c r="AR6643"/>
      <c r="AS6643"/>
      <c r="AT6643"/>
      <c r="AU6643"/>
      <c r="AV6643"/>
    </row>
    <row r="6644" spans="41:48" x14ac:dyDescent="0.35">
      <c r="AO6644"/>
      <c r="AP6644"/>
      <c r="AQ6644"/>
      <c r="AR6644"/>
      <c r="AS6644"/>
      <c r="AT6644"/>
      <c r="AU6644"/>
      <c r="AV6644"/>
    </row>
    <row r="6645" spans="41:48" x14ac:dyDescent="0.35">
      <c r="AO6645"/>
      <c r="AP6645"/>
      <c r="AQ6645"/>
      <c r="AR6645"/>
      <c r="AS6645"/>
      <c r="AT6645"/>
      <c r="AU6645"/>
      <c r="AV6645"/>
    </row>
    <row r="6646" spans="41:48" x14ac:dyDescent="0.35">
      <c r="AO6646"/>
      <c r="AP6646"/>
      <c r="AQ6646"/>
      <c r="AR6646"/>
      <c r="AS6646"/>
      <c r="AT6646"/>
      <c r="AU6646"/>
      <c r="AV6646"/>
    </row>
    <row r="6647" spans="41:48" x14ac:dyDescent="0.35">
      <c r="AO6647"/>
      <c r="AP6647"/>
      <c r="AQ6647"/>
      <c r="AR6647"/>
      <c r="AS6647"/>
      <c r="AT6647"/>
      <c r="AU6647"/>
      <c r="AV6647"/>
    </row>
    <row r="6648" spans="41:48" x14ac:dyDescent="0.35">
      <c r="AO6648"/>
      <c r="AP6648"/>
      <c r="AQ6648"/>
      <c r="AR6648"/>
      <c r="AS6648"/>
      <c r="AT6648"/>
      <c r="AU6648"/>
      <c r="AV6648"/>
    </row>
    <row r="6649" spans="41:48" x14ac:dyDescent="0.35">
      <c r="AO6649"/>
      <c r="AP6649"/>
      <c r="AQ6649"/>
      <c r="AR6649"/>
      <c r="AS6649"/>
      <c r="AT6649"/>
      <c r="AU6649"/>
      <c r="AV6649"/>
    </row>
    <row r="6650" spans="41:48" x14ac:dyDescent="0.35">
      <c r="AO6650"/>
      <c r="AP6650"/>
      <c r="AQ6650"/>
      <c r="AR6650"/>
      <c r="AS6650"/>
      <c r="AT6650"/>
      <c r="AU6650"/>
      <c r="AV6650"/>
    </row>
    <row r="6651" spans="41:48" x14ac:dyDescent="0.35">
      <c r="AO6651"/>
      <c r="AP6651"/>
      <c r="AQ6651"/>
      <c r="AR6651"/>
      <c r="AS6651"/>
      <c r="AT6651"/>
      <c r="AU6651"/>
      <c r="AV6651"/>
    </row>
    <row r="6652" spans="41:48" x14ac:dyDescent="0.35">
      <c r="AO6652"/>
      <c r="AP6652"/>
      <c r="AQ6652"/>
      <c r="AR6652"/>
      <c r="AS6652"/>
      <c r="AT6652"/>
      <c r="AU6652"/>
      <c r="AV6652"/>
    </row>
    <row r="6653" spans="41:48" x14ac:dyDescent="0.35">
      <c r="AO6653"/>
      <c r="AP6653"/>
      <c r="AQ6653"/>
      <c r="AR6653"/>
      <c r="AS6653"/>
      <c r="AT6653"/>
      <c r="AU6653"/>
      <c r="AV6653"/>
    </row>
    <row r="6654" spans="41:48" x14ac:dyDescent="0.35">
      <c r="AO6654"/>
      <c r="AP6654"/>
      <c r="AQ6654"/>
      <c r="AR6654"/>
      <c r="AS6654"/>
      <c r="AT6654"/>
      <c r="AU6654"/>
      <c r="AV6654"/>
    </row>
    <row r="6655" spans="41:48" x14ac:dyDescent="0.35">
      <c r="AO6655"/>
      <c r="AP6655"/>
      <c r="AQ6655"/>
      <c r="AR6655"/>
      <c r="AS6655"/>
      <c r="AT6655"/>
      <c r="AU6655"/>
      <c r="AV6655"/>
    </row>
    <row r="6656" spans="41:48" x14ac:dyDescent="0.35">
      <c r="AO6656"/>
      <c r="AP6656"/>
      <c r="AQ6656"/>
      <c r="AR6656"/>
      <c r="AS6656"/>
      <c r="AT6656"/>
      <c r="AU6656"/>
      <c r="AV6656"/>
    </row>
    <row r="6657" spans="41:48" x14ac:dyDescent="0.35">
      <c r="AO6657"/>
      <c r="AP6657"/>
      <c r="AQ6657"/>
      <c r="AR6657"/>
      <c r="AS6657"/>
      <c r="AT6657"/>
      <c r="AU6657"/>
      <c r="AV6657"/>
    </row>
    <row r="6658" spans="41:48" x14ac:dyDescent="0.35">
      <c r="AO6658"/>
      <c r="AP6658"/>
      <c r="AQ6658"/>
      <c r="AR6658"/>
      <c r="AS6658"/>
      <c r="AT6658"/>
      <c r="AU6658"/>
      <c r="AV6658"/>
    </row>
    <row r="6659" spans="41:48" x14ac:dyDescent="0.35">
      <c r="AO6659"/>
      <c r="AP6659"/>
      <c r="AQ6659"/>
      <c r="AR6659"/>
      <c r="AS6659"/>
      <c r="AT6659"/>
      <c r="AU6659"/>
      <c r="AV6659"/>
    </row>
    <row r="6660" spans="41:48" x14ac:dyDescent="0.35">
      <c r="AO6660"/>
      <c r="AP6660"/>
      <c r="AQ6660"/>
      <c r="AR6660"/>
      <c r="AS6660"/>
      <c r="AT6660"/>
      <c r="AU6660"/>
      <c r="AV6660"/>
    </row>
    <row r="6661" spans="41:48" x14ac:dyDescent="0.35">
      <c r="AO6661"/>
      <c r="AP6661"/>
      <c r="AQ6661"/>
      <c r="AR6661"/>
      <c r="AS6661"/>
      <c r="AT6661"/>
      <c r="AU6661"/>
      <c r="AV6661"/>
    </row>
    <row r="6662" spans="41:48" x14ac:dyDescent="0.35">
      <c r="AO6662"/>
      <c r="AP6662"/>
      <c r="AQ6662"/>
      <c r="AR6662"/>
      <c r="AS6662"/>
      <c r="AT6662"/>
      <c r="AU6662"/>
      <c r="AV6662"/>
    </row>
    <row r="6663" spans="41:48" x14ac:dyDescent="0.35">
      <c r="AO6663"/>
      <c r="AP6663"/>
      <c r="AQ6663"/>
      <c r="AR6663"/>
      <c r="AS6663"/>
      <c r="AT6663"/>
      <c r="AU6663"/>
      <c r="AV6663"/>
    </row>
    <row r="6664" spans="41:48" x14ac:dyDescent="0.35">
      <c r="AO6664"/>
      <c r="AP6664"/>
      <c r="AQ6664"/>
      <c r="AR6664"/>
      <c r="AS6664"/>
      <c r="AT6664"/>
      <c r="AU6664"/>
      <c r="AV6664"/>
    </row>
    <row r="6665" spans="41:48" x14ac:dyDescent="0.35">
      <c r="AO6665"/>
      <c r="AP6665"/>
      <c r="AQ6665"/>
      <c r="AR6665"/>
      <c r="AS6665"/>
      <c r="AT6665"/>
      <c r="AU6665"/>
      <c r="AV6665"/>
    </row>
    <row r="6666" spans="41:48" x14ac:dyDescent="0.35">
      <c r="AO6666"/>
      <c r="AP6666"/>
      <c r="AQ6666"/>
      <c r="AR6666"/>
      <c r="AS6666"/>
      <c r="AT6666"/>
      <c r="AU6666"/>
      <c r="AV6666"/>
    </row>
    <row r="6667" spans="41:48" x14ac:dyDescent="0.35">
      <c r="AO6667"/>
      <c r="AP6667"/>
      <c r="AQ6667"/>
      <c r="AR6667"/>
      <c r="AS6667"/>
      <c r="AT6667"/>
      <c r="AU6667"/>
      <c r="AV6667"/>
    </row>
    <row r="6668" spans="41:48" x14ac:dyDescent="0.35">
      <c r="AO6668"/>
      <c r="AP6668"/>
      <c r="AQ6668"/>
      <c r="AR6668"/>
      <c r="AS6668"/>
      <c r="AT6668"/>
      <c r="AU6668"/>
      <c r="AV6668"/>
    </row>
    <row r="6669" spans="41:48" x14ac:dyDescent="0.35">
      <c r="AO6669"/>
      <c r="AP6669"/>
      <c r="AQ6669"/>
      <c r="AR6669"/>
      <c r="AS6669"/>
      <c r="AT6669"/>
      <c r="AU6669"/>
      <c r="AV6669"/>
    </row>
    <row r="6670" spans="41:48" x14ac:dyDescent="0.35">
      <c r="AO6670"/>
      <c r="AP6670"/>
      <c r="AQ6670"/>
      <c r="AR6670"/>
      <c r="AS6670"/>
      <c r="AT6670"/>
      <c r="AU6670"/>
      <c r="AV6670"/>
    </row>
    <row r="6671" spans="41:48" x14ac:dyDescent="0.35">
      <c r="AO6671"/>
      <c r="AP6671"/>
      <c r="AQ6671"/>
      <c r="AR6671"/>
      <c r="AS6671"/>
      <c r="AT6671"/>
      <c r="AU6671"/>
      <c r="AV6671"/>
    </row>
    <row r="6672" spans="41:48" x14ac:dyDescent="0.35">
      <c r="AO6672"/>
      <c r="AP6672"/>
      <c r="AQ6672"/>
      <c r="AR6672"/>
      <c r="AS6672"/>
      <c r="AT6672"/>
      <c r="AU6672"/>
      <c r="AV6672"/>
    </row>
    <row r="6673" spans="41:48" x14ac:dyDescent="0.35">
      <c r="AO6673"/>
      <c r="AP6673"/>
      <c r="AQ6673"/>
      <c r="AR6673"/>
      <c r="AS6673"/>
      <c r="AT6673"/>
      <c r="AU6673"/>
      <c r="AV6673"/>
    </row>
    <row r="6674" spans="41:48" x14ac:dyDescent="0.35">
      <c r="AO6674"/>
      <c r="AP6674"/>
      <c r="AQ6674"/>
      <c r="AR6674"/>
      <c r="AS6674"/>
      <c r="AT6674"/>
      <c r="AU6674"/>
      <c r="AV6674"/>
    </row>
    <row r="6675" spans="41:48" x14ac:dyDescent="0.35">
      <c r="AO6675"/>
      <c r="AP6675"/>
      <c r="AQ6675"/>
      <c r="AR6675"/>
      <c r="AS6675"/>
      <c r="AT6675"/>
      <c r="AU6675"/>
      <c r="AV6675"/>
    </row>
    <row r="6676" spans="41:48" x14ac:dyDescent="0.35">
      <c r="AO6676"/>
      <c r="AP6676"/>
      <c r="AQ6676"/>
      <c r="AR6676"/>
      <c r="AS6676"/>
      <c r="AT6676"/>
      <c r="AU6676"/>
      <c r="AV6676"/>
    </row>
    <row r="6677" spans="41:48" x14ac:dyDescent="0.35">
      <c r="AO6677"/>
      <c r="AP6677"/>
      <c r="AQ6677"/>
      <c r="AR6677"/>
      <c r="AS6677"/>
      <c r="AT6677"/>
      <c r="AU6677"/>
      <c r="AV6677"/>
    </row>
    <row r="6678" spans="41:48" x14ac:dyDescent="0.35">
      <c r="AO6678"/>
      <c r="AP6678"/>
      <c r="AQ6678"/>
      <c r="AR6678"/>
      <c r="AS6678"/>
      <c r="AT6678"/>
      <c r="AU6678"/>
      <c r="AV6678"/>
    </row>
    <row r="6679" spans="41:48" x14ac:dyDescent="0.35">
      <c r="AO6679"/>
      <c r="AP6679"/>
      <c r="AQ6679"/>
      <c r="AR6679"/>
      <c r="AS6679"/>
      <c r="AT6679"/>
      <c r="AU6679"/>
      <c r="AV6679"/>
    </row>
    <row r="6680" spans="41:48" x14ac:dyDescent="0.35">
      <c r="AO6680"/>
      <c r="AP6680"/>
      <c r="AQ6680"/>
      <c r="AR6680"/>
      <c r="AS6680"/>
      <c r="AT6680"/>
      <c r="AU6680"/>
      <c r="AV6680"/>
    </row>
    <row r="6681" spans="41:48" x14ac:dyDescent="0.35">
      <c r="AO6681"/>
      <c r="AP6681"/>
      <c r="AQ6681"/>
      <c r="AR6681"/>
      <c r="AS6681"/>
      <c r="AT6681"/>
      <c r="AU6681"/>
      <c r="AV6681"/>
    </row>
    <row r="6682" spans="41:48" x14ac:dyDescent="0.35">
      <c r="AO6682"/>
      <c r="AP6682"/>
      <c r="AQ6682"/>
      <c r="AR6682"/>
      <c r="AS6682"/>
      <c r="AT6682"/>
      <c r="AU6682"/>
      <c r="AV6682"/>
    </row>
    <row r="6683" spans="41:48" x14ac:dyDescent="0.35">
      <c r="AO6683"/>
      <c r="AP6683"/>
      <c r="AQ6683"/>
      <c r="AR6683"/>
      <c r="AS6683"/>
      <c r="AT6683"/>
      <c r="AU6683"/>
      <c r="AV6683"/>
    </row>
    <row r="6684" spans="41:48" x14ac:dyDescent="0.35">
      <c r="AO6684"/>
      <c r="AP6684"/>
      <c r="AQ6684"/>
      <c r="AR6684"/>
      <c r="AS6684"/>
      <c r="AT6684"/>
      <c r="AU6684"/>
      <c r="AV6684"/>
    </row>
    <row r="6685" spans="41:48" x14ac:dyDescent="0.35">
      <c r="AO6685"/>
      <c r="AP6685"/>
      <c r="AQ6685"/>
      <c r="AR6685"/>
      <c r="AS6685"/>
      <c r="AT6685"/>
      <c r="AU6685"/>
      <c r="AV6685"/>
    </row>
    <row r="6686" spans="41:48" x14ac:dyDescent="0.35">
      <c r="AO6686"/>
      <c r="AP6686"/>
      <c r="AQ6686"/>
      <c r="AR6686"/>
      <c r="AS6686"/>
      <c r="AT6686"/>
      <c r="AU6686"/>
      <c r="AV6686"/>
    </row>
    <row r="6687" spans="41:48" x14ac:dyDescent="0.35">
      <c r="AO6687"/>
      <c r="AP6687"/>
      <c r="AQ6687"/>
      <c r="AR6687"/>
      <c r="AS6687"/>
      <c r="AT6687"/>
      <c r="AU6687"/>
      <c r="AV6687"/>
    </row>
    <row r="6688" spans="41:48" x14ac:dyDescent="0.35">
      <c r="AO6688"/>
      <c r="AP6688"/>
      <c r="AQ6688"/>
      <c r="AR6688"/>
      <c r="AS6688"/>
      <c r="AT6688"/>
      <c r="AU6688"/>
      <c r="AV6688"/>
    </row>
    <row r="6689" spans="41:48" x14ac:dyDescent="0.35">
      <c r="AO6689"/>
      <c r="AP6689"/>
      <c r="AQ6689"/>
      <c r="AR6689"/>
      <c r="AS6689"/>
      <c r="AT6689"/>
      <c r="AU6689"/>
      <c r="AV6689"/>
    </row>
    <row r="6690" spans="41:48" x14ac:dyDescent="0.35">
      <c r="AO6690"/>
      <c r="AP6690"/>
      <c r="AQ6690"/>
      <c r="AR6690"/>
      <c r="AS6690"/>
      <c r="AT6690"/>
      <c r="AU6690"/>
      <c r="AV6690"/>
    </row>
    <row r="6691" spans="41:48" x14ac:dyDescent="0.35">
      <c r="AO6691"/>
      <c r="AP6691"/>
      <c r="AQ6691"/>
      <c r="AR6691"/>
      <c r="AS6691"/>
      <c r="AT6691"/>
      <c r="AU6691"/>
      <c r="AV6691"/>
    </row>
    <row r="6692" spans="41:48" x14ac:dyDescent="0.35">
      <c r="AO6692"/>
      <c r="AP6692"/>
      <c r="AQ6692"/>
      <c r="AR6692"/>
      <c r="AS6692"/>
      <c r="AT6692"/>
      <c r="AU6692"/>
      <c r="AV6692"/>
    </row>
    <row r="6693" spans="41:48" x14ac:dyDescent="0.35">
      <c r="AO6693"/>
      <c r="AP6693"/>
      <c r="AQ6693"/>
      <c r="AR6693"/>
      <c r="AS6693"/>
      <c r="AT6693"/>
      <c r="AU6693"/>
      <c r="AV6693"/>
    </row>
    <row r="6694" spans="41:48" x14ac:dyDescent="0.35">
      <c r="AO6694"/>
      <c r="AP6694"/>
      <c r="AQ6694"/>
      <c r="AR6694"/>
      <c r="AS6694"/>
      <c r="AT6694"/>
      <c r="AU6694"/>
      <c r="AV6694"/>
    </row>
    <row r="6695" spans="41:48" x14ac:dyDescent="0.35">
      <c r="AO6695"/>
      <c r="AP6695"/>
      <c r="AQ6695"/>
      <c r="AR6695"/>
      <c r="AS6695"/>
      <c r="AT6695"/>
      <c r="AU6695"/>
      <c r="AV6695"/>
    </row>
    <row r="6696" spans="41:48" x14ac:dyDescent="0.35">
      <c r="AO6696"/>
      <c r="AP6696"/>
      <c r="AQ6696"/>
      <c r="AR6696"/>
      <c r="AS6696"/>
      <c r="AT6696"/>
      <c r="AU6696"/>
      <c r="AV6696"/>
    </row>
    <row r="6697" spans="41:48" x14ac:dyDescent="0.35">
      <c r="AO6697"/>
      <c r="AP6697"/>
      <c r="AQ6697"/>
      <c r="AR6697"/>
      <c r="AS6697"/>
      <c r="AT6697"/>
      <c r="AU6697"/>
      <c r="AV6697"/>
    </row>
    <row r="6698" spans="41:48" x14ac:dyDescent="0.35">
      <c r="AO6698"/>
      <c r="AP6698"/>
      <c r="AQ6698"/>
      <c r="AR6698"/>
      <c r="AS6698"/>
      <c r="AT6698"/>
      <c r="AU6698"/>
      <c r="AV6698"/>
    </row>
    <row r="6699" spans="41:48" x14ac:dyDescent="0.35">
      <c r="AO6699"/>
      <c r="AP6699"/>
      <c r="AQ6699"/>
      <c r="AR6699"/>
      <c r="AS6699"/>
      <c r="AT6699"/>
      <c r="AU6699"/>
      <c r="AV6699"/>
    </row>
    <row r="6700" spans="41:48" x14ac:dyDescent="0.35">
      <c r="AO6700"/>
      <c r="AP6700"/>
      <c r="AQ6700"/>
      <c r="AR6700"/>
      <c r="AS6700"/>
      <c r="AT6700"/>
      <c r="AU6700"/>
      <c r="AV6700"/>
    </row>
    <row r="6701" spans="41:48" x14ac:dyDescent="0.35">
      <c r="AO6701"/>
      <c r="AP6701"/>
      <c r="AQ6701"/>
      <c r="AR6701"/>
      <c r="AS6701"/>
      <c r="AT6701"/>
      <c r="AU6701"/>
      <c r="AV6701"/>
    </row>
    <row r="6702" spans="41:48" x14ac:dyDescent="0.35">
      <c r="AO6702"/>
      <c r="AP6702"/>
      <c r="AQ6702"/>
      <c r="AR6702"/>
      <c r="AS6702"/>
      <c r="AT6702"/>
      <c r="AU6702"/>
      <c r="AV6702"/>
    </row>
    <row r="6703" spans="41:48" x14ac:dyDescent="0.35">
      <c r="AO6703"/>
      <c r="AP6703"/>
      <c r="AQ6703"/>
      <c r="AR6703"/>
      <c r="AS6703"/>
      <c r="AT6703"/>
      <c r="AU6703"/>
      <c r="AV6703"/>
    </row>
    <row r="6704" spans="41:48" x14ac:dyDescent="0.35">
      <c r="AO6704"/>
      <c r="AP6704"/>
      <c r="AQ6704"/>
      <c r="AR6704"/>
      <c r="AS6704"/>
      <c r="AT6704"/>
      <c r="AU6704"/>
      <c r="AV6704"/>
    </row>
    <row r="6705" spans="41:48" x14ac:dyDescent="0.35">
      <c r="AO6705"/>
      <c r="AP6705"/>
      <c r="AQ6705"/>
      <c r="AR6705"/>
      <c r="AS6705"/>
      <c r="AT6705"/>
      <c r="AU6705"/>
      <c r="AV6705"/>
    </row>
    <row r="6706" spans="41:48" x14ac:dyDescent="0.35">
      <c r="AO6706"/>
      <c r="AP6706"/>
      <c r="AQ6706"/>
      <c r="AR6706"/>
      <c r="AS6706"/>
      <c r="AT6706"/>
      <c r="AU6706"/>
      <c r="AV6706"/>
    </row>
    <row r="6707" spans="41:48" x14ac:dyDescent="0.35">
      <c r="AO6707"/>
      <c r="AP6707"/>
      <c r="AQ6707"/>
      <c r="AR6707"/>
      <c r="AS6707"/>
      <c r="AT6707"/>
      <c r="AU6707"/>
      <c r="AV6707"/>
    </row>
    <row r="6708" spans="41:48" x14ac:dyDescent="0.35">
      <c r="AO6708"/>
      <c r="AP6708"/>
      <c r="AQ6708"/>
      <c r="AR6708"/>
      <c r="AS6708"/>
      <c r="AT6708"/>
      <c r="AU6708"/>
      <c r="AV6708"/>
    </row>
    <row r="6709" spans="41:48" x14ac:dyDescent="0.35">
      <c r="AO6709"/>
      <c r="AP6709"/>
      <c r="AQ6709"/>
      <c r="AR6709"/>
      <c r="AS6709"/>
      <c r="AT6709"/>
      <c r="AU6709"/>
      <c r="AV6709"/>
    </row>
    <row r="6710" spans="41:48" x14ac:dyDescent="0.35">
      <c r="AO6710"/>
      <c r="AP6710"/>
      <c r="AQ6710"/>
      <c r="AR6710"/>
      <c r="AS6710"/>
      <c r="AT6710"/>
      <c r="AU6710"/>
      <c r="AV6710"/>
    </row>
    <row r="6711" spans="41:48" x14ac:dyDescent="0.35">
      <c r="AO6711"/>
      <c r="AP6711"/>
      <c r="AQ6711"/>
      <c r="AR6711"/>
      <c r="AS6711"/>
      <c r="AT6711"/>
      <c r="AU6711"/>
      <c r="AV6711"/>
    </row>
    <row r="6712" spans="41:48" x14ac:dyDescent="0.35">
      <c r="AO6712"/>
      <c r="AP6712"/>
      <c r="AQ6712"/>
      <c r="AR6712"/>
      <c r="AS6712"/>
      <c r="AT6712"/>
      <c r="AU6712"/>
      <c r="AV6712"/>
    </row>
    <row r="6713" spans="41:48" x14ac:dyDescent="0.35">
      <c r="AO6713"/>
      <c r="AP6713"/>
      <c r="AQ6713"/>
      <c r="AR6713"/>
      <c r="AS6713"/>
      <c r="AT6713"/>
      <c r="AU6713"/>
      <c r="AV6713"/>
    </row>
    <row r="6714" spans="41:48" x14ac:dyDescent="0.35">
      <c r="AO6714"/>
      <c r="AP6714"/>
      <c r="AQ6714"/>
      <c r="AR6714"/>
      <c r="AS6714"/>
      <c r="AT6714"/>
      <c r="AU6714"/>
      <c r="AV6714"/>
    </row>
    <row r="6715" spans="41:48" x14ac:dyDescent="0.35">
      <c r="AO6715"/>
      <c r="AP6715"/>
      <c r="AQ6715"/>
      <c r="AR6715"/>
      <c r="AS6715"/>
      <c r="AT6715"/>
      <c r="AU6715"/>
      <c r="AV6715"/>
    </row>
    <row r="6716" spans="41:48" x14ac:dyDescent="0.35">
      <c r="AO6716"/>
      <c r="AP6716"/>
      <c r="AQ6716"/>
      <c r="AR6716"/>
      <c r="AS6716"/>
      <c r="AT6716"/>
      <c r="AU6716"/>
      <c r="AV6716"/>
    </row>
    <row r="6717" spans="41:48" x14ac:dyDescent="0.35">
      <c r="AO6717"/>
      <c r="AP6717"/>
      <c r="AQ6717"/>
      <c r="AR6717"/>
      <c r="AS6717"/>
      <c r="AT6717"/>
      <c r="AU6717"/>
      <c r="AV6717"/>
    </row>
    <row r="6718" spans="41:48" x14ac:dyDescent="0.35">
      <c r="AO6718"/>
      <c r="AP6718"/>
      <c r="AQ6718"/>
      <c r="AR6718"/>
      <c r="AS6718"/>
      <c r="AT6718"/>
      <c r="AU6718"/>
      <c r="AV6718"/>
    </row>
    <row r="6719" spans="41:48" x14ac:dyDescent="0.35">
      <c r="AO6719"/>
      <c r="AP6719"/>
      <c r="AQ6719"/>
      <c r="AR6719"/>
      <c r="AS6719"/>
      <c r="AT6719"/>
      <c r="AU6719"/>
      <c r="AV6719"/>
    </row>
    <row r="6720" spans="41:48" x14ac:dyDescent="0.35">
      <c r="AO6720"/>
      <c r="AP6720"/>
      <c r="AQ6720"/>
      <c r="AR6720"/>
      <c r="AS6720"/>
      <c r="AT6720"/>
      <c r="AU6720"/>
      <c r="AV6720"/>
    </row>
    <row r="6721" spans="41:48" x14ac:dyDescent="0.35">
      <c r="AO6721"/>
      <c r="AP6721"/>
      <c r="AQ6721"/>
      <c r="AR6721"/>
      <c r="AS6721"/>
      <c r="AT6721"/>
      <c r="AU6721"/>
      <c r="AV6721"/>
    </row>
    <row r="6722" spans="41:48" x14ac:dyDescent="0.35">
      <c r="AO6722"/>
      <c r="AP6722"/>
      <c r="AQ6722"/>
      <c r="AR6722"/>
      <c r="AS6722"/>
      <c r="AT6722"/>
      <c r="AU6722"/>
      <c r="AV6722"/>
    </row>
    <row r="6723" spans="41:48" x14ac:dyDescent="0.35">
      <c r="AO6723"/>
      <c r="AP6723"/>
      <c r="AQ6723"/>
      <c r="AR6723"/>
      <c r="AS6723"/>
      <c r="AT6723"/>
      <c r="AU6723"/>
      <c r="AV6723"/>
    </row>
    <row r="6724" spans="41:48" x14ac:dyDescent="0.35">
      <c r="AO6724"/>
      <c r="AP6724"/>
      <c r="AQ6724"/>
      <c r="AR6724"/>
      <c r="AS6724"/>
      <c r="AT6724"/>
      <c r="AU6724"/>
      <c r="AV6724"/>
    </row>
    <row r="6725" spans="41:48" x14ac:dyDescent="0.35">
      <c r="AO6725"/>
      <c r="AP6725"/>
      <c r="AQ6725"/>
      <c r="AR6725"/>
      <c r="AS6725"/>
      <c r="AT6725"/>
      <c r="AU6725"/>
      <c r="AV6725"/>
    </row>
    <row r="6726" spans="41:48" x14ac:dyDescent="0.35">
      <c r="AO6726"/>
      <c r="AP6726"/>
      <c r="AQ6726"/>
      <c r="AR6726"/>
      <c r="AS6726"/>
      <c r="AT6726"/>
      <c r="AU6726"/>
      <c r="AV6726"/>
    </row>
    <row r="6727" spans="41:48" x14ac:dyDescent="0.35">
      <c r="AO6727"/>
      <c r="AP6727"/>
      <c r="AQ6727"/>
      <c r="AR6727"/>
      <c r="AS6727"/>
      <c r="AT6727"/>
      <c r="AU6727"/>
      <c r="AV6727"/>
    </row>
    <row r="6728" spans="41:48" x14ac:dyDescent="0.35">
      <c r="AO6728"/>
      <c r="AP6728"/>
      <c r="AQ6728"/>
      <c r="AR6728"/>
      <c r="AS6728"/>
      <c r="AT6728"/>
      <c r="AU6728"/>
      <c r="AV6728"/>
    </row>
    <row r="6729" spans="41:48" x14ac:dyDescent="0.35">
      <c r="AO6729"/>
      <c r="AP6729"/>
      <c r="AQ6729"/>
      <c r="AR6729"/>
      <c r="AS6729"/>
      <c r="AT6729"/>
      <c r="AU6729"/>
      <c r="AV6729"/>
    </row>
    <row r="6730" spans="41:48" x14ac:dyDescent="0.35">
      <c r="AO6730"/>
      <c r="AP6730"/>
      <c r="AQ6730"/>
      <c r="AR6730"/>
      <c r="AS6730"/>
      <c r="AT6730"/>
      <c r="AU6730"/>
      <c r="AV6730"/>
    </row>
    <row r="6731" spans="41:48" x14ac:dyDescent="0.35">
      <c r="AO6731"/>
      <c r="AP6731"/>
      <c r="AQ6731"/>
      <c r="AR6731"/>
      <c r="AS6731"/>
      <c r="AT6731"/>
      <c r="AU6731"/>
      <c r="AV6731"/>
    </row>
    <row r="6732" spans="41:48" x14ac:dyDescent="0.35">
      <c r="AO6732"/>
      <c r="AP6732"/>
      <c r="AQ6732"/>
      <c r="AR6732"/>
      <c r="AS6732"/>
      <c r="AT6732"/>
      <c r="AU6732"/>
      <c r="AV6732"/>
    </row>
    <row r="6733" spans="41:48" x14ac:dyDescent="0.35">
      <c r="AO6733"/>
      <c r="AP6733"/>
      <c r="AQ6733"/>
      <c r="AR6733"/>
      <c r="AS6733"/>
      <c r="AT6733"/>
      <c r="AU6733"/>
      <c r="AV6733"/>
    </row>
    <row r="6734" spans="41:48" x14ac:dyDescent="0.35">
      <c r="AO6734"/>
      <c r="AP6734"/>
      <c r="AQ6734"/>
      <c r="AR6734"/>
      <c r="AS6734"/>
      <c r="AT6734"/>
      <c r="AU6734"/>
      <c r="AV6734"/>
    </row>
    <row r="6735" spans="41:48" x14ac:dyDescent="0.35">
      <c r="AO6735"/>
      <c r="AP6735"/>
      <c r="AQ6735"/>
      <c r="AR6735"/>
      <c r="AS6735"/>
      <c r="AT6735"/>
      <c r="AU6735"/>
      <c r="AV6735"/>
    </row>
    <row r="6736" spans="41:48" x14ac:dyDescent="0.35">
      <c r="AO6736"/>
      <c r="AP6736"/>
      <c r="AQ6736"/>
      <c r="AR6736"/>
      <c r="AS6736"/>
      <c r="AT6736"/>
      <c r="AU6736"/>
      <c r="AV6736"/>
    </row>
    <row r="6737" spans="41:48" x14ac:dyDescent="0.35">
      <c r="AO6737"/>
      <c r="AP6737"/>
      <c r="AQ6737"/>
      <c r="AR6737"/>
      <c r="AS6737"/>
      <c r="AT6737"/>
      <c r="AU6737"/>
      <c r="AV6737"/>
    </row>
    <row r="6738" spans="41:48" x14ac:dyDescent="0.35">
      <c r="AO6738"/>
      <c r="AP6738"/>
      <c r="AQ6738"/>
      <c r="AR6738"/>
      <c r="AS6738"/>
      <c r="AT6738"/>
      <c r="AU6738"/>
      <c r="AV6738"/>
    </row>
    <row r="6739" spans="41:48" x14ac:dyDescent="0.35">
      <c r="AO6739"/>
      <c r="AP6739"/>
      <c r="AQ6739"/>
      <c r="AR6739"/>
      <c r="AS6739"/>
      <c r="AT6739"/>
      <c r="AU6739"/>
      <c r="AV6739"/>
    </row>
    <row r="6740" spans="41:48" x14ac:dyDescent="0.35">
      <c r="AO6740"/>
      <c r="AP6740"/>
      <c r="AQ6740"/>
      <c r="AR6740"/>
      <c r="AS6740"/>
      <c r="AT6740"/>
      <c r="AU6740"/>
      <c r="AV6740"/>
    </row>
    <row r="6741" spans="41:48" x14ac:dyDescent="0.35">
      <c r="AO6741"/>
      <c r="AP6741"/>
      <c r="AQ6741"/>
      <c r="AR6741"/>
      <c r="AS6741"/>
      <c r="AT6741"/>
      <c r="AU6741"/>
      <c r="AV6741"/>
    </row>
    <row r="6742" spans="41:48" x14ac:dyDescent="0.35">
      <c r="AO6742"/>
      <c r="AP6742"/>
      <c r="AQ6742"/>
      <c r="AR6742"/>
      <c r="AS6742"/>
      <c r="AT6742"/>
      <c r="AU6742"/>
      <c r="AV6742"/>
    </row>
    <row r="6743" spans="41:48" x14ac:dyDescent="0.35">
      <c r="AO6743"/>
      <c r="AP6743"/>
      <c r="AQ6743"/>
      <c r="AR6743"/>
      <c r="AS6743"/>
      <c r="AT6743"/>
      <c r="AU6743"/>
      <c r="AV6743"/>
    </row>
    <row r="6744" spans="41:48" x14ac:dyDescent="0.35">
      <c r="AO6744"/>
      <c r="AP6744"/>
      <c r="AQ6744"/>
      <c r="AR6744"/>
      <c r="AS6744"/>
      <c r="AT6744"/>
      <c r="AU6744"/>
      <c r="AV6744"/>
    </row>
    <row r="6745" spans="41:48" x14ac:dyDescent="0.35">
      <c r="AO6745"/>
      <c r="AP6745"/>
      <c r="AQ6745"/>
      <c r="AR6745"/>
      <c r="AS6745"/>
      <c r="AT6745"/>
      <c r="AU6745"/>
      <c r="AV6745"/>
    </row>
    <row r="6746" spans="41:48" x14ac:dyDescent="0.35">
      <c r="AO6746"/>
      <c r="AP6746"/>
      <c r="AQ6746"/>
      <c r="AR6746"/>
      <c r="AS6746"/>
      <c r="AT6746"/>
      <c r="AU6746"/>
      <c r="AV6746"/>
    </row>
    <row r="6747" spans="41:48" x14ac:dyDescent="0.35">
      <c r="AO6747"/>
      <c r="AP6747"/>
      <c r="AQ6747"/>
      <c r="AR6747"/>
      <c r="AS6747"/>
      <c r="AT6747"/>
      <c r="AU6747"/>
      <c r="AV6747"/>
    </row>
    <row r="6748" spans="41:48" x14ac:dyDescent="0.35">
      <c r="AO6748"/>
      <c r="AP6748"/>
      <c r="AQ6748"/>
      <c r="AR6748"/>
      <c r="AS6748"/>
      <c r="AT6748"/>
      <c r="AU6748"/>
      <c r="AV6748"/>
    </row>
    <row r="6749" spans="41:48" x14ac:dyDescent="0.35">
      <c r="AO6749"/>
      <c r="AP6749"/>
      <c r="AQ6749"/>
      <c r="AR6749"/>
      <c r="AS6749"/>
      <c r="AT6749"/>
      <c r="AU6749"/>
      <c r="AV6749"/>
    </row>
    <row r="6750" spans="41:48" x14ac:dyDescent="0.35">
      <c r="AO6750"/>
      <c r="AP6750"/>
      <c r="AQ6750"/>
      <c r="AR6750"/>
      <c r="AS6750"/>
      <c r="AT6750"/>
      <c r="AU6750"/>
      <c r="AV6750"/>
    </row>
    <row r="6751" spans="41:48" x14ac:dyDescent="0.35">
      <c r="AO6751"/>
      <c r="AP6751"/>
      <c r="AQ6751"/>
      <c r="AR6751"/>
      <c r="AS6751"/>
      <c r="AT6751"/>
      <c r="AU6751"/>
      <c r="AV6751"/>
    </row>
    <row r="6752" spans="41:48" x14ac:dyDescent="0.35">
      <c r="AO6752"/>
      <c r="AP6752"/>
      <c r="AQ6752"/>
      <c r="AR6752"/>
      <c r="AS6752"/>
      <c r="AT6752"/>
      <c r="AU6752"/>
      <c r="AV6752"/>
    </row>
    <row r="6753" spans="41:48" x14ac:dyDescent="0.35">
      <c r="AO6753"/>
      <c r="AP6753"/>
      <c r="AQ6753"/>
      <c r="AR6753"/>
      <c r="AS6753"/>
      <c r="AT6753"/>
      <c r="AU6753"/>
      <c r="AV6753"/>
    </row>
    <row r="6754" spans="41:48" x14ac:dyDescent="0.35">
      <c r="AO6754"/>
      <c r="AP6754"/>
      <c r="AQ6754"/>
      <c r="AR6754"/>
      <c r="AS6754"/>
      <c r="AT6754"/>
      <c r="AU6754"/>
      <c r="AV6754"/>
    </row>
    <row r="6755" spans="41:48" x14ac:dyDescent="0.35">
      <c r="AO6755"/>
      <c r="AP6755"/>
      <c r="AQ6755"/>
      <c r="AR6755"/>
      <c r="AS6755"/>
      <c r="AT6755"/>
      <c r="AU6755"/>
      <c r="AV6755"/>
    </row>
    <row r="6756" spans="41:48" x14ac:dyDescent="0.35">
      <c r="AO6756"/>
      <c r="AP6756"/>
      <c r="AQ6756"/>
      <c r="AR6756"/>
      <c r="AS6756"/>
      <c r="AT6756"/>
      <c r="AU6756"/>
      <c r="AV6756"/>
    </row>
    <row r="6757" spans="41:48" x14ac:dyDescent="0.35">
      <c r="AO6757"/>
      <c r="AP6757"/>
      <c r="AQ6757"/>
      <c r="AR6757"/>
      <c r="AS6757"/>
      <c r="AT6757"/>
      <c r="AU6757"/>
      <c r="AV6757"/>
    </row>
    <row r="6758" spans="41:48" x14ac:dyDescent="0.35">
      <c r="AO6758"/>
      <c r="AP6758"/>
      <c r="AQ6758"/>
      <c r="AR6758"/>
      <c r="AS6758"/>
      <c r="AT6758"/>
      <c r="AU6758"/>
      <c r="AV6758"/>
    </row>
    <row r="6759" spans="41:48" x14ac:dyDescent="0.35">
      <c r="AO6759"/>
      <c r="AP6759"/>
      <c r="AQ6759"/>
      <c r="AR6759"/>
      <c r="AS6759"/>
      <c r="AT6759"/>
      <c r="AU6759"/>
      <c r="AV6759"/>
    </row>
    <row r="6760" spans="41:48" x14ac:dyDescent="0.35">
      <c r="AO6760"/>
      <c r="AP6760"/>
      <c r="AQ6760"/>
      <c r="AR6760"/>
      <c r="AS6760"/>
      <c r="AT6760"/>
      <c r="AU6760"/>
      <c r="AV6760"/>
    </row>
    <row r="6761" spans="41:48" x14ac:dyDescent="0.35">
      <c r="AO6761"/>
      <c r="AP6761"/>
      <c r="AQ6761"/>
      <c r="AR6761"/>
      <c r="AS6761"/>
      <c r="AT6761"/>
      <c r="AU6761"/>
      <c r="AV6761"/>
    </row>
    <row r="6762" spans="41:48" x14ac:dyDescent="0.35">
      <c r="AO6762"/>
      <c r="AP6762"/>
      <c r="AQ6762"/>
      <c r="AR6762"/>
      <c r="AS6762"/>
      <c r="AT6762"/>
      <c r="AU6762"/>
      <c r="AV6762"/>
    </row>
    <row r="6763" spans="41:48" x14ac:dyDescent="0.35">
      <c r="AO6763"/>
      <c r="AP6763"/>
      <c r="AQ6763"/>
      <c r="AR6763"/>
      <c r="AS6763"/>
      <c r="AT6763"/>
      <c r="AU6763"/>
      <c r="AV6763"/>
    </row>
    <row r="6764" spans="41:48" x14ac:dyDescent="0.35">
      <c r="AO6764"/>
      <c r="AP6764"/>
      <c r="AQ6764"/>
      <c r="AR6764"/>
      <c r="AS6764"/>
      <c r="AT6764"/>
      <c r="AU6764"/>
      <c r="AV6764"/>
    </row>
    <row r="6765" spans="41:48" x14ac:dyDescent="0.35">
      <c r="AO6765"/>
      <c r="AP6765"/>
      <c r="AQ6765"/>
      <c r="AR6765"/>
      <c r="AS6765"/>
      <c r="AT6765"/>
      <c r="AU6765"/>
      <c r="AV6765"/>
    </row>
    <row r="6766" spans="41:48" x14ac:dyDescent="0.35">
      <c r="AO6766"/>
      <c r="AP6766"/>
      <c r="AQ6766"/>
      <c r="AR6766"/>
      <c r="AS6766"/>
      <c r="AT6766"/>
      <c r="AU6766"/>
      <c r="AV6766"/>
    </row>
    <row r="6767" spans="41:48" x14ac:dyDescent="0.35">
      <c r="AO6767"/>
      <c r="AP6767"/>
      <c r="AQ6767"/>
      <c r="AR6767"/>
      <c r="AS6767"/>
      <c r="AT6767"/>
      <c r="AU6767"/>
      <c r="AV6767"/>
    </row>
    <row r="6768" spans="41:48" x14ac:dyDescent="0.35">
      <c r="AO6768"/>
      <c r="AP6768"/>
      <c r="AQ6768"/>
      <c r="AR6768"/>
      <c r="AS6768"/>
      <c r="AT6768"/>
      <c r="AU6768"/>
      <c r="AV6768"/>
    </row>
    <row r="6769" spans="41:48" x14ac:dyDescent="0.35">
      <c r="AO6769"/>
      <c r="AP6769"/>
      <c r="AQ6769"/>
      <c r="AR6769"/>
      <c r="AS6769"/>
      <c r="AT6769"/>
      <c r="AU6769"/>
      <c r="AV6769"/>
    </row>
    <row r="6770" spans="41:48" x14ac:dyDescent="0.35">
      <c r="AO6770"/>
      <c r="AP6770"/>
      <c r="AQ6770"/>
      <c r="AR6770"/>
      <c r="AS6770"/>
      <c r="AT6770"/>
      <c r="AU6770"/>
      <c r="AV6770"/>
    </row>
    <row r="6771" spans="41:48" x14ac:dyDescent="0.35">
      <c r="AO6771"/>
      <c r="AP6771"/>
      <c r="AQ6771"/>
      <c r="AR6771"/>
      <c r="AS6771"/>
      <c r="AT6771"/>
      <c r="AU6771"/>
      <c r="AV6771"/>
    </row>
    <row r="6772" spans="41:48" x14ac:dyDescent="0.35">
      <c r="AO6772"/>
      <c r="AP6772"/>
      <c r="AQ6772"/>
      <c r="AR6772"/>
      <c r="AS6772"/>
      <c r="AT6772"/>
      <c r="AU6772"/>
      <c r="AV6772"/>
    </row>
    <row r="6773" spans="41:48" x14ac:dyDescent="0.35">
      <c r="AO6773"/>
      <c r="AP6773"/>
      <c r="AQ6773"/>
      <c r="AR6773"/>
      <c r="AS6773"/>
      <c r="AT6773"/>
      <c r="AU6773"/>
      <c r="AV6773"/>
    </row>
    <row r="6774" spans="41:48" x14ac:dyDescent="0.35">
      <c r="AO6774"/>
      <c r="AP6774"/>
      <c r="AQ6774"/>
      <c r="AR6774"/>
      <c r="AS6774"/>
      <c r="AT6774"/>
      <c r="AU6774"/>
      <c r="AV6774"/>
    </row>
    <row r="6775" spans="41:48" x14ac:dyDescent="0.35">
      <c r="AO6775"/>
      <c r="AP6775"/>
      <c r="AQ6775"/>
      <c r="AR6775"/>
      <c r="AS6775"/>
      <c r="AT6775"/>
      <c r="AU6775"/>
      <c r="AV6775"/>
    </row>
    <row r="6776" spans="41:48" x14ac:dyDescent="0.35">
      <c r="AO6776"/>
      <c r="AP6776"/>
      <c r="AQ6776"/>
      <c r="AR6776"/>
      <c r="AS6776"/>
      <c r="AT6776"/>
      <c r="AU6776"/>
      <c r="AV6776"/>
    </row>
    <row r="6777" spans="41:48" x14ac:dyDescent="0.35">
      <c r="AO6777"/>
      <c r="AP6777"/>
      <c r="AQ6777"/>
      <c r="AR6777"/>
      <c r="AS6777"/>
      <c r="AT6777"/>
      <c r="AU6777"/>
      <c r="AV6777"/>
    </row>
    <row r="6778" spans="41:48" x14ac:dyDescent="0.35">
      <c r="AO6778"/>
      <c r="AP6778"/>
      <c r="AQ6778"/>
      <c r="AR6778"/>
      <c r="AS6778"/>
      <c r="AT6778"/>
      <c r="AU6778"/>
      <c r="AV6778"/>
    </row>
    <row r="6779" spans="41:48" x14ac:dyDescent="0.35">
      <c r="AO6779"/>
      <c r="AP6779"/>
      <c r="AQ6779"/>
      <c r="AR6779"/>
      <c r="AS6779"/>
      <c r="AT6779"/>
      <c r="AU6779"/>
      <c r="AV6779"/>
    </row>
    <row r="6780" spans="41:48" x14ac:dyDescent="0.35">
      <c r="AO6780"/>
      <c r="AP6780"/>
      <c r="AQ6780"/>
      <c r="AR6780"/>
      <c r="AS6780"/>
      <c r="AT6780"/>
      <c r="AU6780"/>
      <c r="AV6780"/>
    </row>
    <row r="6781" spans="41:48" x14ac:dyDescent="0.35">
      <c r="AO6781"/>
      <c r="AP6781"/>
      <c r="AQ6781"/>
      <c r="AR6781"/>
      <c r="AS6781"/>
      <c r="AT6781"/>
      <c r="AU6781"/>
      <c r="AV6781"/>
    </row>
    <row r="6782" spans="41:48" x14ac:dyDescent="0.35">
      <c r="AO6782"/>
      <c r="AP6782"/>
      <c r="AQ6782"/>
      <c r="AR6782"/>
      <c r="AS6782"/>
      <c r="AT6782"/>
      <c r="AU6782"/>
      <c r="AV6782"/>
    </row>
    <row r="6783" spans="41:48" x14ac:dyDescent="0.35">
      <c r="AO6783"/>
      <c r="AP6783"/>
      <c r="AQ6783"/>
      <c r="AR6783"/>
      <c r="AS6783"/>
      <c r="AT6783"/>
      <c r="AU6783"/>
      <c r="AV6783"/>
    </row>
    <row r="6784" spans="41:48" x14ac:dyDescent="0.35">
      <c r="AO6784"/>
      <c r="AP6784"/>
      <c r="AQ6784"/>
      <c r="AR6784"/>
      <c r="AS6784"/>
      <c r="AT6784"/>
      <c r="AU6784"/>
      <c r="AV6784"/>
    </row>
    <row r="6785" spans="41:48" x14ac:dyDescent="0.35">
      <c r="AO6785"/>
      <c r="AP6785"/>
      <c r="AQ6785"/>
      <c r="AR6785"/>
      <c r="AS6785"/>
      <c r="AT6785"/>
      <c r="AU6785"/>
      <c r="AV6785"/>
    </row>
    <row r="6786" spans="41:48" x14ac:dyDescent="0.35">
      <c r="AO6786"/>
      <c r="AP6786"/>
      <c r="AQ6786"/>
      <c r="AR6786"/>
      <c r="AS6786"/>
      <c r="AT6786"/>
      <c r="AU6786"/>
      <c r="AV6786"/>
    </row>
    <row r="6787" spans="41:48" x14ac:dyDescent="0.35">
      <c r="AO6787"/>
      <c r="AP6787"/>
      <c r="AQ6787"/>
      <c r="AR6787"/>
      <c r="AS6787"/>
      <c r="AT6787"/>
      <c r="AU6787"/>
      <c r="AV6787"/>
    </row>
    <row r="6788" spans="41:48" x14ac:dyDescent="0.35">
      <c r="AO6788"/>
      <c r="AP6788"/>
      <c r="AQ6788"/>
      <c r="AR6788"/>
      <c r="AS6788"/>
      <c r="AT6788"/>
      <c r="AU6788"/>
      <c r="AV6788"/>
    </row>
    <row r="6789" spans="41:48" x14ac:dyDescent="0.35">
      <c r="AO6789"/>
      <c r="AP6789"/>
      <c r="AQ6789"/>
      <c r="AR6789"/>
      <c r="AS6789"/>
      <c r="AT6789"/>
      <c r="AU6789"/>
      <c r="AV6789"/>
    </row>
    <row r="6790" spans="41:48" x14ac:dyDescent="0.35">
      <c r="AO6790"/>
      <c r="AP6790"/>
      <c r="AQ6790"/>
      <c r="AR6790"/>
      <c r="AS6790"/>
      <c r="AT6790"/>
      <c r="AU6790"/>
      <c r="AV6790"/>
    </row>
    <row r="6791" spans="41:48" x14ac:dyDescent="0.35">
      <c r="AO6791"/>
      <c r="AP6791"/>
      <c r="AQ6791"/>
      <c r="AR6791"/>
      <c r="AS6791"/>
      <c r="AT6791"/>
      <c r="AU6791"/>
      <c r="AV6791"/>
    </row>
    <row r="6792" spans="41:48" x14ac:dyDescent="0.35">
      <c r="AO6792"/>
      <c r="AP6792"/>
      <c r="AQ6792"/>
      <c r="AR6792"/>
      <c r="AS6792"/>
      <c r="AT6792"/>
      <c r="AU6792"/>
      <c r="AV6792"/>
    </row>
    <row r="6793" spans="41:48" x14ac:dyDescent="0.35">
      <c r="AO6793"/>
      <c r="AP6793"/>
      <c r="AQ6793"/>
      <c r="AR6793"/>
      <c r="AS6793"/>
      <c r="AT6793"/>
      <c r="AU6793"/>
      <c r="AV6793"/>
    </row>
    <row r="6794" spans="41:48" x14ac:dyDescent="0.35">
      <c r="AO6794"/>
      <c r="AP6794"/>
      <c r="AQ6794"/>
      <c r="AR6794"/>
      <c r="AS6794"/>
      <c r="AT6794"/>
      <c r="AU6794"/>
      <c r="AV6794"/>
    </row>
    <row r="6795" spans="41:48" x14ac:dyDescent="0.35">
      <c r="AO6795"/>
      <c r="AP6795"/>
      <c r="AQ6795"/>
      <c r="AR6795"/>
      <c r="AS6795"/>
      <c r="AT6795"/>
      <c r="AU6795"/>
      <c r="AV6795"/>
    </row>
    <row r="6796" spans="41:48" x14ac:dyDescent="0.35">
      <c r="AO6796"/>
      <c r="AP6796"/>
      <c r="AQ6796"/>
      <c r="AR6796"/>
      <c r="AS6796"/>
      <c r="AT6796"/>
      <c r="AU6796"/>
      <c r="AV6796"/>
    </row>
    <row r="6797" spans="41:48" x14ac:dyDescent="0.35">
      <c r="AO6797"/>
      <c r="AP6797"/>
      <c r="AQ6797"/>
      <c r="AR6797"/>
      <c r="AS6797"/>
      <c r="AT6797"/>
      <c r="AU6797"/>
      <c r="AV6797"/>
    </row>
    <row r="6798" spans="41:48" x14ac:dyDescent="0.35">
      <c r="AO6798"/>
      <c r="AP6798"/>
      <c r="AQ6798"/>
      <c r="AR6798"/>
      <c r="AS6798"/>
      <c r="AT6798"/>
      <c r="AU6798"/>
      <c r="AV6798"/>
    </row>
    <row r="6799" spans="41:48" x14ac:dyDescent="0.35">
      <c r="AO6799"/>
      <c r="AP6799"/>
      <c r="AQ6799"/>
      <c r="AR6799"/>
      <c r="AS6799"/>
      <c r="AT6799"/>
      <c r="AU6799"/>
      <c r="AV6799"/>
    </row>
    <row r="6800" spans="41:48" x14ac:dyDescent="0.35">
      <c r="AO6800"/>
      <c r="AP6800"/>
      <c r="AQ6800"/>
      <c r="AR6800"/>
      <c r="AS6800"/>
      <c r="AT6800"/>
      <c r="AU6800"/>
      <c r="AV6800"/>
    </row>
    <row r="6801" spans="41:48" x14ac:dyDescent="0.35">
      <c r="AO6801"/>
      <c r="AP6801"/>
      <c r="AQ6801"/>
      <c r="AR6801"/>
      <c r="AS6801"/>
      <c r="AT6801"/>
      <c r="AU6801"/>
      <c r="AV6801"/>
    </row>
    <row r="6802" spans="41:48" x14ac:dyDescent="0.35">
      <c r="AO6802"/>
      <c r="AP6802"/>
      <c r="AQ6802"/>
      <c r="AR6802"/>
      <c r="AS6802"/>
      <c r="AT6802"/>
      <c r="AU6802"/>
      <c r="AV6802"/>
    </row>
    <row r="6803" spans="41:48" x14ac:dyDescent="0.35">
      <c r="AO6803"/>
      <c r="AP6803"/>
      <c r="AQ6803"/>
      <c r="AR6803"/>
      <c r="AS6803"/>
      <c r="AT6803"/>
      <c r="AU6803"/>
      <c r="AV6803"/>
    </row>
    <row r="6804" spans="41:48" x14ac:dyDescent="0.35">
      <c r="AO6804"/>
      <c r="AP6804"/>
      <c r="AQ6804"/>
      <c r="AR6804"/>
      <c r="AS6804"/>
      <c r="AT6804"/>
      <c r="AU6804"/>
      <c r="AV6804"/>
    </row>
    <row r="6805" spans="41:48" x14ac:dyDescent="0.35">
      <c r="AO6805"/>
      <c r="AP6805"/>
      <c r="AQ6805"/>
      <c r="AR6805"/>
      <c r="AS6805"/>
      <c r="AT6805"/>
      <c r="AU6805"/>
      <c r="AV6805"/>
    </row>
    <row r="6806" spans="41:48" x14ac:dyDescent="0.35">
      <c r="AO6806"/>
      <c r="AP6806"/>
      <c r="AQ6806"/>
      <c r="AR6806"/>
      <c r="AS6806"/>
      <c r="AT6806"/>
      <c r="AU6806"/>
      <c r="AV6806"/>
    </row>
    <row r="6807" spans="41:48" x14ac:dyDescent="0.35">
      <c r="AO6807"/>
      <c r="AP6807"/>
      <c r="AQ6807"/>
      <c r="AR6807"/>
      <c r="AS6807"/>
      <c r="AT6807"/>
      <c r="AU6807"/>
      <c r="AV6807"/>
    </row>
    <row r="6808" spans="41:48" x14ac:dyDescent="0.35">
      <c r="AO6808"/>
      <c r="AP6808"/>
      <c r="AQ6808"/>
      <c r="AR6808"/>
      <c r="AS6808"/>
      <c r="AT6808"/>
      <c r="AU6808"/>
      <c r="AV6808"/>
    </row>
    <row r="6809" spans="41:48" x14ac:dyDescent="0.35">
      <c r="AO6809"/>
      <c r="AP6809"/>
      <c r="AQ6809"/>
      <c r="AR6809"/>
      <c r="AS6809"/>
      <c r="AT6809"/>
      <c r="AU6809"/>
      <c r="AV6809"/>
    </row>
    <row r="6810" spans="41:48" x14ac:dyDescent="0.35">
      <c r="AO6810"/>
      <c r="AP6810"/>
      <c r="AQ6810"/>
      <c r="AR6810"/>
      <c r="AS6810"/>
      <c r="AT6810"/>
      <c r="AU6810"/>
      <c r="AV6810"/>
    </row>
    <row r="6811" spans="41:48" x14ac:dyDescent="0.35">
      <c r="AO6811"/>
      <c r="AP6811"/>
      <c r="AQ6811"/>
      <c r="AR6811"/>
      <c r="AS6811"/>
      <c r="AT6811"/>
      <c r="AU6811"/>
      <c r="AV6811"/>
    </row>
    <row r="6812" spans="41:48" x14ac:dyDescent="0.35">
      <c r="AO6812"/>
      <c r="AP6812"/>
      <c r="AQ6812"/>
      <c r="AR6812"/>
      <c r="AS6812"/>
      <c r="AT6812"/>
      <c r="AU6812"/>
      <c r="AV6812"/>
    </row>
    <row r="6813" spans="41:48" x14ac:dyDescent="0.35">
      <c r="AO6813"/>
      <c r="AP6813"/>
      <c r="AQ6813"/>
      <c r="AR6813"/>
      <c r="AS6813"/>
      <c r="AT6813"/>
      <c r="AU6813"/>
      <c r="AV6813"/>
    </row>
    <row r="6814" spans="41:48" x14ac:dyDescent="0.35">
      <c r="AO6814"/>
      <c r="AP6814"/>
      <c r="AQ6814"/>
      <c r="AR6814"/>
      <c r="AS6814"/>
      <c r="AT6814"/>
      <c r="AU6814"/>
      <c r="AV6814"/>
    </row>
    <row r="6815" spans="41:48" x14ac:dyDescent="0.35">
      <c r="AO6815"/>
      <c r="AP6815"/>
      <c r="AQ6815"/>
      <c r="AR6815"/>
      <c r="AS6815"/>
      <c r="AT6815"/>
      <c r="AU6815"/>
      <c r="AV6815"/>
    </row>
    <row r="6816" spans="41:48" x14ac:dyDescent="0.35">
      <c r="AO6816"/>
      <c r="AP6816"/>
      <c r="AQ6816"/>
      <c r="AR6816"/>
      <c r="AS6816"/>
      <c r="AT6816"/>
      <c r="AU6816"/>
      <c r="AV6816"/>
    </row>
    <row r="6817" spans="41:48" x14ac:dyDescent="0.35">
      <c r="AO6817"/>
      <c r="AP6817"/>
      <c r="AQ6817"/>
      <c r="AR6817"/>
      <c r="AS6817"/>
      <c r="AT6817"/>
      <c r="AU6817"/>
      <c r="AV6817"/>
    </row>
    <row r="6818" spans="41:48" x14ac:dyDescent="0.35">
      <c r="AO6818"/>
      <c r="AP6818"/>
      <c r="AQ6818"/>
      <c r="AR6818"/>
      <c r="AS6818"/>
      <c r="AT6818"/>
      <c r="AU6818"/>
      <c r="AV6818"/>
    </row>
    <row r="6819" spans="41:48" x14ac:dyDescent="0.35">
      <c r="AO6819"/>
      <c r="AP6819"/>
      <c r="AQ6819"/>
      <c r="AR6819"/>
      <c r="AS6819"/>
      <c r="AT6819"/>
      <c r="AU6819"/>
      <c r="AV6819"/>
    </row>
    <row r="6820" spans="41:48" x14ac:dyDescent="0.35">
      <c r="AO6820"/>
      <c r="AP6820"/>
      <c r="AQ6820"/>
      <c r="AR6820"/>
      <c r="AS6820"/>
      <c r="AT6820"/>
      <c r="AU6820"/>
      <c r="AV6820"/>
    </row>
    <row r="6821" spans="41:48" x14ac:dyDescent="0.35">
      <c r="AO6821"/>
      <c r="AP6821"/>
      <c r="AQ6821"/>
      <c r="AR6821"/>
      <c r="AS6821"/>
      <c r="AT6821"/>
      <c r="AU6821"/>
      <c r="AV6821"/>
    </row>
    <row r="6822" spans="41:48" x14ac:dyDescent="0.35">
      <c r="AO6822"/>
      <c r="AP6822"/>
      <c r="AQ6822"/>
      <c r="AR6822"/>
      <c r="AS6822"/>
      <c r="AT6822"/>
      <c r="AU6822"/>
      <c r="AV6822"/>
    </row>
    <row r="6823" spans="41:48" x14ac:dyDescent="0.35">
      <c r="AO6823"/>
      <c r="AP6823"/>
      <c r="AQ6823"/>
      <c r="AR6823"/>
      <c r="AS6823"/>
      <c r="AT6823"/>
      <c r="AU6823"/>
      <c r="AV6823"/>
    </row>
    <row r="6824" spans="41:48" x14ac:dyDescent="0.35">
      <c r="AO6824"/>
      <c r="AP6824"/>
      <c r="AQ6824"/>
      <c r="AR6824"/>
      <c r="AS6824"/>
      <c r="AT6824"/>
      <c r="AU6824"/>
      <c r="AV6824"/>
    </row>
    <row r="6825" spans="41:48" x14ac:dyDescent="0.35">
      <c r="AO6825"/>
      <c r="AP6825"/>
      <c r="AQ6825"/>
      <c r="AR6825"/>
      <c r="AS6825"/>
      <c r="AT6825"/>
      <c r="AU6825"/>
      <c r="AV6825"/>
    </row>
    <row r="6826" spans="41:48" x14ac:dyDescent="0.35">
      <c r="AO6826"/>
      <c r="AP6826"/>
      <c r="AQ6826"/>
      <c r="AR6826"/>
      <c r="AS6826"/>
      <c r="AT6826"/>
      <c r="AU6826"/>
      <c r="AV6826"/>
    </row>
    <row r="6827" spans="41:48" x14ac:dyDescent="0.35">
      <c r="AO6827"/>
      <c r="AP6827"/>
      <c r="AQ6827"/>
      <c r="AR6827"/>
      <c r="AS6827"/>
      <c r="AT6827"/>
      <c r="AU6827"/>
      <c r="AV6827"/>
    </row>
    <row r="6828" spans="41:48" x14ac:dyDescent="0.35">
      <c r="AO6828"/>
      <c r="AP6828"/>
      <c r="AQ6828"/>
      <c r="AR6828"/>
      <c r="AS6828"/>
      <c r="AT6828"/>
      <c r="AU6828"/>
      <c r="AV6828"/>
    </row>
    <row r="6829" spans="41:48" x14ac:dyDescent="0.35">
      <c r="AO6829"/>
      <c r="AP6829"/>
      <c r="AQ6829"/>
      <c r="AR6829"/>
      <c r="AS6829"/>
      <c r="AT6829"/>
      <c r="AU6829"/>
      <c r="AV6829"/>
    </row>
    <row r="6830" spans="41:48" x14ac:dyDescent="0.35">
      <c r="AO6830"/>
      <c r="AP6830"/>
      <c r="AQ6830"/>
      <c r="AR6830"/>
      <c r="AS6830"/>
      <c r="AT6830"/>
      <c r="AU6830"/>
      <c r="AV6830"/>
    </row>
    <row r="6831" spans="41:48" x14ac:dyDescent="0.35">
      <c r="AO6831"/>
      <c r="AP6831"/>
      <c r="AQ6831"/>
      <c r="AR6831"/>
      <c r="AS6831"/>
      <c r="AT6831"/>
      <c r="AU6831"/>
      <c r="AV6831"/>
    </row>
    <row r="6832" spans="41:48" x14ac:dyDescent="0.35">
      <c r="AO6832"/>
      <c r="AP6832"/>
      <c r="AQ6832"/>
      <c r="AR6832"/>
      <c r="AS6832"/>
      <c r="AT6832"/>
      <c r="AU6832"/>
      <c r="AV6832"/>
    </row>
    <row r="6833" spans="41:48" x14ac:dyDescent="0.35">
      <c r="AO6833"/>
      <c r="AP6833"/>
      <c r="AQ6833"/>
      <c r="AR6833"/>
      <c r="AS6833"/>
      <c r="AT6833"/>
      <c r="AU6833"/>
      <c r="AV6833"/>
    </row>
    <row r="6834" spans="41:48" x14ac:dyDescent="0.35">
      <c r="AO6834"/>
      <c r="AP6834"/>
      <c r="AQ6834"/>
      <c r="AR6834"/>
      <c r="AS6834"/>
      <c r="AT6834"/>
      <c r="AU6834"/>
      <c r="AV6834"/>
    </row>
    <row r="6835" spans="41:48" x14ac:dyDescent="0.35">
      <c r="AO6835"/>
      <c r="AP6835"/>
      <c r="AQ6835"/>
      <c r="AR6835"/>
      <c r="AS6835"/>
      <c r="AT6835"/>
      <c r="AU6835"/>
      <c r="AV6835"/>
    </row>
    <row r="6836" spans="41:48" x14ac:dyDescent="0.35">
      <c r="AO6836"/>
      <c r="AP6836"/>
      <c r="AQ6836"/>
      <c r="AR6836"/>
      <c r="AS6836"/>
      <c r="AT6836"/>
      <c r="AU6836"/>
      <c r="AV6836"/>
    </row>
    <row r="6837" spans="41:48" x14ac:dyDescent="0.35">
      <c r="AO6837"/>
      <c r="AP6837"/>
      <c r="AQ6837"/>
      <c r="AR6837"/>
      <c r="AS6837"/>
      <c r="AT6837"/>
      <c r="AU6837"/>
      <c r="AV6837"/>
    </row>
    <row r="6838" spans="41:48" x14ac:dyDescent="0.35">
      <c r="AO6838"/>
      <c r="AP6838"/>
      <c r="AQ6838"/>
      <c r="AR6838"/>
      <c r="AS6838"/>
      <c r="AT6838"/>
      <c r="AU6838"/>
      <c r="AV6838"/>
    </row>
    <row r="6839" spans="41:48" x14ac:dyDescent="0.35">
      <c r="AO6839"/>
      <c r="AP6839"/>
      <c r="AQ6839"/>
      <c r="AR6839"/>
      <c r="AS6839"/>
      <c r="AT6839"/>
      <c r="AU6839"/>
      <c r="AV6839"/>
    </row>
    <row r="6840" spans="41:48" x14ac:dyDescent="0.35">
      <c r="AO6840"/>
      <c r="AP6840"/>
      <c r="AQ6840"/>
      <c r="AR6840"/>
      <c r="AS6840"/>
      <c r="AT6840"/>
      <c r="AU6840"/>
      <c r="AV6840"/>
    </row>
    <row r="6841" spans="41:48" x14ac:dyDescent="0.35">
      <c r="AO6841"/>
      <c r="AP6841"/>
      <c r="AQ6841"/>
      <c r="AR6841"/>
      <c r="AS6841"/>
      <c r="AT6841"/>
      <c r="AU6841"/>
      <c r="AV6841"/>
    </row>
    <row r="6842" spans="41:48" x14ac:dyDescent="0.35">
      <c r="AO6842"/>
      <c r="AP6842"/>
      <c r="AQ6842"/>
      <c r="AR6842"/>
      <c r="AS6842"/>
      <c r="AT6842"/>
      <c r="AU6842"/>
      <c r="AV6842"/>
    </row>
    <row r="6843" spans="41:48" x14ac:dyDescent="0.35">
      <c r="AO6843"/>
      <c r="AP6843"/>
      <c r="AQ6843"/>
      <c r="AR6843"/>
      <c r="AS6843"/>
      <c r="AT6843"/>
      <c r="AU6843"/>
      <c r="AV6843"/>
    </row>
    <row r="6844" spans="41:48" x14ac:dyDescent="0.35">
      <c r="AO6844"/>
      <c r="AP6844"/>
      <c r="AQ6844"/>
      <c r="AR6844"/>
      <c r="AS6844"/>
      <c r="AT6844"/>
      <c r="AU6844"/>
      <c r="AV6844"/>
    </row>
    <row r="6845" spans="41:48" x14ac:dyDescent="0.35">
      <c r="AO6845"/>
      <c r="AP6845"/>
      <c r="AQ6845"/>
      <c r="AR6845"/>
      <c r="AS6845"/>
      <c r="AT6845"/>
      <c r="AU6845"/>
      <c r="AV6845"/>
    </row>
    <row r="6846" spans="41:48" x14ac:dyDescent="0.35">
      <c r="AO6846"/>
      <c r="AP6846"/>
      <c r="AQ6846"/>
      <c r="AR6846"/>
      <c r="AS6846"/>
      <c r="AT6846"/>
      <c r="AU6846"/>
      <c r="AV6846"/>
    </row>
    <row r="6847" spans="41:48" x14ac:dyDescent="0.35">
      <c r="AO6847"/>
      <c r="AP6847"/>
      <c r="AQ6847"/>
      <c r="AR6847"/>
      <c r="AS6847"/>
      <c r="AT6847"/>
      <c r="AU6847"/>
      <c r="AV6847"/>
    </row>
    <row r="6848" spans="41:48" x14ac:dyDescent="0.35">
      <c r="AO6848"/>
      <c r="AP6848"/>
      <c r="AQ6848"/>
      <c r="AR6848"/>
      <c r="AS6848"/>
      <c r="AT6848"/>
      <c r="AU6848"/>
      <c r="AV6848"/>
    </row>
    <row r="6849" spans="41:48" x14ac:dyDescent="0.35">
      <c r="AO6849"/>
      <c r="AP6849"/>
      <c r="AQ6849"/>
      <c r="AR6849"/>
      <c r="AS6849"/>
      <c r="AT6849"/>
      <c r="AU6849"/>
      <c r="AV6849"/>
    </row>
    <row r="6850" spans="41:48" x14ac:dyDescent="0.35">
      <c r="AO6850"/>
      <c r="AP6850"/>
      <c r="AQ6850"/>
      <c r="AR6850"/>
      <c r="AS6850"/>
      <c r="AT6850"/>
      <c r="AU6850"/>
      <c r="AV6850"/>
    </row>
    <row r="6851" spans="41:48" x14ac:dyDescent="0.35">
      <c r="AO6851"/>
      <c r="AP6851"/>
      <c r="AQ6851"/>
      <c r="AR6851"/>
      <c r="AS6851"/>
      <c r="AT6851"/>
      <c r="AU6851"/>
      <c r="AV6851"/>
    </row>
    <row r="6852" spans="41:48" x14ac:dyDescent="0.35">
      <c r="AO6852"/>
      <c r="AP6852"/>
      <c r="AQ6852"/>
      <c r="AR6852"/>
      <c r="AS6852"/>
      <c r="AT6852"/>
      <c r="AU6852"/>
      <c r="AV6852"/>
    </row>
    <row r="6853" spans="41:48" x14ac:dyDescent="0.35">
      <c r="AO6853"/>
      <c r="AP6853"/>
      <c r="AQ6853"/>
      <c r="AR6853"/>
      <c r="AS6853"/>
      <c r="AT6853"/>
      <c r="AU6853"/>
      <c r="AV6853"/>
    </row>
    <row r="6854" spans="41:48" x14ac:dyDescent="0.35">
      <c r="AO6854"/>
      <c r="AP6854"/>
      <c r="AQ6854"/>
      <c r="AR6854"/>
      <c r="AS6854"/>
      <c r="AT6854"/>
      <c r="AU6854"/>
      <c r="AV6854"/>
    </row>
    <row r="6855" spans="41:48" x14ac:dyDescent="0.35">
      <c r="AO6855"/>
      <c r="AP6855"/>
      <c r="AQ6855"/>
      <c r="AR6855"/>
      <c r="AS6855"/>
      <c r="AT6855"/>
      <c r="AU6855"/>
      <c r="AV6855"/>
    </row>
    <row r="6856" spans="41:48" x14ac:dyDescent="0.35">
      <c r="AO6856"/>
      <c r="AP6856"/>
      <c r="AQ6856"/>
      <c r="AR6856"/>
      <c r="AS6856"/>
      <c r="AT6856"/>
      <c r="AU6856"/>
      <c r="AV6856"/>
    </row>
    <row r="6857" spans="41:48" x14ac:dyDescent="0.35">
      <c r="AO6857"/>
      <c r="AP6857"/>
      <c r="AQ6857"/>
      <c r="AR6857"/>
      <c r="AS6857"/>
      <c r="AT6857"/>
      <c r="AU6857"/>
      <c r="AV6857"/>
    </row>
    <row r="6858" spans="41:48" x14ac:dyDescent="0.35">
      <c r="AO6858"/>
      <c r="AP6858"/>
      <c r="AQ6858"/>
      <c r="AR6858"/>
      <c r="AS6858"/>
      <c r="AT6858"/>
      <c r="AU6858"/>
      <c r="AV6858"/>
    </row>
    <row r="6859" spans="41:48" x14ac:dyDescent="0.35">
      <c r="AO6859"/>
      <c r="AP6859"/>
      <c r="AQ6859"/>
      <c r="AR6859"/>
      <c r="AS6859"/>
      <c r="AT6859"/>
      <c r="AU6859"/>
      <c r="AV6859"/>
    </row>
    <row r="6860" spans="41:48" x14ac:dyDescent="0.35">
      <c r="AO6860"/>
      <c r="AP6860"/>
      <c r="AQ6860"/>
      <c r="AR6860"/>
      <c r="AS6860"/>
      <c r="AT6860"/>
      <c r="AU6860"/>
      <c r="AV6860"/>
    </row>
    <row r="6861" spans="41:48" x14ac:dyDescent="0.35">
      <c r="AO6861"/>
      <c r="AP6861"/>
      <c r="AQ6861"/>
      <c r="AR6861"/>
      <c r="AS6861"/>
      <c r="AT6861"/>
      <c r="AU6861"/>
      <c r="AV6861"/>
    </row>
    <row r="6862" spans="41:48" x14ac:dyDescent="0.35">
      <c r="AO6862"/>
      <c r="AP6862"/>
      <c r="AQ6862"/>
      <c r="AR6862"/>
      <c r="AS6862"/>
      <c r="AT6862"/>
      <c r="AU6862"/>
      <c r="AV6862"/>
    </row>
    <row r="6863" spans="41:48" x14ac:dyDescent="0.35">
      <c r="AO6863"/>
      <c r="AP6863"/>
      <c r="AQ6863"/>
      <c r="AR6863"/>
      <c r="AS6863"/>
      <c r="AT6863"/>
      <c r="AU6863"/>
      <c r="AV6863"/>
    </row>
    <row r="6864" spans="41:48" x14ac:dyDescent="0.35">
      <c r="AO6864"/>
      <c r="AP6864"/>
      <c r="AQ6864"/>
      <c r="AR6864"/>
      <c r="AS6864"/>
      <c r="AT6864"/>
      <c r="AU6864"/>
      <c r="AV6864"/>
    </row>
    <row r="6865" spans="41:48" x14ac:dyDescent="0.35">
      <c r="AO6865"/>
      <c r="AP6865"/>
      <c r="AQ6865"/>
      <c r="AR6865"/>
      <c r="AS6865"/>
      <c r="AT6865"/>
      <c r="AU6865"/>
      <c r="AV6865"/>
    </row>
    <row r="6866" spans="41:48" x14ac:dyDescent="0.35">
      <c r="AO6866"/>
      <c r="AP6866"/>
      <c r="AQ6866"/>
      <c r="AR6866"/>
      <c r="AS6866"/>
      <c r="AT6866"/>
      <c r="AU6866"/>
      <c r="AV6866"/>
    </row>
    <row r="6867" spans="41:48" x14ac:dyDescent="0.35">
      <c r="AO6867"/>
      <c r="AP6867"/>
      <c r="AQ6867"/>
      <c r="AR6867"/>
      <c r="AS6867"/>
      <c r="AT6867"/>
      <c r="AU6867"/>
      <c r="AV6867"/>
    </row>
    <row r="6868" spans="41:48" x14ac:dyDescent="0.35">
      <c r="AO6868"/>
      <c r="AP6868"/>
      <c r="AQ6868"/>
      <c r="AR6868"/>
      <c r="AS6868"/>
      <c r="AT6868"/>
      <c r="AU6868"/>
      <c r="AV6868"/>
    </row>
    <row r="6869" spans="41:48" x14ac:dyDescent="0.35">
      <c r="AO6869"/>
      <c r="AP6869"/>
      <c r="AQ6869"/>
      <c r="AR6869"/>
      <c r="AS6869"/>
      <c r="AT6869"/>
      <c r="AU6869"/>
      <c r="AV6869"/>
    </row>
    <row r="6870" spans="41:48" x14ac:dyDescent="0.35">
      <c r="AO6870"/>
      <c r="AP6870"/>
      <c r="AQ6870"/>
      <c r="AR6870"/>
      <c r="AS6870"/>
      <c r="AT6870"/>
      <c r="AU6870"/>
      <c r="AV6870"/>
    </row>
    <row r="6871" spans="41:48" x14ac:dyDescent="0.35">
      <c r="AO6871"/>
      <c r="AP6871"/>
      <c r="AQ6871"/>
      <c r="AR6871"/>
      <c r="AS6871"/>
      <c r="AT6871"/>
      <c r="AU6871"/>
      <c r="AV6871"/>
    </row>
    <row r="6872" spans="41:48" x14ac:dyDescent="0.35">
      <c r="AO6872"/>
      <c r="AP6872"/>
      <c r="AQ6872"/>
      <c r="AR6872"/>
      <c r="AS6872"/>
      <c r="AT6872"/>
      <c r="AU6872"/>
      <c r="AV6872"/>
    </row>
    <row r="6873" spans="41:48" x14ac:dyDescent="0.35">
      <c r="AO6873"/>
      <c r="AP6873"/>
      <c r="AQ6873"/>
      <c r="AR6873"/>
      <c r="AS6873"/>
      <c r="AT6873"/>
      <c r="AU6873"/>
      <c r="AV6873"/>
    </row>
    <row r="6874" spans="41:48" x14ac:dyDescent="0.35">
      <c r="AO6874"/>
      <c r="AP6874"/>
      <c r="AQ6874"/>
      <c r="AR6874"/>
      <c r="AS6874"/>
      <c r="AT6874"/>
      <c r="AU6874"/>
      <c r="AV6874"/>
    </row>
    <row r="6875" spans="41:48" x14ac:dyDescent="0.35">
      <c r="AO6875"/>
      <c r="AP6875"/>
      <c r="AQ6875"/>
      <c r="AR6875"/>
      <c r="AS6875"/>
      <c r="AT6875"/>
      <c r="AU6875"/>
      <c r="AV6875"/>
    </row>
    <row r="6876" spans="41:48" x14ac:dyDescent="0.35">
      <c r="AO6876"/>
      <c r="AP6876"/>
      <c r="AQ6876"/>
      <c r="AR6876"/>
      <c r="AS6876"/>
      <c r="AT6876"/>
      <c r="AU6876"/>
      <c r="AV6876"/>
    </row>
    <row r="6877" spans="41:48" x14ac:dyDescent="0.35">
      <c r="AO6877"/>
      <c r="AP6877"/>
      <c r="AQ6877"/>
      <c r="AR6877"/>
      <c r="AS6877"/>
      <c r="AT6877"/>
      <c r="AU6877"/>
      <c r="AV6877"/>
    </row>
    <row r="6878" spans="41:48" x14ac:dyDescent="0.35">
      <c r="AO6878"/>
      <c r="AP6878"/>
      <c r="AQ6878"/>
      <c r="AR6878"/>
      <c r="AS6878"/>
      <c r="AT6878"/>
      <c r="AU6878"/>
      <c r="AV6878"/>
    </row>
    <row r="6879" spans="41:48" x14ac:dyDescent="0.35">
      <c r="AO6879"/>
      <c r="AP6879"/>
      <c r="AQ6879"/>
      <c r="AR6879"/>
      <c r="AS6879"/>
      <c r="AT6879"/>
      <c r="AU6879"/>
      <c r="AV6879"/>
    </row>
    <row r="6880" spans="41:48" x14ac:dyDescent="0.35">
      <c r="AO6880"/>
      <c r="AP6880"/>
      <c r="AQ6880"/>
      <c r="AR6880"/>
      <c r="AS6880"/>
      <c r="AT6880"/>
      <c r="AU6880"/>
      <c r="AV6880"/>
    </row>
    <row r="6881" spans="41:48" x14ac:dyDescent="0.35">
      <c r="AO6881"/>
      <c r="AP6881"/>
      <c r="AQ6881"/>
      <c r="AR6881"/>
      <c r="AS6881"/>
      <c r="AT6881"/>
      <c r="AU6881"/>
      <c r="AV6881"/>
    </row>
    <row r="6882" spans="41:48" x14ac:dyDescent="0.35">
      <c r="AO6882"/>
      <c r="AP6882"/>
      <c r="AQ6882"/>
      <c r="AR6882"/>
      <c r="AS6882"/>
      <c r="AT6882"/>
      <c r="AU6882"/>
      <c r="AV6882"/>
    </row>
    <row r="6883" spans="41:48" x14ac:dyDescent="0.35">
      <c r="AO6883"/>
      <c r="AP6883"/>
      <c r="AQ6883"/>
      <c r="AR6883"/>
      <c r="AS6883"/>
      <c r="AT6883"/>
      <c r="AU6883"/>
      <c r="AV6883"/>
    </row>
    <row r="6884" spans="41:48" x14ac:dyDescent="0.35">
      <c r="AO6884"/>
      <c r="AP6884"/>
      <c r="AQ6884"/>
      <c r="AR6884"/>
      <c r="AS6884"/>
      <c r="AT6884"/>
      <c r="AU6884"/>
      <c r="AV6884"/>
    </row>
    <row r="6885" spans="41:48" x14ac:dyDescent="0.35">
      <c r="AO6885"/>
      <c r="AP6885"/>
      <c r="AQ6885"/>
      <c r="AR6885"/>
      <c r="AS6885"/>
      <c r="AT6885"/>
      <c r="AU6885"/>
      <c r="AV6885"/>
    </row>
    <row r="6886" spans="41:48" x14ac:dyDescent="0.35">
      <c r="AO6886"/>
      <c r="AP6886"/>
      <c r="AQ6886"/>
      <c r="AR6886"/>
      <c r="AS6886"/>
      <c r="AT6886"/>
      <c r="AU6886"/>
      <c r="AV6886"/>
    </row>
    <row r="6887" spans="41:48" x14ac:dyDescent="0.35">
      <c r="AO6887"/>
      <c r="AP6887"/>
      <c r="AQ6887"/>
      <c r="AR6887"/>
      <c r="AS6887"/>
      <c r="AT6887"/>
      <c r="AU6887"/>
      <c r="AV6887"/>
    </row>
    <row r="6888" spans="41:48" x14ac:dyDescent="0.35">
      <c r="AO6888"/>
      <c r="AP6888"/>
      <c r="AQ6888"/>
      <c r="AR6888"/>
      <c r="AS6888"/>
      <c r="AT6888"/>
      <c r="AU6888"/>
      <c r="AV6888"/>
    </row>
    <row r="6889" spans="41:48" x14ac:dyDescent="0.35">
      <c r="AO6889"/>
      <c r="AP6889"/>
      <c r="AQ6889"/>
      <c r="AR6889"/>
      <c r="AS6889"/>
      <c r="AT6889"/>
      <c r="AU6889"/>
      <c r="AV6889"/>
    </row>
    <row r="6890" spans="41:48" x14ac:dyDescent="0.35">
      <c r="AO6890"/>
      <c r="AP6890"/>
      <c r="AQ6890"/>
      <c r="AR6890"/>
      <c r="AS6890"/>
      <c r="AT6890"/>
      <c r="AU6890"/>
      <c r="AV6890"/>
    </row>
    <row r="6891" spans="41:48" x14ac:dyDescent="0.35">
      <c r="AO6891"/>
      <c r="AP6891"/>
      <c r="AQ6891"/>
      <c r="AR6891"/>
      <c r="AS6891"/>
      <c r="AT6891"/>
      <c r="AU6891"/>
      <c r="AV6891"/>
    </row>
    <row r="6892" spans="41:48" x14ac:dyDescent="0.35">
      <c r="AO6892"/>
      <c r="AP6892"/>
      <c r="AQ6892"/>
      <c r="AR6892"/>
      <c r="AS6892"/>
      <c r="AT6892"/>
      <c r="AU6892"/>
      <c r="AV6892"/>
    </row>
    <row r="6893" spans="41:48" x14ac:dyDescent="0.35">
      <c r="AO6893"/>
      <c r="AP6893"/>
      <c r="AQ6893"/>
      <c r="AR6893"/>
      <c r="AS6893"/>
      <c r="AT6893"/>
      <c r="AU6893"/>
      <c r="AV6893"/>
    </row>
    <row r="6894" spans="41:48" x14ac:dyDescent="0.35">
      <c r="AO6894"/>
      <c r="AP6894"/>
      <c r="AQ6894"/>
      <c r="AR6894"/>
      <c r="AS6894"/>
      <c r="AT6894"/>
      <c r="AU6894"/>
      <c r="AV6894"/>
    </row>
    <row r="6895" spans="41:48" x14ac:dyDescent="0.35">
      <c r="AO6895"/>
      <c r="AP6895"/>
      <c r="AQ6895"/>
      <c r="AR6895"/>
      <c r="AS6895"/>
      <c r="AT6895"/>
      <c r="AU6895"/>
      <c r="AV6895"/>
    </row>
    <row r="6896" spans="41:48" x14ac:dyDescent="0.35">
      <c r="AO6896"/>
      <c r="AP6896"/>
      <c r="AQ6896"/>
      <c r="AR6896"/>
      <c r="AS6896"/>
      <c r="AT6896"/>
      <c r="AU6896"/>
      <c r="AV6896"/>
    </row>
    <row r="6897" spans="41:48" x14ac:dyDescent="0.35">
      <c r="AO6897"/>
      <c r="AP6897"/>
      <c r="AQ6897"/>
      <c r="AR6897"/>
      <c r="AS6897"/>
      <c r="AT6897"/>
      <c r="AU6897"/>
      <c r="AV6897"/>
    </row>
    <row r="6898" spans="41:48" x14ac:dyDescent="0.35">
      <c r="AO6898"/>
      <c r="AP6898"/>
      <c r="AQ6898"/>
      <c r="AR6898"/>
      <c r="AS6898"/>
      <c r="AT6898"/>
      <c r="AU6898"/>
      <c r="AV6898"/>
    </row>
    <row r="6899" spans="41:48" x14ac:dyDescent="0.35">
      <c r="AO6899"/>
      <c r="AP6899"/>
      <c r="AQ6899"/>
      <c r="AR6899"/>
      <c r="AS6899"/>
      <c r="AT6899"/>
      <c r="AU6899"/>
      <c r="AV6899"/>
    </row>
    <row r="6900" spans="41:48" x14ac:dyDescent="0.35">
      <c r="AO6900"/>
      <c r="AP6900"/>
      <c r="AQ6900"/>
      <c r="AR6900"/>
      <c r="AS6900"/>
      <c r="AT6900"/>
      <c r="AU6900"/>
      <c r="AV6900"/>
    </row>
    <row r="6901" spans="41:48" x14ac:dyDescent="0.35">
      <c r="AO6901"/>
      <c r="AP6901"/>
      <c r="AQ6901"/>
      <c r="AR6901"/>
      <c r="AS6901"/>
      <c r="AT6901"/>
      <c r="AU6901"/>
      <c r="AV6901"/>
    </row>
    <row r="6902" spans="41:48" x14ac:dyDescent="0.35">
      <c r="AO6902"/>
      <c r="AP6902"/>
      <c r="AQ6902"/>
      <c r="AR6902"/>
      <c r="AS6902"/>
      <c r="AT6902"/>
      <c r="AU6902"/>
      <c r="AV6902"/>
    </row>
    <row r="6903" spans="41:48" x14ac:dyDescent="0.35">
      <c r="AO6903"/>
      <c r="AP6903"/>
      <c r="AQ6903"/>
      <c r="AR6903"/>
      <c r="AS6903"/>
      <c r="AT6903"/>
      <c r="AU6903"/>
      <c r="AV6903"/>
    </row>
    <row r="6904" spans="41:48" x14ac:dyDescent="0.35">
      <c r="AO6904"/>
      <c r="AP6904"/>
      <c r="AQ6904"/>
      <c r="AR6904"/>
      <c r="AS6904"/>
      <c r="AT6904"/>
      <c r="AU6904"/>
      <c r="AV6904"/>
    </row>
    <row r="6905" spans="41:48" x14ac:dyDescent="0.35">
      <c r="AO6905"/>
      <c r="AP6905"/>
      <c r="AQ6905"/>
      <c r="AR6905"/>
      <c r="AS6905"/>
      <c r="AT6905"/>
      <c r="AU6905"/>
      <c r="AV6905"/>
    </row>
    <row r="6906" spans="41:48" x14ac:dyDescent="0.35">
      <c r="AO6906"/>
      <c r="AP6906"/>
      <c r="AQ6906"/>
      <c r="AR6906"/>
      <c r="AS6906"/>
      <c r="AT6906"/>
      <c r="AU6906"/>
      <c r="AV6906"/>
    </row>
    <row r="6907" spans="41:48" x14ac:dyDescent="0.35">
      <c r="AO6907"/>
      <c r="AP6907"/>
      <c r="AQ6907"/>
      <c r="AR6907"/>
      <c r="AS6907"/>
      <c r="AT6907"/>
      <c r="AU6907"/>
      <c r="AV6907"/>
    </row>
    <row r="6908" spans="41:48" x14ac:dyDescent="0.35">
      <c r="AO6908"/>
      <c r="AP6908"/>
      <c r="AQ6908"/>
      <c r="AR6908"/>
      <c r="AS6908"/>
      <c r="AT6908"/>
      <c r="AU6908"/>
      <c r="AV6908"/>
    </row>
    <row r="6909" spans="41:48" x14ac:dyDescent="0.35">
      <c r="AO6909"/>
      <c r="AP6909"/>
      <c r="AQ6909"/>
      <c r="AR6909"/>
      <c r="AS6909"/>
      <c r="AT6909"/>
      <c r="AU6909"/>
      <c r="AV6909"/>
    </row>
    <row r="6910" spans="41:48" x14ac:dyDescent="0.35">
      <c r="AO6910"/>
      <c r="AP6910"/>
      <c r="AQ6910"/>
      <c r="AR6910"/>
      <c r="AS6910"/>
      <c r="AT6910"/>
      <c r="AU6910"/>
      <c r="AV6910"/>
    </row>
    <row r="6911" spans="41:48" x14ac:dyDescent="0.35">
      <c r="AO6911"/>
      <c r="AP6911"/>
      <c r="AQ6911"/>
      <c r="AR6911"/>
      <c r="AS6911"/>
      <c r="AT6911"/>
      <c r="AU6911"/>
      <c r="AV6911"/>
    </row>
    <row r="6912" spans="41:48" x14ac:dyDescent="0.35">
      <c r="AO6912"/>
      <c r="AP6912"/>
      <c r="AQ6912"/>
      <c r="AR6912"/>
      <c r="AS6912"/>
      <c r="AT6912"/>
      <c r="AU6912"/>
      <c r="AV6912"/>
    </row>
    <row r="6913" spans="41:48" x14ac:dyDescent="0.35">
      <c r="AO6913"/>
      <c r="AP6913"/>
      <c r="AQ6913"/>
      <c r="AR6913"/>
      <c r="AS6913"/>
      <c r="AT6913"/>
      <c r="AU6913"/>
      <c r="AV6913"/>
    </row>
    <row r="6914" spans="41:48" x14ac:dyDescent="0.35">
      <c r="AO6914"/>
      <c r="AP6914"/>
      <c r="AQ6914"/>
      <c r="AR6914"/>
      <c r="AS6914"/>
      <c r="AT6914"/>
      <c r="AU6914"/>
      <c r="AV6914"/>
    </row>
    <row r="6915" spans="41:48" x14ac:dyDescent="0.35">
      <c r="AO6915"/>
      <c r="AP6915"/>
      <c r="AQ6915"/>
      <c r="AR6915"/>
      <c r="AS6915"/>
      <c r="AT6915"/>
      <c r="AU6915"/>
      <c r="AV6915"/>
    </row>
    <row r="6916" spans="41:48" x14ac:dyDescent="0.35">
      <c r="AO6916"/>
      <c r="AP6916"/>
      <c r="AQ6916"/>
      <c r="AR6916"/>
      <c r="AS6916"/>
      <c r="AT6916"/>
      <c r="AU6916"/>
      <c r="AV6916"/>
    </row>
    <row r="6917" spans="41:48" x14ac:dyDescent="0.35">
      <c r="AO6917"/>
      <c r="AP6917"/>
      <c r="AQ6917"/>
      <c r="AR6917"/>
      <c r="AS6917"/>
      <c r="AT6917"/>
      <c r="AU6917"/>
      <c r="AV6917"/>
    </row>
    <row r="6918" spans="41:48" x14ac:dyDescent="0.35">
      <c r="AO6918"/>
      <c r="AP6918"/>
      <c r="AQ6918"/>
      <c r="AR6918"/>
      <c r="AS6918"/>
      <c r="AT6918"/>
      <c r="AU6918"/>
      <c r="AV6918"/>
    </row>
    <row r="6919" spans="41:48" x14ac:dyDescent="0.35">
      <c r="AO6919"/>
      <c r="AP6919"/>
      <c r="AQ6919"/>
      <c r="AR6919"/>
      <c r="AS6919"/>
      <c r="AT6919"/>
      <c r="AU6919"/>
      <c r="AV6919"/>
    </row>
    <row r="6920" spans="41:48" x14ac:dyDescent="0.35">
      <c r="AO6920"/>
      <c r="AP6920"/>
      <c r="AQ6920"/>
      <c r="AR6920"/>
      <c r="AS6920"/>
      <c r="AT6920"/>
      <c r="AU6920"/>
      <c r="AV6920"/>
    </row>
    <row r="6921" spans="41:48" x14ac:dyDescent="0.35">
      <c r="AO6921"/>
      <c r="AP6921"/>
      <c r="AQ6921"/>
      <c r="AR6921"/>
      <c r="AS6921"/>
      <c r="AT6921"/>
      <c r="AU6921"/>
      <c r="AV6921"/>
    </row>
    <row r="6922" spans="41:48" x14ac:dyDescent="0.35">
      <c r="AO6922"/>
      <c r="AP6922"/>
      <c r="AQ6922"/>
      <c r="AR6922"/>
      <c r="AS6922"/>
      <c r="AT6922"/>
      <c r="AU6922"/>
      <c r="AV6922"/>
    </row>
    <row r="6923" spans="41:48" x14ac:dyDescent="0.35">
      <c r="AO6923"/>
      <c r="AP6923"/>
      <c r="AQ6923"/>
      <c r="AR6923"/>
      <c r="AS6923"/>
      <c r="AT6923"/>
      <c r="AU6923"/>
      <c r="AV6923"/>
    </row>
    <row r="6924" spans="41:48" x14ac:dyDescent="0.35">
      <c r="AO6924"/>
      <c r="AP6924"/>
      <c r="AQ6924"/>
      <c r="AR6924"/>
      <c r="AS6924"/>
      <c r="AT6924"/>
      <c r="AU6924"/>
      <c r="AV6924"/>
    </row>
    <row r="6925" spans="41:48" x14ac:dyDescent="0.35">
      <c r="AO6925"/>
      <c r="AP6925"/>
      <c r="AQ6925"/>
      <c r="AR6925"/>
      <c r="AS6925"/>
      <c r="AT6925"/>
      <c r="AU6925"/>
      <c r="AV6925"/>
    </row>
    <row r="6926" spans="41:48" x14ac:dyDescent="0.35">
      <c r="AO6926"/>
      <c r="AP6926"/>
      <c r="AQ6926"/>
      <c r="AR6926"/>
      <c r="AS6926"/>
      <c r="AT6926"/>
      <c r="AU6926"/>
      <c r="AV6926"/>
    </row>
    <row r="6927" spans="41:48" x14ac:dyDescent="0.35">
      <c r="AO6927"/>
      <c r="AP6927"/>
      <c r="AQ6927"/>
      <c r="AR6927"/>
      <c r="AS6927"/>
      <c r="AT6927"/>
      <c r="AU6927"/>
      <c r="AV6927"/>
    </row>
    <row r="6928" spans="41:48" x14ac:dyDescent="0.35">
      <c r="AO6928"/>
      <c r="AP6928"/>
      <c r="AQ6928"/>
      <c r="AR6928"/>
      <c r="AS6928"/>
      <c r="AT6928"/>
      <c r="AU6928"/>
      <c r="AV6928"/>
    </row>
    <row r="6929" spans="41:48" x14ac:dyDescent="0.35">
      <c r="AO6929"/>
      <c r="AP6929"/>
      <c r="AQ6929"/>
      <c r="AR6929"/>
      <c r="AS6929"/>
      <c r="AT6929"/>
      <c r="AU6929"/>
      <c r="AV6929"/>
    </row>
    <row r="6930" spans="41:48" x14ac:dyDescent="0.35">
      <c r="AO6930"/>
      <c r="AP6930"/>
      <c r="AQ6930"/>
      <c r="AR6930"/>
      <c r="AS6930"/>
      <c r="AT6930"/>
      <c r="AU6930"/>
      <c r="AV6930"/>
    </row>
    <row r="6931" spans="41:48" x14ac:dyDescent="0.35">
      <c r="AO6931"/>
      <c r="AP6931"/>
      <c r="AQ6931"/>
      <c r="AR6931"/>
      <c r="AS6931"/>
      <c r="AT6931"/>
      <c r="AU6931"/>
      <c r="AV6931"/>
    </row>
    <row r="6932" spans="41:48" x14ac:dyDescent="0.35">
      <c r="AO6932"/>
      <c r="AP6932"/>
      <c r="AQ6932"/>
      <c r="AR6932"/>
      <c r="AS6932"/>
      <c r="AT6932"/>
      <c r="AU6932"/>
      <c r="AV6932"/>
    </row>
    <row r="6933" spans="41:48" x14ac:dyDescent="0.35">
      <c r="AO6933"/>
      <c r="AP6933"/>
      <c r="AQ6933"/>
      <c r="AR6933"/>
      <c r="AS6933"/>
      <c r="AT6933"/>
      <c r="AU6933"/>
      <c r="AV6933"/>
    </row>
    <row r="6934" spans="41:48" x14ac:dyDescent="0.35">
      <c r="AO6934"/>
      <c r="AP6934"/>
      <c r="AQ6934"/>
      <c r="AR6934"/>
      <c r="AS6934"/>
      <c r="AT6934"/>
      <c r="AU6934"/>
      <c r="AV6934"/>
    </row>
    <row r="6935" spans="41:48" x14ac:dyDescent="0.35">
      <c r="AO6935"/>
      <c r="AP6935"/>
      <c r="AQ6935"/>
      <c r="AR6935"/>
      <c r="AS6935"/>
      <c r="AT6935"/>
      <c r="AU6935"/>
      <c r="AV6935"/>
    </row>
    <row r="6936" spans="41:48" x14ac:dyDescent="0.35">
      <c r="AO6936"/>
      <c r="AP6936"/>
      <c r="AQ6936"/>
      <c r="AR6936"/>
      <c r="AS6936"/>
      <c r="AT6936"/>
      <c r="AU6936"/>
      <c r="AV6936"/>
    </row>
    <row r="6937" spans="41:48" x14ac:dyDescent="0.35">
      <c r="AO6937"/>
      <c r="AP6937"/>
      <c r="AQ6937"/>
      <c r="AR6937"/>
      <c r="AS6937"/>
      <c r="AT6937"/>
      <c r="AU6937"/>
      <c r="AV6937"/>
    </row>
    <row r="6938" spans="41:48" x14ac:dyDescent="0.35">
      <c r="AO6938"/>
      <c r="AP6938"/>
      <c r="AQ6938"/>
      <c r="AR6938"/>
      <c r="AS6938"/>
      <c r="AT6938"/>
      <c r="AU6938"/>
      <c r="AV6938"/>
    </row>
    <row r="6939" spans="41:48" x14ac:dyDescent="0.35">
      <c r="AO6939"/>
      <c r="AP6939"/>
      <c r="AQ6939"/>
      <c r="AR6939"/>
      <c r="AS6939"/>
      <c r="AT6939"/>
      <c r="AU6939"/>
      <c r="AV6939"/>
    </row>
    <row r="6940" spans="41:48" x14ac:dyDescent="0.35">
      <c r="AO6940"/>
      <c r="AP6940"/>
      <c r="AQ6940"/>
      <c r="AR6940"/>
      <c r="AS6940"/>
      <c r="AT6940"/>
      <c r="AU6940"/>
      <c r="AV6940"/>
    </row>
    <row r="6941" spans="41:48" x14ac:dyDescent="0.35">
      <c r="AO6941"/>
      <c r="AP6941"/>
      <c r="AQ6941"/>
      <c r="AR6941"/>
      <c r="AS6941"/>
      <c r="AT6941"/>
      <c r="AU6941"/>
      <c r="AV6941"/>
    </row>
    <row r="6942" spans="41:48" x14ac:dyDescent="0.35">
      <c r="AO6942"/>
      <c r="AP6942"/>
      <c r="AQ6942"/>
      <c r="AR6942"/>
      <c r="AS6942"/>
      <c r="AT6942"/>
      <c r="AU6942"/>
      <c r="AV6942"/>
    </row>
    <row r="6943" spans="41:48" x14ac:dyDescent="0.35">
      <c r="AO6943"/>
      <c r="AP6943"/>
      <c r="AQ6943"/>
      <c r="AR6943"/>
      <c r="AS6943"/>
      <c r="AT6943"/>
      <c r="AU6943"/>
      <c r="AV6943"/>
    </row>
    <row r="6944" spans="41:48" x14ac:dyDescent="0.35">
      <c r="AO6944"/>
      <c r="AP6944"/>
      <c r="AQ6944"/>
      <c r="AR6944"/>
      <c r="AS6944"/>
      <c r="AT6944"/>
      <c r="AU6944"/>
      <c r="AV6944"/>
    </row>
    <row r="6945" spans="41:48" x14ac:dyDescent="0.35">
      <c r="AO6945"/>
      <c r="AP6945"/>
      <c r="AQ6945"/>
      <c r="AR6945"/>
      <c r="AS6945"/>
      <c r="AT6945"/>
      <c r="AU6945"/>
      <c r="AV6945"/>
    </row>
    <row r="6946" spans="41:48" x14ac:dyDescent="0.35">
      <c r="AO6946"/>
      <c r="AP6946"/>
      <c r="AQ6946"/>
      <c r="AR6946"/>
      <c r="AS6946"/>
      <c r="AT6946"/>
      <c r="AU6946"/>
      <c r="AV6946"/>
    </row>
    <row r="6947" spans="41:48" x14ac:dyDescent="0.35">
      <c r="AO6947"/>
      <c r="AP6947"/>
      <c r="AQ6947"/>
      <c r="AR6947"/>
      <c r="AS6947"/>
      <c r="AT6947"/>
      <c r="AU6947"/>
      <c r="AV6947"/>
    </row>
    <row r="6948" spans="41:48" x14ac:dyDescent="0.35">
      <c r="AO6948"/>
      <c r="AP6948"/>
      <c r="AQ6948"/>
      <c r="AR6948"/>
      <c r="AS6948"/>
      <c r="AT6948"/>
      <c r="AU6948"/>
      <c r="AV6948"/>
    </row>
    <row r="6949" spans="41:48" x14ac:dyDescent="0.35">
      <c r="AO6949"/>
      <c r="AP6949"/>
      <c r="AQ6949"/>
      <c r="AR6949"/>
      <c r="AS6949"/>
      <c r="AT6949"/>
      <c r="AU6949"/>
      <c r="AV6949"/>
    </row>
    <row r="6950" spans="41:48" x14ac:dyDescent="0.35">
      <c r="AO6950"/>
      <c r="AP6950"/>
      <c r="AQ6950"/>
      <c r="AR6950"/>
      <c r="AS6950"/>
      <c r="AT6950"/>
      <c r="AU6950"/>
      <c r="AV6950"/>
    </row>
    <row r="6951" spans="41:48" x14ac:dyDescent="0.35">
      <c r="AO6951"/>
      <c r="AP6951"/>
      <c r="AQ6951"/>
      <c r="AR6951"/>
      <c r="AS6951"/>
      <c r="AT6951"/>
      <c r="AU6951"/>
      <c r="AV6951"/>
    </row>
    <row r="6952" spans="41:48" x14ac:dyDescent="0.35">
      <c r="AO6952"/>
      <c r="AP6952"/>
      <c r="AQ6952"/>
      <c r="AR6952"/>
      <c r="AS6952"/>
      <c r="AT6952"/>
      <c r="AU6952"/>
      <c r="AV6952"/>
    </row>
    <row r="6953" spans="41:48" x14ac:dyDescent="0.35">
      <c r="AO6953"/>
      <c r="AP6953"/>
      <c r="AQ6953"/>
      <c r="AR6953"/>
      <c r="AS6953"/>
      <c r="AT6953"/>
      <c r="AU6953"/>
      <c r="AV6953"/>
    </row>
    <row r="6954" spans="41:48" x14ac:dyDescent="0.35">
      <c r="AO6954"/>
      <c r="AP6954"/>
      <c r="AQ6954"/>
      <c r="AR6954"/>
      <c r="AS6954"/>
      <c r="AT6954"/>
      <c r="AU6954"/>
      <c r="AV6954"/>
    </row>
    <row r="6955" spans="41:48" x14ac:dyDescent="0.35">
      <c r="AO6955"/>
      <c r="AP6955"/>
      <c r="AQ6955"/>
      <c r="AR6955"/>
      <c r="AS6955"/>
      <c r="AT6955"/>
      <c r="AU6955"/>
      <c r="AV6955"/>
    </row>
    <row r="6956" spans="41:48" x14ac:dyDescent="0.35">
      <c r="AO6956"/>
      <c r="AP6956"/>
      <c r="AQ6956"/>
      <c r="AR6956"/>
      <c r="AS6956"/>
      <c r="AT6956"/>
      <c r="AU6956"/>
      <c r="AV6956"/>
    </row>
    <row r="6957" spans="41:48" x14ac:dyDescent="0.35">
      <c r="AO6957"/>
      <c r="AP6957"/>
      <c r="AQ6957"/>
      <c r="AR6957"/>
      <c r="AS6957"/>
      <c r="AT6957"/>
      <c r="AU6957"/>
      <c r="AV6957"/>
    </row>
    <row r="6958" spans="41:48" x14ac:dyDescent="0.35">
      <c r="AO6958"/>
      <c r="AP6958"/>
      <c r="AQ6958"/>
      <c r="AR6958"/>
      <c r="AS6958"/>
      <c r="AT6958"/>
      <c r="AU6958"/>
      <c r="AV6958"/>
    </row>
    <row r="6959" spans="41:48" x14ac:dyDescent="0.35">
      <c r="AO6959"/>
      <c r="AP6959"/>
      <c r="AQ6959"/>
      <c r="AR6959"/>
      <c r="AS6959"/>
      <c r="AT6959"/>
      <c r="AU6959"/>
      <c r="AV6959"/>
    </row>
    <row r="6960" spans="41:48" x14ac:dyDescent="0.35">
      <c r="AO6960"/>
      <c r="AP6960"/>
      <c r="AQ6960"/>
      <c r="AR6960"/>
      <c r="AS6960"/>
      <c r="AT6960"/>
      <c r="AU6960"/>
      <c r="AV6960"/>
    </row>
    <row r="6961" spans="41:48" x14ac:dyDescent="0.35">
      <c r="AO6961"/>
      <c r="AP6961"/>
      <c r="AQ6961"/>
      <c r="AR6961"/>
      <c r="AS6961"/>
      <c r="AT6961"/>
      <c r="AU6961"/>
      <c r="AV6961"/>
    </row>
    <row r="6962" spans="41:48" x14ac:dyDescent="0.35">
      <c r="AO6962"/>
      <c r="AP6962"/>
      <c r="AQ6962"/>
      <c r="AR6962"/>
      <c r="AS6962"/>
      <c r="AT6962"/>
      <c r="AU6962"/>
      <c r="AV6962"/>
    </row>
    <row r="6963" spans="41:48" x14ac:dyDescent="0.35">
      <c r="AO6963"/>
      <c r="AP6963"/>
      <c r="AQ6963"/>
      <c r="AR6963"/>
      <c r="AS6963"/>
      <c r="AT6963"/>
      <c r="AU6963"/>
      <c r="AV6963"/>
    </row>
    <row r="6964" spans="41:48" x14ac:dyDescent="0.35">
      <c r="AO6964"/>
      <c r="AP6964"/>
      <c r="AQ6964"/>
      <c r="AR6964"/>
      <c r="AS6964"/>
      <c r="AT6964"/>
      <c r="AU6964"/>
      <c r="AV6964"/>
    </row>
    <row r="6965" spans="41:48" x14ac:dyDescent="0.35">
      <c r="AO6965"/>
      <c r="AP6965"/>
      <c r="AQ6965"/>
      <c r="AR6965"/>
      <c r="AS6965"/>
      <c r="AT6965"/>
      <c r="AU6965"/>
      <c r="AV6965"/>
    </row>
    <row r="6966" spans="41:48" x14ac:dyDescent="0.35">
      <c r="AO6966"/>
      <c r="AP6966"/>
      <c r="AQ6966"/>
      <c r="AR6966"/>
      <c r="AS6966"/>
      <c r="AT6966"/>
      <c r="AU6966"/>
      <c r="AV6966"/>
    </row>
    <row r="6967" spans="41:48" x14ac:dyDescent="0.35">
      <c r="AO6967"/>
      <c r="AP6967"/>
      <c r="AQ6967"/>
      <c r="AR6967"/>
      <c r="AS6967"/>
      <c r="AT6967"/>
      <c r="AU6967"/>
      <c r="AV6967"/>
    </row>
    <row r="6968" spans="41:48" x14ac:dyDescent="0.35">
      <c r="AO6968"/>
      <c r="AP6968"/>
      <c r="AQ6968"/>
      <c r="AR6968"/>
      <c r="AS6968"/>
      <c r="AT6968"/>
      <c r="AU6968"/>
      <c r="AV6968"/>
    </row>
    <row r="6969" spans="41:48" x14ac:dyDescent="0.35">
      <c r="AO6969"/>
      <c r="AP6969"/>
      <c r="AQ6969"/>
      <c r="AR6969"/>
      <c r="AS6969"/>
      <c r="AT6969"/>
      <c r="AU6969"/>
      <c r="AV6969"/>
    </row>
    <row r="6970" spans="41:48" x14ac:dyDescent="0.35">
      <c r="AO6970"/>
      <c r="AP6970"/>
      <c r="AQ6970"/>
      <c r="AR6970"/>
      <c r="AS6970"/>
      <c r="AT6970"/>
      <c r="AU6970"/>
      <c r="AV6970"/>
    </row>
    <row r="6971" spans="41:48" x14ac:dyDescent="0.35">
      <c r="AO6971"/>
      <c r="AP6971"/>
      <c r="AQ6971"/>
      <c r="AR6971"/>
      <c r="AS6971"/>
      <c r="AT6971"/>
      <c r="AU6971"/>
      <c r="AV6971"/>
    </row>
    <row r="6972" spans="41:48" x14ac:dyDescent="0.35">
      <c r="AO6972"/>
      <c r="AP6972"/>
      <c r="AQ6972"/>
      <c r="AR6972"/>
      <c r="AS6972"/>
      <c r="AT6972"/>
      <c r="AU6972"/>
      <c r="AV6972"/>
    </row>
    <row r="6973" spans="41:48" x14ac:dyDescent="0.35">
      <c r="AO6973"/>
      <c r="AP6973"/>
      <c r="AQ6973"/>
      <c r="AR6973"/>
      <c r="AS6973"/>
      <c r="AT6973"/>
      <c r="AU6973"/>
      <c r="AV6973"/>
    </row>
    <row r="6974" spans="41:48" x14ac:dyDescent="0.35">
      <c r="AO6974"/>
      <c r="AP6974"/>
      <c r="AQ6974"/>
      <c r="AR6974"/>
      <c r="AS6974"/>
      <c r="AT6974"/>
      <c r="AU6974"/>
      <c r="AV6974"/>
    </row>
    <row r="6975" spans="41:48" x14ac:dyDescent="0.35">
      <c r="AO6975"/>
      <c r="AP6975"/>
      <c r="AQ6975"/>
      <c r="AR6975"/>
      <c r="AS6975"/>
      <c r="AT6975"/>
      <c r="AU6975"/>
      <c r="AV6975"/>
    </row>
    <row r="6976" spans="41:48" x14ac:dyDescent="0.35">
      <c r="AO6976"/>
      <c r="AP6976"/>
      <c r="AQ6976"/>
      <c r="AR6976"/>
      <c r="AS6976"/>
      <c r="AT6976"/>
      <c r="AU6976"/>
      <c r="AV6976"/>
    </row>
    <row r="6977" spans="41:48" x14ac:dyDescent="0.35">
      <c r="AO6977"/>
      <c r="AP6977"/>
      <c r="AQ6977"/>
      <c r="AR6977"/>
      <c r="AS6977"/>
      <c r="AT6977"/>
      <c r="AU6977"/>
      <c r="AV6977"/>
    </row>
    <row r="6978" spans="41:48" x14ac:dyDescent="0.35">
      <c r="AO6978"/>
      <c r="AP6978"/>
      <c r="AQ6978"/>
      <c r="AR6978"/>
      <c r="AS6978"/>
      <c r="AT6978"/>
      <c r="AU6978"/>
      <c r="AV6978"/>
    </row>
    <row r="6979" spans="41:48" x14ac:dyDescent="0.35">
      <c r="AO6979"/>
      <c r="AP6979"/>
      <c r="AQ6979"/>
      <c r="AR6979"/>
      <c r="AS6979"/>
      <c r="AT6979"/>
      <c r="AU6979"/>
      <c r="AV6979"/>
    </row>
    <row r="6980" spans="41:48" x14ac:dyDescent="0.35">
      <c r="AO6980"/>
      <c r="AP6980"/>
      <c r="AQ6980"/>
      <c r="AR6980"/>
      <c r="AS6980"/>
      <c r="AT6980"/>
      <c r="AU6980"/>
      <c r="AV6980"/>
    </row>
    <row r="6981" spans="41:48" x14ac:dyDescent="0.35">
      <c r="AO6981"/>
      <c r="AP6981"/>
      <c r="AQ6981"/>
      <c r="AR6981"/>
      <c r="AS6981"/>
      <c r="AT6981"/>
      <c r="AU6981"/>
      <c r="AV6981"/>
    </row>
    <row r="6982" spans="41:48" x14ac:dyDescent="0.35">
      <c r="AO6982"/>
      <c r="AP6982"/>
      <c r="AQ6982"/>
      <c r="AR6982"/>
      <c r="AS6982"/>
      <c r="AT6982"/>
      <c r="AU6982"/>
      <c r="AV6982"/>
    </row>
    <row r="6983" spans="41:48" x14ac:dyDescent="0.35">
      <c r="AO6983"/>
      <c r="AP6983"/>
      <c r="AQ6983"/>
      <c r="AR6983"/>
      <c r="AS6983"/>
      <c r="AT6983"/>
      <c r="AU6983"/>
      <c r="AV6983"/>
    </row>
    <row r="6984" spans="41:48" x14ac:dyDescent="0.35">
      <c r="AO6984"/>
      <c r="AP6984"/>
      <c r="AQ6984"/>
      <c r="AR6984"/>
      <c r="AS6984"/>
      <c r="AT6984"/>
      <c r="AU6984"/>
      <c r="AV6984"/>
    </row>
    <row r="6985" spans="41:48" x14ac:dyDescent="0.35">
      <c r="AO6985"/>
      <c r="AP6985"/>
      <c r="AQ6985"/>
      <c r="AR6985"/>
      <c r="AS6985"/>
      <c r="AT6985"/>
      <c r="AU6985"/>
      <c r="AV6985"/>
    </row>
    <row r="6986" spans="41:48" x14ac:dyDescent="0.35">
      <c r="AO6986"/>
      <c r="AP6986"/>
      <c r="AQ6986"/>
      <c r="AR6986"/>
      <c r="AS6986"/>
      <c r="AT6986"/>
      <c r="AU6986"/>
      <c r="AV6986"/>
    </row>
    <row r="6987" spans="41:48" x14ac:dyDescent="0.35">
      <c r="AO6987"/>
      <c r="AP6987"/>
      <c r="AQ6987"/>
      <c r="AR6987"/>
      <c r="AS6987"/>
      <c r="AT6987"/>
      <c r="AU6987"/>
      <c r="AV6987"/>
    </row>
    <row r="6988" spans="41:48" x14ac:dyDescent="0.35">
      <c r="AO6988"/>
      <c r="AP6988"/>
      <c r="AQ6988"/>
      <c r="AR6988"/>
      <c r="AS6988"/>
      <c r="AT6988"/>
      <c r="AU6988"/>
      <c r="AV6988"/>
    </row>
    <row r="6989" spans="41:48" x14ac:dyDescent="0.35">
      <c r="AO6989"/>
      <c r="AP6989"/>
      <c r="AQ6989"/>
      <c r="AR6989"/>
      <c r="AS6989"/>
      <c r="AT6989"/>
      <c r="AU6989"/>
      <c r="AV6989"/>
    </row>
    <row r="6990" spans="41:48" x14ac:dyDescent="0.35">
      <c r="AO6990"/>
      <c r="AP6990"/>
      <c r="AQ6990"/>
      <c r="AR6990"/>
      <c r="AS6990"/>
      <c r="AT6990"/>
      <c r="AU6990"/>
      <c r="AV6990"/>
    </row>
    <row r="6991" spans="41:48" x14ac:dyDescent="0.35">
      <c r="AO6991"/>
      <c r="AP6991"/>
      <c r="AQ6991"/>
      <c r="AR6991"/>
      <c r="AS6991"/>
      <c r="AT6991"/>
      <c r="AU6991"/>
      <c r="AV6991"/>
    </row>
    <row r="6992" spans="41:48" x14ac:dyDescent="0.35">
      <c r="AO6992"/>
      <c r="AP6992"/>
      <c r="AQ6992"/>
      <c r="AR6992"/>
      <c r="AS6992"/>
      <c r="AT6992"/>
      <c r="AU6992"/>
      <c r="AV6992"/>
    </row>
    <row r="6993" spans="41:48" x14ac:dyDescent="0.35">
      <c r="AO6993"/>
      <c r="AP6993"/>
      <c r="AQ6993"/>
      <c r="AR6993"/>
      <c r="AS6993"/>
      <c r="AT6993"/>
      <c r="AU6993"/>
      <c r="AV6993"/>
    </row>
    <row r="6994" spans="41:48" x14ac:dyDescent="0.35">
      <c r="AO6994"/>
      <c r="AP6994"/>
      <c r="AQ6994"/>
      <c r="AR6994"/>
      <c r="AS6994"/>
      <c r="AT6994"/>
      <c r="AU6994"/>
      <c r="AV6994"/>
    </row>
    <row r="6995" spans="41:48" x14ac:dyDescent="0.35">
      <c r="AO6995"/>
      <c r="AP6995"/>
      <c r="AQ6995"/>
      <c r="AR6995"/>
      <c r="AS6995"/>
      <c r="AT6995"/>
      <c r="AU6995"/>
      <c r="AV6995"/>
    </row>
    <row r="6996" spans="41:48" x14ac:dyDescent="0.35">
      <c r="AO6996"/>
      <c r="AP6996"/>
      <c r="AQ6996"/>
      <c r="AR6996"/>
      <c r="AS6996"/>
      <c r="AT6996"/>
      <c r="AU6996"/>
      <c r="AV6996"/>
    </row>
    <row r="6997" spans="41:48" x14ac:dyDescent="0.35">
      <c r="AO6997"/>
      <c r="AP6997"/>
      <c r="AQ6997"/>
      <c r="AR6997"/>
      <c r="AS6997"/>
      <c r="AT6997"/>
      <c r="AU6997"/>
      <c r="AV6997"/>
    </row>
    <row r="6998" spans="41:48" x14ac:dyDescent="0.35">
      <c r="AO6998"/>
      <c r="AP6998"/>
      <c r="AQ6998"/>
      <c r="AR6998"/>
      <c r="AS6998"/>
      <c r="AT6998"/>
      <c r="AU6998"/>
      <c r="AV6998"/>
    </row>
    <row r="6999" spans="41:48" x14ac:dyDescent="0.35">
      <c r="AO6999"/>
      <c r="AP6999"/>
      <c r="AQ6999"/>
      <c r="AR6999"/>
      <c r="AS6999"/>
      <c r="AT6999"/>
      <c r="AU6999"/>
      <c r="AV6999"/>
    </row>
    <row r="7000" spans="41:48" x14ac:dyDescent="0.35">
      <c r="AO7000"/>
      <c r="AP7000"/>
      <c r="AQ7000"/>
      <c r="AR7000"/>
      <c r="AS7000"/>
      <c r="AT7000"/>
      <c r="AU7000"/>
      <c r="AV7000"/>
    </row>
    <row r="7001" spans="41:48" x14ac:dyDescent="0.35">
      <c r="AO7001"/>
      <c r="AP7001"/>
      <c r="AQ7001"/>
      <c r="AR7001"/>
      <c r="AS7001"/>
      <c r="AT7001"/>
      <c r="AU7001"/>
      <c r="AV7001"/>
    </row>
    <row r="7002" spans="41:48" x14ac:dyDescent="0.35">
      <c r="AO7002"/>
      <c r="AP7002"/>
      <c r="AQ7002"/>
      <c r="AR7002"/>
      <c r="AS7002"/>
      <c r="AT7002"/>
      <c r="AU7002"/>
      <c r="AV7002"/>
    </row>
    <row r="7003" spans="41:48" x14ac:dyDescent="0.35">
      <c r="AO7003"/>
      <c r="AP7003"/>
      <c r="AQ7003"/>
      <c r="AR7003"/>
      <c r="AS7003"/>
      <c r="AT7003"/>
      <c r="AU7003"/>
      <c r="AV7003"/>
    </row>
    <row r="7004" spans="41:48" x14ac:dyDescent="0.35">
      <c r="AO7004"/>
      <c r="AP7004"/>
      <c r="AQ7004"/>
      <c r="AR7004"/>
      <c r="AS7004"/>
      <c r="AT7004"/>
      <c r="AU7004"/>
      <c r="AV7004"/>
    </row>
    <row r="7005" spans="41:48" x14ac:dyDescent="0.35">
      <c r="AO7005"/>
      <c r="AP7005"/>
      <c r="AQ7005"/>
      <c r="AR7005"/>
      <c r="AS7005"/>
      <c r="AT7005"/>
      <c r="AU7005"/>
      <c r="AV7005"/>
    </row>
    <row r="7006" spans="41:48" x14ac:dyDescent="0.35">
      <c r="AO7006"/>
      <c r="AP7006"/>
      <c r="AQ7006"/>
      <c r="AR7006"/>
      <c r="AS7006"/>
      <c r="AT7006"/>
      <c r="AU7006"/>
      <c r="AV7006"/>
    </row>
    <row r="7007" spans="41:48" x14ac:dyDescent="0.35">
      <c r="AO7007"/>
      <c r="AP7007"/>
      <c r="AQ7007"/>
      <c r="AR7007"/>
      <c r="AS7007"/>
      <c r="AT7007"/>
      <c r="AU7007"/>
      <c r="AV7007"/>
    </row>
    <row r="7008" spans="41:48" x14ac:dyDescent="0.35">
      <c r="AO7008"/>
      <c r="AP7008"/>
      <c r="AQ7008"/>
      <c r="AR7008"/>
      <c r="AS7008"/>
      <c r="AT7008"/>
      <c r="AU7008"/>
      <c r="AV7008"/>
    </row>
    <row r="7009" spans="41:48" x14ac:dyDescent="0.35">
      <c r="AO7009"/>
      <c r="AP7009"/>
      <c r="AQ7009"/>
      <c r="AR7009"/>
      <c r="AS7009"/>
      <c r="AT7009"/>
      <c r="AU7009"/>
      <c r="AV7009"/>
    </row>
    <row r="7010" spans="41:48" x14ac:dyDescent="0.35">
      <c r="AO7010"/>
      <c r="AP7010"/>
      <c r="AQ7010"/>
      <c r="AR7010"/>
      <c r="AS7010"/>
      <c r="AT7010"/>
      <c r="AU7010"/>
      <c r="AV7010"/>
    </row>
    <row r="7011" spans="41:48" x14ac:dyDescent="0.35">
      <c r="AO7011"/>
      <c r="AP7011"/>
      <c r="AQ7011"/>
      <c r="AR7011"/>
      <c r="AS7011"/>
      <c r="AT7011"/>
      <c r="AU7011"/>
      <c r="AV7011"/>
    </row>
    <row r="7012" spans="41:48" x14ac:dyDescent="0.35">
      <c r="AO7012"/>
      <c r="AP7012"/>
      <c r="AQ7012"/>
      <c r="AR7012"/>
      <c r="AS7012"/>
      <c r="AT7012"/>
      <c r="AU7012"/>
      <c r="AV7012"/>
    </row>
    <row r="7013" spans="41:48" x14ac:dyDescent="0.35">
      <c r="AO7013"/>
      <c r="AP7013"/>
      <c r="AQ7013"/>
      <c r="AR7013"/>
      <c r="AS7013"/>
      <c r="AT7013"/>
      <c r="AU7013"/>
      <c r="AV7013"/>
    </row>
    <row r="7014" spans="41:48" x14ac:dyDescent="0.35">
      <c r="AO7014"/>
      <c r="AP7014"/>
      <c r="AQ7014"/>
      <c r="AR7014"/>
      <c r="AS7014"/>
      <c r="AT7014"/>
      <c r="AU7014"/>
      <c r="AV7014"/>
    </row>
    <row r="7015" spans="41:48" x14ac:dyDescent="0.35">
      <c r="AO7015"/>
      <c r="AP7015"/>
      <c r="AQ7015"/>
      <c r="AR7015"/>
      <c r="AS7015"/>
      <c r="AT7015"/>
      <c r="AU7015"/>
      <c r="AV7015"/>
    </row>
    <row r="7016" spans="41:48" x14ac:dyDescent="0.35">
      <c r="AO7016"/>
      <c r="AP7016"/>
      <c r="AQ7016"/>
      <c r="AR7016"/>
      <c r="AS7016"/>
      <c r="AT7016"/>
      <c r="AU7016"/>
      <c r="AV7016"/>
    </row>
    <row r="7017" spans="41:48" x14ac:dyDescent="0.35">
      <c r="AO7017"/>
      <c r="AP7017"/>
      <c r="AQ7017"/>
      <c r="AR7017"/>
      <c r="AS7017"/>
      <c r="AT7017"/>
      <c r="AU7017"/>
      <c r="AV7017"/>
    </row>
    <row r="7018" spans="41:48" x14ac:dyDescent="0.35">
      <c r="AO7018"/>
      <c r="AP7018"/>
      <c r="AQ7018"/>
      <c r="AR7018"/>
      <c r="AS7018"/>
      <c r="AT7018"/>
      <c r="AU7018"/>
      <c r="AV7018"/>
    </row>
    <row r="7019" spans="41:48" x14ac:dyDescent="0.35">
      <c r="AO7019"/>
      <c r="AP7019"/>
      <c r="AQ7019"/>
      <c r="AR7019"/>
      <c r="AS7019"/>
      <c r="AT7019"/>
      <c r="AU7019"/>
      <c r="AV7019"/>
    </row>
    <row r="7020" spans="41:48" x14ac:dyDescent="0.35">
      <c r="AO7020"/>
      <c r="AP7020"/>
      <c r="AQ7020"/>
      <c r="AR7020"/>
      <c r="AS7020"/>
      <c r="AT7020"/>
      <c r="AU7020"/>
      <c r="AV7020"/>
    </row>
    <row r="7021" spans="41:48" x14ac:dyDescent="0.35">
      <c r="AO7021"/>
      <c r="AP7021"/>
      <c r="AQ7021"/>
      <c r="AR7021"/>
      <c r="AS7021"/>
      <c r="AT7021"/>
      <c r="AU7021"/>
      <c r="AV7021"/>
    </row>
    <row r="7022" spans="41:48" x14ac:dyDescent="0.35">
      <c r="AO7022"/>
      <c r="AP7022"/>
      <c r="AQ7022"/>
      <c r="AR7022"/>
      <c r="AS7022"/>
      <c r="AT7022"/>
      <c r="AU7022"/>
      <c r="AV7022"/>
    </row>
    <row r="7023" spans="41:48" x14ac:dyDescent="0.35">
      <c r="AO7023"/>
      <c r="AP7023"/>
      <c r="AQ7023"/>
      <c r="AR7023"/>
      <c r="AS7023"/>
      <c r="AT7023"/>
      <c r="AU7023"/>
      <c r="AV7023"/>
    </row>
    <row r="7024" spans="41:48" x14ac:dyDescent="0.35">
      <c r="AO7024"/>
      <c r="AP7024"/>
      <c r="AQ7024"/>
      <c r="AR7024"/>
      <c r="AS7024"/>
      <c r="AT7024"/>
      <c r="AU7024"/>
      <c r="AV7024"/>
    </row>
    <row r="7025" spans="41:48" x14ac:dyDescent="0.35">
      <c r="AO7025"/>
      <c r="AP7025"/>
      <c r="AQ7025"/>
      <c r="AR7025"/>
      <c r="AS7025"/>
      <c r="AT7025"/>
      <c r="AU7025"/>
      <c r="AV7025"/>
    </row>
    <row r="7026" spans="41:48" x14ac:dyDescent="0.35">
      <c r="AO7026"/>
      <c r="AP7026"/>
      <c r="AQ7026"/>
      <c r="AR7026"/>
      <c r="AS7026"/>
      <c r="AT7026"/>
      <c r="AU7026"/>
      <c r="AV7026"/>
    </row>
    <row r="7027" spans="41:48" x14ac:dyDescent="0.35">
      <c r="AO7027"/>
      <c r="AP7027"/>
      <c r="AQ7027"/>
      <c r="AR7027"/>
      <c r="AS7027"/>
      <c r="AT7027"/>
      <c r="AU7027"/>
      <c r="AV7027"/>
    </row>
    <row r="7028" spans="41:48" x14ac:dyDescent="0.35">
      <c r="AO7028"/>
      <c r="AP7028"/>
      <c r="AQ7028"/>
      <c r="AR7028"/>
      <c r="AS7028"/>
      <c r="AT7028"/>
      <c r="AU7028"/>
      <c r="AV7028"/>
    </row>
    <row r="7029" spans="41:48" x14ac:dyDescent="0.35">
      <c r="AO7029"/>
      <c r="AP7029"/>
      <c r="AQ7029"/>
      <c r="AR7029"/>
      <c r="AS7029"/>
      <c r="AT7029"/>
      <c r="AU7029"/>
      <c r="AV7029"/>
    </row>
    <row r="7030" spans="41:48" x14ac:dyDescent="0.35">
      <c r="AO7030"/>
      <c r="AP7030"/>
      <c r="AQ7030"/>
      <c r="AR7030"/>
      <c r="AS7030"/>
      <c r="AT7030"/>
      <c r="AU7030"/>
      <c r="AV7030"/>
    </row>
    <row r="7031" spans="41:48" x14ac:dyDescent="0.35">
      <c r="AO7031"/>
      <c r="AP7031"/>
      <c r="AQ7031"/>
      <c r="AR7031"/>
      <c r="AS7031"/>
      <c r="AT7031"/>
      <c r="AU7031"/>
      <c r="AV7031"/>
    </row>
    <row r="7032" spans="41:48" x14ac:dyDescent="0.35">
      <c r="AO7032"/>
      <c r="AP7032"/>
      <c r="AQ7032"/>
      <c r="AR7032"/>
      <c r="AS7032"/>
      <c r="AT7032"/>
      <c r="AU7032"/>
      <c r="AV7032"/>
    </row>
    <row r="7033" spans="41:48" x14ac:dyDescent="0.35">
      <c r="AO7033"/>
      <c r="AP7033"/>
      <c r="AQ7033"/>
      <c r="AR7033"/>
      <c r="AS7033"/>
      <c r="AT7033"/>
      <c r="AU7033"/>
      <c r="AV7033"/>
    </row>
    <row r="7034" spans="41:48" x14ac:dyDescent="0.35">
      <c r="AO7034"/>
      <c r="AP7034"/>
      <c r="AQ7034"/>
      <c r="AR7034"/>
      <c r="AS7034"/>
      <c r="AT7034"/>
      <c r="AU7034"/>
      <c r="AV7034"/>
    </row>
    <row r="7035" spans="41:48" x14ac:dyDescent="0.35">
      <c r="AO7035"/>
      <c r="AP7035"/>
      <c r="AQ7035"/>
      <c r="AR7035"/>
      <c r="AS7035"/>
      <c r="AT7035"/>
      <c r="AU7035"/>
      <c r="AV7035"/>
    </row>
    <row r="7036" spans="41:48" x14ac:dyDescent="0.35">
      <c r="AO7036"/>
      <c r="AP7036"/>
      <c r="AQ7036"/>
      <c r="AR7036"/>
      <c r="AS7036"/>
      <c r="AT7036"/>
      <c r="AU7036"/>
      <c r="AV7036"/>
    </row>
    <row r="7037" spans="41:48" x14ac:dyDescent="0.35">
      <c r="AO7037"/>
      <c r="AP7037"/>
      <c r="AQ7037"/>
      <c r="AR7037"/>
      <c r="AS7037"/>
      <c r="AT7037"/>
      <c r="AU7037"/>
      <c r="AV7037"/>
    </row>
    <row r="7038" spans="41:48" x14ac:dyDescent="0.35">
      <c r="AO7038"/>
      <c r="AP7038"/>
      <c r="AQ7038"/>
      <c r="AR7038"/>
      <c r="AS7038"/>
      <c r="AT7038"/>
      <c r="AU7038"/>
      <c r="AV7038"/>
    </row>
    <row r="7039" spans="41:48" x14ac:dyDescent="0.35">
      <c r="AO7039"/>
      <c r="AP7039"/>
      <c r="AQ7039"/>
      <c r="AR7039"/>
      <c r="AS7039"/>
      <c r="AT7039"/>
      <c r="AU7039"/>
      <c r="AV7039"/>
    </row>
    <row r="7040" spans="41:48" x14ac:dyDescent="0.35">
      <c r="AO7040"/>
      <c r="AP7040"/>
      <c r="AQ7040"/>
      <c r="AR7040"/>
      <c r="AS7040"/>
      <c r="AT7040"/>
      <c r="AU7040"/>
      <c r="AV7040"/>
    </row>
    <row r="7041" spans="41:48" x14ac:dyDescent="0.35">
      <c r="AO7041"/>
      <c r="AP7041"/>
      <c r="AQ7041"/>
      <c r="AR7041"/>
      <c r="AS7041"/>
      <c r="AT7041"/>
      <c r="AU7041"/>
      <c r="AV7041"/>
    </row>
    <row r="7042" spans="41:48" x14ac:dyDescent="0.35">
      <c r="AO7042"/>
      <c r="AP7042"/>
      <c r="AQ7042"/>
      <c r="AR7042"/>
      <c r="AS7042"/>
      <c r="AT7042"/>
      <c r="AU7042"/>
      <c r="AV7042"/>
    </row>
    <row r="7043" spans="41:48" x14ac:dyDescent="0.35">
      <c r="AO7043"/>
      <c r="AP7043"/>
      <c r="AQ7043"/>
      <c r="AR7043"/>
      <c r="AS7043"/>
      <c r="AT7043"/>
      <c r="AU7043"/>
      <c r="AV7043"/>
    </row>
    <row r="7044" spans="41:48" x14ac:dyDescent="0.35">
      <c r="AO7044"/>
      <c r="AP7044"/>
      <c r="AQ7044"/>
      <c r="AR7044"/>
      <c r="AS7044"/>
      <c r="AT7044"/>
      <c r="AU7044"/>
      <c r="AV7044"/>
    </row>
    <row r="7045" spans="41:48" x14ac:dyDescent="0.35">
      <c r="AO7045"/>
      <c r="AP7045"/>
      <c r="AQ7045"/>
      <c r="AR7045"/>
      <c r="AS7045"/>
      <c r="AT7045"/>
      <c r="AU7045"/>
      <c r="AV7045"/>
    </row>
    <row r="7046" spans="41:48" x14ac:dyDescent="0.35">
      <c r="AO7046"/>
      <c r="AP7046"/>
      <c r="AQ7046"/>
      <c r="AR7046"/>
      <c r="AS7046"/>
      <c r="AT7046"/>
      <c r="AU7046"/>
      <c r="AV7046"/>
    </row>
    <row r="7047" spans="41:48" x14ac:dyDescent="0.35">
      <c r="AO7047"/>
      <c r="AP7047"/>
      <c r="AQ7047"/>
      <c r="AR7047"/>
      <c r="AS7047"/>
      <c r="AT7047"/>
      <c r="AU7047"/>
      <c r="AV7047"/>
    </row>
    <row r="7048" spans="41:48" x14ac:dyDescent="0.35">
      <c r="AO7048"/>
      <c r="AP7048"/>
      <c r="AQ7048"/>
      <c r="AR7048"/>
      <c r="AS7048"/>
      <c r="AT7048"/>
      <c r="AU7048"/>
      <c r="AV7048"/>
    </row>
    <row r="7049" spans="41:48" x14ac:dyDescent="0.35">
      <c r="AO7049"/>
      <c r="AP7049"/>
      <c r="AQ7049"/>
      <c r="AR7049"/>
      <c r="AS7049"/>
      <c r="AT7049"/>
      <c r="AU7049"/>
      <c r="AV7049"/>
    </row>
    <row r="7050" spans="41:48" x14ac:dyDescent="0.35">
      <c r="AO7050"/>
      <c r="AP7050"/>
      <c r="AQ7050"/>
      <c r="AR7050"/>
      <c r="AS7050"/>
      <c r="AT7050"/>
      <c r="AU7050"/>
      <c r="AV7050"/>
    </row>
    <row r="7051" spans="41:48" x14ac:dyDescent="0.35">
      <c r="AO7051"/>
      <c r="AP7051"/>
      <c r="AQ7051"/>
      <c r="AR7051"/>
      <c r="AS7051"/>
      <c r="AT7051"/>
      <c r="AU7051"/>
      <c r="AV7051"/>
    </row>
    <row r="7052" spans="41:48" x14ac:dyDescent="0.35">
      <c r="AO7052"/>
      <c r="AP7052"/>
      <c r="AQ7052"/>
      <c r="AR7052"/>
      <c r="AS7052"/>
      <c r="AT7052"/>
      <c r="AU7052"/>
      <c r="AV7052"/>
    </row>
    <row r="7053" spans="41:48" x14ac:dyDescent="0.35">
      <c r="AO7053"/>
      <c r="AP7053"/>
      <c r="AQ7053"/>
      <c r="AR7053"/>
      <c r="AS7053"/>
      <c r="AT7053"/>
      <c r="AU7053"/>
      <c r="AV7053"/>
    </row>
    <row r="7054" spans="41:48" x14ac:dyDescent="0.35">
      <c r="AO7054"/>
      <c r="AP7054"/>
      <c r="AQ7054"/>
      <c r="AR7054"/>
      <c r="AS7054"/>
      <c r="AT7054"/>
      <c r="AU7054"/>
      <c r="AV7054"/>
    </row>
    <row r="7055" spans="41:48" x14ac:dyDescent="0.35">
      <c r="AO7055"/>
      <c r="AP7055"/>
      <c r="AQ7055"/>
      <c r="AR7055"/>
      <c r="AS7055"/>
      <c r="AT7055"/>
      <c r="AU7055"/>
      <c r="AV7055"/>
    </row>
    <row r="7056" spans="41:48" x14ac:dyDescent="0.35">
      <c r="AO7056"/>
      <c r="AP7056"/>
      <c r="AQ7056"/>
      <c r="AR7056"/>
      <c r="AS7056"/>
      <c r="AT7056"/>
      <c r="AU7056"/>
      <c r="AV7056"/>
    </row>
    <row r="7057" spans="41:48" x14ac:dyDescent="0.35">
      <c r="AO7057"/>
      <c r="AP7057"/>
      <c r="AQ7057"/>
      <c r="AR7057"/>
      <c r="AS7057"/>
      <c r="AT7057"/>
      <c r="AU7057"/>
      <c r="AV7057"/>
    </row>
    <row r="7058" spans="41:48" x14ac:dyDescent="0.35">
      <c r="AO7058"/>
      <c r="AP7058"/>
      <c r="AQ7058"/>
      <c r="AR7058"/>
      <c r="AS7058"/>
      <c r="AT7058"/>
      <c r="AU7058"/>
      <c r="AV7058"/>
    </row>
    <row r="7059" spans="41:48" x14ac:dyDescent="0.35">
      <c r="AO7059"/>
      <c r="AP7059"/>
      <c r="AQ7059"/>
      <c r="AR7059"/>
      <c r="AS7059"/>
      <c r="AT7059"/>
      <c r="AU7059"/>
      <c r="AV7059"/>
    </row>
    <row r="7060" spans="41:48" x14ac:dyDescent="0.35">
      <c r="AO7060"/>
      <c r="AP7060"/>
      <c r="AQ7060"/>
      <c r="AR7060"/>
      <c r="AS7060"/>
      <c r="AT7060"/>
      <c r="AU7060"/>
      <c r="AV7060"/>
    </row>
    <row r="7061" spans="41:48" x14ac:dyDescent="0.35">
      <c r="AO7061"/>
      <c r="AP7061"/>
      <c r="AQ7061"/>
      <c r="AR7061"/>
      <c r="AS7061"/>
      <c r="AT7061"/>
      <c r="AU7061"/>
      <c r="AV7061"/>
    </row>
    <row r="7062" spans="41:48" x14ac:dyDescent="0.35">
      <c r="AO7062"/>
      <c r="AP7062"/>
      <c r="AQ7062"/>
      <c r="AR7062"/>
      <c r="AS7062"/>
      <c r="AT7062"/>
      <c r="AU7062"/>
      <c r="AV7062"/>
    </row>
    <row r="7063" spans="41:48" x14ac:dyDescent="0.35">
      <c r="AO7063"/>
      <c r="AP7063"/>
      <c r="AQ7063"/>
      <c r="AR7063"/>
      <c r="AS7063"/>
      <c r="AT7063"/>
      <c r="AU7063"/>
      <c r="AV7063"/>
    </row>
    <row r="7064" spans="41:48" x14ac:dyDescent="0.35">
      <c r="AO7064"/>
      <c r="AP7064"/>
      <c r="AQ7064"/>
      <c r="AR7064"/>
      <c r="AS7064"/>
      <c r="AT7064"/>
      <c r="AU7064"/>
      <c r="AV7064"/>
    </row>
    <row r="7065" spans="41:48" x14ac:dyDescent="0.35">
      <c r="AO7065"/>
      <c r="AP7065"/>
      <c r="AQ7065"/>
      <c r="AR7065"/>
      <c r="AS7065"/>
      <c r="AT7065"/>
      <c r="AU7065"/>
      <c r="AV7065"/>
    </row>
    <row r="7066" spans="41:48" x14ac:dyDescent="0.35">
      <c r="AO7066"/>
      <c r="AP7066"/>
      <c r="AQ7066"/>
      <c r="AR7066"/>
      <c r="AS7066"/>
      <c r="AT7066"/>
      <c r="AU7066"/>
      <c r="AV7066"/>
    </row>
    <row r="7067" spans="41:48" x14ac:dyDescent="0.35">
      <c r="AO7067"/>
      <c r="AP7067"/>
      <c r="AQ7067"/>
      <c r="AR7067"/>
      <c r="AS7067"/>
      <c r="AT7067"/>
      <c r="AU7067"/>
      <c r="AV7067"/>
    </row>
    <row r="7068" spans="41:48" x14ac:dyDescent="0.35">
      <c r="AO7068"/>
      <c r="AP7068"/>
      <c r="AQ7068"/>
      <c r="AR7068"/>
      <c r="AS7068"/>
      <c r="AT7068"/>
      <c r="AU7068"/>
      <c r="AV7068"/>
    </row>
    <row r="7069" spans="41:48" x14ac:dyDescent="0.35">
      <c r="AO7069"/>
      <c r="AP7069"/>
      <c r="AQ7069"/>
      <c r="AR7069"/>
      <c r="AS7069"/>
      <c r="AT7069"/>
      <c r="AU7069"/>
      <c r="AV7069"/>
    </row>
    <row r="7070" spans="41:48" x14ac:dyDescent="0.35">
      <c r="AO7070"/>
      <c r="AP7070"/>
      <c r="AQ7070"/>
      <c r="AR7070"/>
      <c r="AS7070"/>
      <c r="AT7070"/>
      <c r="AU7070"/>
      <c r="AV7070"/>
    </row>
    <row r="7071" spans="41:48" x14ac:dyDescent="0.35">
      <c r="AO7071"/>
      <c r="AP7071"/>
      <c r="AQ7071"/>
      <c r="AR7071"/>
      <c r="AS7071"/>
      <c r="AT7071"/>
      <c r="AU7071"/>
      <c r="AV7071"/>
    </row>
    <row r="7072" spans="41:48" x14ac:dyDescent="0.35">
      <c r="AO7072"/>
      <c r="AP7072"/>
      <c r="AQ7072"/>
      <c r="AR7072"/>
      <c r="AS7072"/>
      <c r="AT7072"/>
      <c r="AU7072"/>
      <c r="AV7072"/>
    </row>
    <row r="7073" spans="41:48" x14ac:dyDescent="0.35">
      <c r="AO7073"/>
      <c r="AP7073"/>
      <c r="AQ7073"/>
      <c r="AR7073"/>
      <c r="AS7073"/>
      <c r="AT7073"/>
      <c r="AU7073"/>
      <c r="AV7073"/>
    </row>
    <row r="7074" spans="41:48" x14ac:dyDescent="0.35">
      <c r="AO7074"/>
      <c r="AP7074"/>
      <c r="AQ7074"/>
      <c r="AR7074"/>
      <c r="AS7074"/>
      <c r="AT7074"/>
      <c r="AU7074"/>
      <c r="AV7074"/>
    </row>
    <row r="7075" spans="41:48" x14ac:dyDescent="0.35">
      <c r="AO7075"/>
      <c r="AP7075"/>
      <c r="AQ7075"/>
      <c r="AR7075"/>
      <c r="AS7075"/>
      <c r="AT7075"/>
      <c r="AU7075"/>
      <c r="AV7075"/>
    </row>
    <row r="7076" spans="41:48" x14ac:dyDescent="0.35">
      <c r="AO7076"/>
      <c r="AP7076"/>
      <c r="AQ7076"/>
      <c r="AR7076"/>
      <c r="AS7076"/>
      <c r="AT7076"/>
      <c r="AU7076"/>
      <c r="AV7076"/>
    </row>
    <row r="7077" spans="41:48" x14ac:dyDescent="0.35">
      <c r="AO7077"/>
      <c r="AP7077"/>
      <c r="AQ7077"/>
      <c r="AR7077"/>
      <c r="AS7077"/>
      <c r="AT7077"/>
      <c r="AU7077"/>
      <c r="AV7077"/>
    </row>
    <row r="7078" spans="41:48" x14ac:dyDescent="0.35">
      <c r="AO7078"/>
      <c r="AP7078"/>
      <c r="AQ7078"/>
      <c r="AR7078"/>
      <c r="AS7078"/>
      <c r="AT7078"/>
      <c r="AU7078"/>
      <c r="AV7078"/>
    </row>
    <row r="7079" spans="41:48" x14ac:dyDescent="0.35">
      <c r="AO7079"/>
      <c r="AP7079"/>
      <c r="AQ7079"/>
      <c r="AR7079"/>
      <c r="AS7079"/>
      <c r="AT7079"/>
      <c r="AU7079"/>
      <c r="AV7079"/>
    </row>
    <row r="7080" spans="41:48" x14ac:dyDescent="0.35">
      <c r="AO7080"/>
      <c r="AP7080"/>
      <c r="AQ7080"/>
      <c r="AR7080"/>
      <c r="AS7080"/>
      <c r="AT7080"/>
      <c r="AU7080"/>
      <c r="AV7080"/>
    </row>
    <row r="7081" spans="41:48" x14ac:dyDescent="0.35">
      <c r="AO7081"/>
      <c r="AP7081"/>
      <c r="AQ7081"/>
      <c r="AR7081"/>
      <c r="AS7081"/>
      <c r="AT7081"/>
      <c r="AU7081"/>
      <c r="AV7081"/>
    </row>
    <row r="7082" spans="41:48" x14ac:dyDescent="0.35">
      <c r="AO7082"/>
      <c r="AP7082"/>
      <c r="AQ7082"/>
      <c r="AR7082"/>
      <c r="AS7082"/>
      <c r="AT7082"/>
      <c r="AU7082"/>
      <c r="AV7082"/>
    </row>
    <row r="7083" spans="41:48" x14ac:dyDescent="0.35">
      <c r="AO7083"/>
      <c r="AP7083"/>
      <c r="AQ7083"/>
      <c r="AR7083"/>
      <c r="AS7083"/>
      <c r="AT7083"/>
      <c r="AU7083"/>
      <c r="AV7083"/>
    </row>
    <row r="7084" spans="41:48" x14ac:dyDescent="0.35">
      <c r="AO7084"/>
      <c r="AP7084"/>
      <c r="AQ7084"/>
      <c r="AR7084"/>
      <c r="AS7084"/>
      <c r="AT7084"/>
      <c r="AU7084"/>
      <c r="AV7084"/>
    </row>
    <row r="7085" spans="41:48" x14ac:dyDescent="0.35">
      <c r="AO7085"/>
      <c r="AP7085"/>
      <c r="AQ7085"/>
      <c r="AR7085"/>
      <c r="AS7085"/>
      <c r="AT7085"/>
      <c r="AU7085"/>
      <c r="AV7085"/>
    </row>
    <row r="7086" spans="41:48" x14ac:dyDescent="0.35">
      <c r="AO7086"/>
      <c r="AP7086"/>
      <c r="AQ7086"/>
      <c r="AR7086"/>
      <c r="AS7086"/>
      <c r="AT7086"/>
      <c r="AU7086"/>
      <c r="AV7086"/>
    </row>
    <row r="7087" spans="41:48" x14ac:dyDescent="0.35">
      <c r="AO7087"/>
      <c r="AP7087"/>
      <c r="AQ7087"/>
      <c r="AR7087"/>
      <c r="AS7087"/>
      <c r="AT7087"/>
      <c r="AU7087"/>
      <c r="AV7087"/>
    </row>
    <row r="7088" spans="41:48" x14ac:dyDescent="0.35">
      <c r="AO7088"/>
      <c r="AP7088"/>
      <c r="AQ7088"/>
      <c r="AR7088"/>
      <c r="AS7088"/>
      <c r="AT7088"/>
      <c r="AU7088"/>
      <c r="AV7088"/>
    </row>
    <row r="7089" spans="41:48" x14ac:dyDescent="0.35">
      <c r="AO7089"/>
      <c r="AP7089"/>
      <c r="AQ7089"/>
      <c r="AR7089"/>
      <c r="AS7089"/>
      <c r="AT7089"/>
      <c r="AU7089"/>
      <c r="AV7089"/>
    </row>
    <row r="7090" spans="41:48" x14ac:dyDescent="0.35">
      <c r="AO7090"/>
      <c r="AP7090"/>
      <c r="AQ7090"/>
      <c r="AR7090"/>
      <c r="AS7090"/>
      <c r="AT7090"/>
      <c r="AU7090"/>
      <c r="AV7090"/>
    </row>
    <row r="7091" spans="41:48" x14ac:dyDescent="0.35">
      <c r="AO7091"/>
      <c r="AP7091"/>
      <c r="AQ7091"/>
      <c r="AR7091"/>
      <c r="AS7091"/>
      <c r="AT7091"/>
      <c r="AU7091"/>
      <c r="AV7091"/>
    </row>
    <row r="7092" spans="41:48" x14ac:dyDescent="0.35">
      <c r="AO7092"/>
      <c r="AP7092"/>
      <c r="AQ7092"/>
      <c r="AR7092"/>
      <c r="AS7092"/>
      <c r="AT7092"/>
      <c r="AU7092"/>
      <c r="AV7092"/>
    </row>
    <row r="7093" spans="41:48" x14ac:dyDescent="0.35">
      <c r="AO7093"/>
      <c r="AP7093"/>
      <c r="AQ7093"/>
      <c r="AR7093"/>
      <c r="AS7093"/>
      <c r="AT7093"/>
      <c r="AU7093"/>
      <c r="AV7093"/>
    </row>
    <row r="7094" spans="41:48" x14ac:dyDescent="0.35">
      <c r="AO7094"/>
      <c r="AP7094"/>
      <c r="AQ7094"/>
      <c r="AR7094"/>
      <c r="AS7094"/>
      <c r="AT7094"/>
      <c r="AU7094"/>
      <c r="AV7094"/>
    </row>
    <row r="7095" spans="41:48" x14ac:dyDescent="0.35">
      <c r="AO7095"/>
      <c r="AP7095"/>
      <c r="AQ7095"/>
      <c r="AR7095"/>
      <c r="AS7095"/>
      <c r="AT7095"/>
      <c r="AU7095"/>
      <c r="AV7095"/>
    </row>
    <row r="7096" spans="41:48" x14ac:dyDescent="0.35">
      <c r="AO7096"/>
      <c r="AP7096"/>
      <c r="AQ7096"/>
      <c r="AR7096"/>
      <c r="AS7096"/>
      <c r="AT7096"/>
      <c r="AU7096"/>
      <c r="AV7096"/>
    </row>
    <row r="7097" spans="41:48" x14ac:dyDescent="0.35">
      <c r="AO7097"/>
      <c r="AP7097"/>
      <c r="AQ7097"/>
      <c r="AR7097"/>
      <c r="AS7097"/>
      <c r="AT7097"/>
      <c r="AU7097"/>
      <c r="AV7097"/>
    </row>
    <row r="7098" spans="41:48" x14ac:dyDescent="0.35">
      <c r="AO7098"/>
      <c r="AP7098"/>
      <c r="AQ7098"/>
      <c r="AR7098"/>
      <c r="AS7098"/>
      <c r="AT7098"/>
      <c r="AU7098"/>
      <c r="AV7098"/>
    </row>
    <row r="7099" spans="41:48" x14ac:dyDescent="0.35">
      <c r="AO7099"/>
      <c r="AP7099"/>
      <c r="AQ7099"/>
      <c r="AR7099"/>
      <c r="AS7099"/>
      <c r="AT7099"/>
      <c r="AU7099"/>
      <c r="AV7099"/>
    </row>
    <row r="7100" spans="41:48" x14ac:dyDescent="0.35">
      <c r="AO7100"/>
      <c r="AP7100"/>
      <c r="AQ7100"/>
      <c r="AR7100"/>
      <c r="AS7100"/>
      <c r="AT7100"/>
      <c r="AU7100"/>
      <c r="AV7100"/>
    </row>
    <row r="7101" spans="41:48" x14ac:dyDescent="0.35">
      <c r="AO7101"/>
      <c r="AP7101"/>
      <c r="AQ7101"/>
      <c r="AR7101"/>
      <c r="AS7101"/>
      <c r="AT7101"/>
      <c r="AU7101"/>
      <c r="AV7101"/>
    </row>
    <row r="7102" spans="41:48" x14ac:dyDescent="0.35">
      <c r="AO7102"/>
      <c r="AP7102"/>
      <c r="AQ7102"/>
      <c r="AR7102"/>
      <c r="AS7102"/>
      <c r="AT7102"/>
      <c r="AU7102"/>
      <c r="AV7102"/>
    </row>
    <row r="7103" spans="41:48" x14ac:dyDescent="0.35">
      <c r="AO7103"/>
      <c r="AP7103"/>
      <c r="AQ7103"/>
      <c r="AR7103"/>
      <c r="AS7103"/>
      <c r="AT7103"/>
      <c r="AU7103"/>
      <c r="AV7103"/>
    </row>
    <row r="7104" spans="41:48" x14ac:dyDescent="0.35">
      <c r="AO7104"/>
      <c r="AP7104"/>
      <c r="AQ7104"/>
      <c r="AR7104"/>
      <c r="AS7104"/>
      <c r="AT7104"/>
      <c r="AU7104"/>
      <c r="AV7104"/>
    </row>
    <row r="7105" spans="41:48" x14ac:dyDescent="0.35">
      <c r="AO7105"/>
      <c r="AP7105"/>
      <c r="AQ7105"/>
      <c r="AR7105"/>
      <c r="AS7105"/>
      <c r="AT7105"/>
      <c r="AU7105"/>
      <c r="AV7105"/>
    </row>
    <row r="7106" spans="41:48" x14ac:dyDescent="0.35">
      <c r="AO7106"/>
      <c r="AP7106"/>
      <c r="AQ7106"/>
      <c r="AR7106"/>
      <c r="AS7106"/>
      <c r="AT7106"/>
      <c r="AU7106"/>
      <c r="AV7106"/>
    </row>
    <row r="7107" spans="41:48" x14ac:dyDescent="0.35">
      <c r="AO7107"/>
      <c r="AP7107"/>
      <c r="AQ7107"/>
      <c r="AR7107"/>
      <c r="AS7107"/>
      <c r="AT7107"/>
      <c r="AU7107"/>
      <c r="AV7107"/>
    </row>
    <row r="7108" spans="41:48" x14ac:dyDescent="0.35">
      <c r="AO7108"/>
      <c r="AP7108"/>
      <c r="AQ7108"/>
      <c r="AR7108"/>
      <c r="AS7108"/>
      <c r="AT7108"/>
      <c r="AU7108"/>
      <c r="AV7108"/>
    </row>
    <row r="7109" spans="41:48" x14ac:dyDescent="0.35">
      <c r="AO7109"/>
      <c r="AP7109"/>
      <c r="AQ7109"/>
      <c r="AR7109"/>
      <c r="AS7109"/>
      <c r="AT7109"/>
      <c r="AU7109"/>
      <c r="AV7109"/>
    </row>
    <row r="7110" spans="41:48" x14ac:dyDescent="0.35">
      <c r="AO7110"/>
      <c r="AP7110"/>
      <c r="AQ7110"/>
      <c r="AR7110"/>
      <c r="AS7110"/>
      <c r="AT7110"/>
      <c r="AU7110"/>
      <c r="AV7110"/>
    </row>
    <row r="7111" spans="41:48" x14ac:dyDescent="0.35">
      <c r="AO7111"/>
      <c r="AP7111"/>
      <c r="AQ7111"/>
      <c r="AR7111"/>
      <c r="AS7111"/>
      <c r="AT7111"/>
      <c r="AU7111"/>
      <c r="AV7111"/>
    </row>
    <row r="7112" spans="41:48" x14ac:dyDescent="0.35">
      <c r="AO7112"/>
      <c r="AP7112"/>
      <c r="AQ7112"/>
      <c r="AR7112"/>
      <c r="AS7112"/>
      <c r="AT7112"/>
      <c r="AU7112"/>
      <c r="AV7112"/>
    </row>
    <row r="7113" spans="41:48" x14ac:dyDescent="0.35">
      <c r="AO7113"/>
      <c r="AP7113"/>
      <c r="AQ7113"/>
      <c r="AR7113"/>
      <c r="AS7113"/>
      <c r="AT7113"/>
      <c r="AU7113"/>
      <c r="AV7113"/>
    </row>
    <row r="7114" spans="41:48" x14ac:dyDescent="0.35">
      <c r="AO7114"/>
      <c r="AP7114"/>
      <c r="AQ7114"/>
      <c r="AR7114"/>
      <c r="AS7114"/>
      <c r="AT7114"/>
      <c r="AU7114"/>
      <c r="AV7114"/>
    </row>
    <row r="7115" spans="41:48" x14ac:dyDescent="0.35">
      <c r="AO7115"/>
      <c r="AP7115"/>
      <c r="AQ7115"/>
      <c r="AR7115"/>
      <c r="AS7115"/>
      <c r="AT7115"/>
      <c r="AU7115"/>
      <c r="AV7115"/>
    </row>
    <row r="7116" spans="41:48" x14ac:dyDescent="0.35">
      <c r="AO7116"/>
      <c r="AP7116"/>
      <c r="AQ7116"/>
      <c r="AR7116"/>
      <c r="AS7116"/>
      <c r="AT7116"/>
      <c r="AU7116"/>
      <c r="AV7116"/>
    </row>
    <row r="7117" spans="41:48" x14ac:dyDescent="0.35">
      <c r="AO7117"/>
      <c r="AP7117"/>
      <c r="AQ7117"/>
      <c r="AR7117"/>
      <c r="AS7117"/>
      <c r="AT7117"/>
      <c r="AU7117"/>
      <c r="AV7117"/>
    </row>
    <row r="7118" spans="41:48" x14ac:dyDescent="0.35">
      <c r="AO7118"/>
      <c r="AP7118"/>
      <c r="AQ7118"/>
      <c r="AR7118"/>
      <c r="AS7118"/>
      <c r="AT7118"/>
      <c r="AU7118"/>
      <c r="AV7118"/>
    </row>
    <row r="7119" spans="41:48" x14ac:dyDescent="0.35">
      <c r="AO7119"/>
      <c r="AP7119"/>
      <c r="AQ7119"/>
      <c r="AR7119"/>
      <c r="AS7119"/>
      <c r="AT7119"/>
      <c r="AU7119"/>
      <c r="AV7119"/>
    </row>
    <row r="7120" spans="41:48" x14ac:dyDescent="0.35">
      <c r="AO7120"/>
      <c r="AP7120"/>
      <c r="AQ7120"/>
      <c r="AR7120"/>
      <c r="AS7120"/>
      <c r="AT7120"/>
      <c r="AU7120"/>
      <c r="AV7120"/>
    </row>
    <row r="7121" spans="41:48" x14ac:dyDescent="0.35">
      <c r="AO7121"/>
      <c r="AP7121"/>
      <c r="AQ7121"/>
      <c r="AR7121"/>
      <c r="AS7121"/>
      <c r="AT7121"/>
      <c r="AU7121"/>
      <c r="AV7121"/>
    </row>
    <row r="7122" spans="41:48" x14ac:dyDescent="0.35">
      <c r="AO7122"/>
      <c r="AP7122"/>
      <c r="AQ7122"/>
      <c r="AR7122"/>
      <c r="AS7122"/>
      <c r="AT7122"/>
      <c r="AU7122"/>
      <c r="AV7122"/>
    </row>
    <row r="7123" spans="41:48" x14ac:dyDescent="0.35">
      <c r="AO7123"/>
      <c r="AP7123"/>
      <c r="AQ7123"/>
      <c r="AR7123"/>
      <c r="AS7123"/>
      <c r="AT7123"/>
      <c r="AU7123"/>
      <c r="AV7123"/>
    </row>
    <row r="7124" spans="41:48" x14ac:dyDescent="0.35">
      <c r="AO7124"/>
      <c r="AP7124"/>
      <c r="AQ7124"/>
      <c r="AR7124"/>
      <c r="AS7124"/>
      <c r="AT7124"/>
      <c r="AU7124"/>
      <c r="AV7124"/>
    </row>
    <row r="7125" spans="41:48" x14ac:dyDescent="0.35">
      <c r="AO7125"/>
      <c r="AP7125"/>
      <c r="AQ7125"/>
      <c r="AR7125"/>
      <c r="AS7125"/>
      <c r="AT7125"/>
      <c r="AU7125"/>
      <c r="AV7125"/>
    </row>
    <row r="7126" spans="41:48" x14ac:dyDescent="0.35">
      <c r="AO7126"/>
      <c r="AP7126"/>
      <c r="AQ7126"/>
      <c r="AR7126"/>
      <c r="AS7126"/>
      <c r="AT7126"/>
      <c r="AU7126"/>
      <c r="AV7126"/>
    </row>
    <row r="7127" spans="41:48" x14ac:dyDescent="0.35">
      <c r="AO7127"/>
      <c r="AP7127"/>
      <c r="AQ7127"/>
      <c r="AR7127"/>
      <c r="AS7127"/>
      <c r="AT7127"/>
      <c r="AU7127"/>
      <c r="AV7127"/>
    </row>
    <row r="7128" spans="41:48" x14ac:dyDescent="0.35">
      <c r="AO7128"/>
      <c r="AP7128"/>
      <c r="AQ7128"/>
      <c r="AR7128"/>
      <c r="AS7128"/>
      <c r="AT7128"/>
      <c r="AU7128"/>
      <c r="AV7128"/>
    </row>
    <row r="7129" spans="41:48" x14ac:dyDescent="0.35">
      <c r="AO7129"/>
      <c r="AP7129"/>
      <c r="AQ7129"/>
      <c r="AR7129"/>
      <c r="AS7129"/>
      <c r="AT7129"/>
      <c r="AU7129"/>
      <c r="AV7129"/>
    </row>
    <row r="7130" spans="41:48" x14ac:dyDescent="0.35">
      <c r="AO7130"/>
      <c r="AP7130"/>
      <c r="AQ7130"/>
      <c r="AR7130"/>
      <c r="AS7130"/>
      <c r="AT7130"/>
      <c r="AU7130"/>
      <c r="AV7130"/>
    </row>
    <row r="7131" spans="41:48" x14ac:dyDescent="0.35">
      <c r="AO7131"/>
      <c r="AP7131"/>
      <c r="AQ7131"/>
      <c r="AR7131"/>
      <c r="AS7131"/>
      <c r="AT7131"/>
      <c r="AU7131"/>
      <c r="AV7131"/>
    </row>
    <row r="7132" spans="41:48" x14ac:dyDescent="0.35">
      <c r="AO7132"/>
      <c r="AP7132"/>
      <c r="AQ7132"/>
      <c r="AR7132"/>
      <c r="AS7132"/>
      <c r="AT7132"/>
      <c r="AU7132"/>
      <c r="AV7132"/>
    </row>
    <row r="7133" spans="41:48" x14ac:dyDescent="0.35">
      <c r="AO7133"/>
      <c r="AP7133"/>
      <c r="AQ7133"/>
      <c r="AR7133"/>
      <c r="AS7133"/>
      <c r="AT7133"/>
      <c r="AU7133"/>
      <c r="AV7133"/>
    </row>
    <row r="7134" spans="41:48" x14ac:dyDescent="0.35">
      <c r="AO7134"/>
      <c r="AP7134"/>
      <c r="AQ7134"/>
      <c r="AR7134"/>
      <c r="AS7134"/>
      <c r="AT7134"/>
      <c r="AU7134"/>
      <c r="AV7134"/>
    </row>
    <row r="7135" spans="41:48" x14ac:dyDescent="0.35">
      <c r="AO7135"/>
      <c r="AP7135"/>
      <c r="AQ7135"/>
      <c r="AR7135"/>
      <c r="AS7135"/>
      <c r="AT7135"/>
      <c r="AU7135"/>
      <c r="AV7135"/>
    </row>
    <row r="7136" spans="41:48" x14ac:dyDescent="0.35">
      <c r="AO7136"/>
      <c r="AP7136"/>
      <c r="AQ7136"/>
      <c r="AR7136"/>
      <c r="AS7136"/>
      <c r="AT7136"/>
      <c r="AU7136"/>
      <c r="AV7136"/>
    </row>
    <row r="7137" spans="41:48" x14ac:dyDescent="0.35">
      <c r="AO7137"/>
      <c r="AP7137"/>
      <c r="AQ7137"/>
      <c r="AR7137"/>
      <c r="AS7137"/>
      <c r="AT7137"/>
      <c r="AU7137"/>
      <c r="AV7137"/>
    </row>
    <row r="7138" spans="41:48" x14ac:dyDescent="0.35">
      <c r="AO7138"/>
      <c r="AP7138"/>
      <c r="AQ7138"/>
      <c r="AR7138"/>
      <c r="AS7138"/>
      <c r="AT7138"/>
      <c r="AU7138"/>
      <c r="AV7138"/>
    </row>
    <row r="7139" spans="41:48" x14ac:dyDescent="0.35">
      <c r="AO7139"/>
      <c r="AP7139"/>
      <c r="AQ7139"/>
      <c r="AR7139"/>
      <c r="AS7139"/>
      <c r="AT7139"/>
      <c r="AU7139"/>
      <c r="AV7139"/>
    </row>
    <row r="7140" spans="41:48" x14ac:dyDescent="0.35">
      <c r="AO7140"/>
      <c r="AP7140"/>
      <c r="AQ7140"/>
      <c r="AR7140"/>
      <c r="AS7140"/>
      <c r="AT7140"/>
      <c r="AU7140"/>
      <c r="AV7140"/>
    </row>
    <row r="7141" spans="41:48" x14ac:dyDescent="0.35">
      <c r="AO7141"/>
      <c r="AP7141"/>
      <c r="AQ7141"/>
      <c r="AR7141"/>
      <c r="AS7141"/>
      <c r="AT7141"/>
      <c r="AU7141"/>
      <c r="AV7141"/>
    </row>
    <row r="7142" spans="41:48" x14ac:dyDescent="0.35">
      <c r="AO7142"/>
      <c r="AP7142"/>
      <c r="AQ7142"/>
      <c r="AR7142"/>
      <c r="AS7142"/>
      <c r="AT7142"/>
      <c r="AU7142"/>
      <c r="AV7142"/>
    </row>
    <row r="7143" spans="41:48" x14ac:dyDescent="0.35">
      <c r="AO7143"/>
      <c r="AP7143"/>
      <c r="AQ7143"/>
      <c r="AR7143"/>
      <c r="AS7143"/>
      <c r="AT7143"/>
      <c r="AU7143"/>
      <c r="AV7143"/>
    </row>
    <row r="7144" spans="41:48" x14ac:dyDescent="0.35">
      <c r="AO7144"/>
      <c r="AP7144"/>
      <c r="AQ7144"/>
      <c r="AR7144"/>
      <c r="AS7144"/>
      <c r="AT7144"/>
      <c r="AU7144"/>
      <c r="AV7144"/>
    </row>
    <row r="7145" spans="41:48" x14ac:dyDescent="0.35">
      <c r="AO7145"/>
      <c r="AP7145"/>
      <c r="AQ7145"/>
      <c r="AR7145"/>
      <c r="AS7145"/>
      <c r="AT7145"/>
      <c r="AU7145"/>
      <c r="AV7145"/>
    </row>
    <row r="7146" spans="41:48" x14ac:dyDescent="0.35">
      <c r="AO7146"/>
      <c r="AP7146"/>
      <c r="AQ7146"/>
      <c r="AR7146"/>
      <c r="AS7146"/>
      <c r="AT7146"/>
      <c r="AU7146"/>
      <c r="AV7146"/>
    </row>
    <row r="7147" spans="41:48" x14ac:dyDescent="0.35">
      <c r="AO7147"/>
      <c r="AP7147"/>
      <c r="AQ7147"/>
      <c r="AR7147"/>
      <c r="AS7147"/>
      <c r="AT7147"/>
      <c r="AU7147"/>
      <c r="AV7147"/>
    </row>
    <row r="7148" spans="41:48" x14ac:dyDescent="0.35">
      <c r="AO7148"/>
      <c r="AP7148"/>
      <c r="AQ7148"/>
      <c r="AR7148"/>
      <c r="AS7148"/>
      <c r="AT7148"/>
      <c r="AU7148"/>
      <c r="AV7148"/>
    </row>
    <row r="7149" spans="41:48" x14ac:dyDescent="0.35">
      <c r="AO7149"/>
      <c r="AP7149"/>
      <c r="AQ7149"/>
      <c r="AR7149"/>
      <c r="AS7149"/>
      <c r="AT7149"/>
      <c r="AU7149"/>
      <c r="AV7149"/>
    </row>
    <row r="7150" spans="41:48" x14ac:dyDescent="0.35">
      <c r="AO7150"/>
      <c r="AP7150"/>
      <c r="AQ7150"/>
      <c r="AR7150"/>
      <c r="AS7150"/>
      <c r="AT7150"/>
      <c r="AU7150"/>
      <c r="AV7150"/>
    </row>
    <row r="7151" spans="41:48" x14ac:dyDescent="0.35">
      <c r="AO7151"/>
      <c r="AP7151"/>
      <c r="AQ7151"/>
      <c r="AR7151"/>
      <c r="AS7151"/>
      <c r="AT7151"/>
      <c r="AU7151"/>
      <c r="AV7151"/>
    </row>
    <row r="7152" spans="41:48" x14ac:dyDescent="0.35">
      <c r="AO7152"/>
      <c r="AP7152"/>
      <c r="AQ7152"/>
      <c r="AR7152"/>
      <c r="AS7152"/>
      <c r="AT7152"/>
      <c r="AU7152"/>
      <c r="AV7152"/>
    </row>
    <row r="7153" spans="41:48" x14ac:dyDescent="0.35">
      <c r="AO7153"/>
      <c r="AP7153"/>
      <c r="AQ7153"/>
      <c r="AR7153"/>
      <c r="AS7153"/>
      <c r="AT7153"/>
      <c r="AU7153"/>
      <c r="AV7153"/>
    </row>
    <row r="7154" spans="41:48" x14ac:dyDescent="0.35">
      <c r="AO7154"/>
      <c r="AP7154"/>
      <c r="AQ7154"/>
      <c r="AR7154"/>
      <c r="AS7154"/>
      <c r="AT7154"/>
      <c r="AU7154"/>
      <c r="AV7154"/>
    </row>
    <row r="7155" spans="41:48" x14ac:dyDescent="0.35">
      <c r="AO7155"/>
      <c r="AP7155"/>
      <c r="AQ7155"/>
      <c r="AR7155"/>
      <c r="AS7155"/>
      <c r="AT7155"/>
      <c r="AU7155"/>
      <c r="AV7155"/>
    </row>
    <row r="7156" spans="41:48" x14ac:dyDescent="0.35">
      <c r="AO7156"/>
      <c r="AP7156"/>
      <c r="AQ7156"/>
      <c r="AR7156"/>
      <c r="AS7156"/>
      <c r="AT7156"/>
      <c r="AU7156"/>
      <c r="AV7156"/>
    </row>
    <row r="7157" spans="41:48" x14ac:dyDescent="0.35">
      <c r="AO7157"/>
      <c r="AP7157"/>
      <c r="AQ7157"/>
      <c r="AR7157"/>
      <c r="AS7157"/>
      <c r="AT7157"/>
      <c r="AU7157"/>
      <c r="AV7157"/>
    </row>
    <row r="7158" spans="41:48" x14ac:dyDescent="0.35">
      <c r="AO7158"/>
      <c r="AP7158"/>
      <c r="AQ7158"/>
      <c r="AR7158"/>
      <c r="AS7158"/>
      <c r="AT7158"/>
      <c r="AU7158"/>
      <c r="AV7158"/>
    </row>
    <row r="7159" spans="41:48" x14ac:dyDescent="0.35">
      <c r="AO7159"/>
      <c r="AP7159"/>
      <c r="AQ7159"/>
      <c r="AR7159"/>
      <c r="AS7159"/>
      <c r="AT7159"/>
      <c r="AU7159"/>
      <c r="AV7159"/>
    </row>
    <row r="7160" spans="41:48" x14ac:dyDescent="0.35">
      <c r="AO7160"/>
      <c r="AP7160"/>
      <c r="AQ7160"/>
      <c r="AR7160"/>
      <c r="AS7160"/>
      <c r="AT7160"/>
      <c r="AU7160"/>
      <c r="AV7160"/>
    </row>
    <row r="7161" spans="41:48" x14ac:dyDescent="0.35">
      <c r="AO7161"/>
      <c r="AP7161"/>
      <c r="AQ7161"/>
      <c r="AR7161"/>
      <c r="AS7161"/>
      <c r="AT7161"/>
      <c r="AU7161"/>
      <c r="AV7161"/>
    </row>
    <row r="7162" spans="41:48" x14ac:dyDescent="0.35">
      <c r="AO7162"/>
      <c r="AP7162"/>
      <c r="AQ7162"/>
      <c r="AR7162"/>
      <c r="AS7162"/>
      <c r="AT7162"/>
      <c r="AU7162"/>
      <c r="AV7162"/>
    </row>
    <row r="7163" spans="41:48" x14ac:dyDescent="0.35">
      <c r="AO7163"/>
      <c r="AP7163"/>
      <c r="AQ7163"/>
      <c r="AR7163"/>
      <c r="AS7163"/>
      <c r="AT7163"/>
      <c r="AU7163"/>
      <c r="AV7163"/>
    </row>
    <row r="7164" spans="41:48" x14ac:dyDescent="0.35">
      <c r="AO7164"/>
      <c r="AP7164"/>
      <c r="AQ7164"/>
      <c r="AR7164"/>
      <c r="AS7164"/>
      <c r="AT7164"/>
      <c r="AU7164"/>
      <c r="AV7164"/>
    </row>
    <row r="7165" spans="41:48" x14ac:dyDescent="0.35">
      <c r="AO7165"/>
      <c r="AP7165"/>
      <c r="AQ7165"/>
      <c r="AR7165"/>
      <c r="AS7165"/>
      <c r="AT7165"/>
      <c r="AU7165"/>
      <c r="AV7165"/>
    </row>
    <row r="7166" spans="41:48" x14ac:dyDescent="0.35">
      <c r="AO7166"/>
      <c r="AP7166"/>
      <c r="AQ7166"/>
      <c r="AR7166"/>
      <c r="AS7166"/>
      <c r="AT7166"/>
      <c r="AU7166"/>
      <c r="AV7166"/>
    </row>
    <row r="7167" spans="41:48" x14ac:dyDescent="0.35">
      <c r="AO7167"/>
      <c r="AP7167"/>
      <c r="AQ7167"/>
      <c r="AR7167"/>
      <c r="AS7167"/>
      <c r="AT7167"/>
      <c r="AU7167"/>
      <c r="AV7167"/>
    </row>
    <row r="7168" spans="41:48" x14ac:dyDescent="0.35">
      <c r="AO7168"/>
      <c r="AP7168"/>
      <c r="AQ7168"/>
      <c r="AR7168"/>
      <c r="AS7168"/>
      <c r="AT7168"/>
      <c r="AU7168"/>
      <c r="AV7168"/>
    </row>
    <row r="7169" spans="41:48" x14ac:dyDescent="0.35">
      <c r="AO7169"/>
      <c r="AP7169"/>
      <c r="AQ7169"/>
      <c r="AR7169"/>
      <c r="AS7169"/>
      <c r="AT7169"/>
      <c r="AU7169"/>
      <c r="AV7169"/>
    </row>
    <row r="7170" spans="41:48" x14ac:dyDescent="0.35">
      <c r="AO7170"/>
      <c r="AP7170"/>
      <c r="AQ7170"/>
      <c r="AR7170"/>
      <c r="AS7170"/>
      <c r="AT7170"/>
      <c r="AU7170"/>
      <c r="AV7170"/>
    </row>
    <row r="7171" spans="41:48" x14ac:dyDescent="0.35">
      <c r="AO7171"/>
      <c r="AP7171"/>
      <c r="AQ7171"/>
      <c r="AR7171"/>
      <c r="AS7171"/>
      <c r="AT7171"/>
      <c r="AU7171"/>
      <c r="AV7171"/>
    </row>
    <row r="7172" spans="41:48" x14ac:dyDescent="0.35">
      <c r="AO7172"/>
      <c r="AP7172"/>
      <c r="AQ7172"/>
      <c r="AR7172"/>
      <c r="AS7172"/>
      <c r="AT7172"/>
      <c r="AU7172"/>
      <c r="AV7172"/>
    </row>
    <row r="7173" spans="41:48" x14ac:dyDescent="0.35">
      <c r="AO7173"/>
      <c r="AP7173"/>
      <c r="AQ7173"/>
      <c r="AR7173"/>
      <c r="AS7173"/>
      <c r="AT7173"/>
      <c r="AU7173"/>
      <c r="AV7173"/>
    </row>
    <row r="7174" spans="41:48" x14ac:dyDescent="0.35">
      <c r="AO7174"/>
      <c r="AP7174"/>
      <c r="AQ7174"/>
      <c r="AR7174"/>
      <c r="AS7174"/>
      <c r="AT7174"/>
      <c r="AU7174"/>
      <c r="AV7174"/>
    </row>
    <row r="7175" spans="41:48" x14ac:dyDescent="0.35">
      <c r="AO7175"/>
      <c r="AP7175"/>
      <c r="AQ7175"/>
      <c r="AR7175"/>
      <c r="AS7175"/>
      <c r="AT7175"/>
      <c r="AU7175"/>
      <c r="AV7175"/>
    </row>
    <row r="7176" spans="41:48" x14ac:dyDescent="0.35">
      <c r="AO7176"/>
      <c r="AP7176"/>
      <c r="AQ7176"/>
      <c r="AR7176"/>
      <c r="AS7176"/>
      <c r="AT7176"/>
      <c r="AU7176"/>
      <c r="AV7176"/>
    </row>
    <row r="7177" spans="41:48" x14ac:dyDescent="0.35">
      <c r="AO7177"/>
      <c r="AP7177"/>
      <c r="AQ7177"/>
      <c r="AR7177"/>
      <c r="AS7177"/>
      <c r="AT7177"/>
      <c r="AU7177"/>
      <c r="AV7177"/>
    </row>
    <row r="7178" spans="41:48" x14ac:dyDescent="0.35">
      <c r="AO7178"/>
      <c r="AP7178"/>
      <c r="AQ7178"/>
      <c r="AR7178"/>
      <c r="AS7178"/>
      <c r="AT7178"/>
      <c r="AU7178"/>
      <c r="AV7178"/>
    </row>
    <row r="7179" spans="41:48" x14ac:dyDescent="0.35">
      <c r="AO7179"/>
      <c r="AP7179"/>
      <c r="AQ7179"/>
      <c r="AR7179"/>
      <c r="AS7179"/>
      <c r="AT7179"/>
      <c r="AU7179"/>
      <c r="AV7179"/>
    </row>
    <row r="7180" spans="41:48" x14ac:dyDescent="0.35">
      <c r="AO7180"/>
      <c r="AP7180"/>
      <c r="AQ7180"/>
      <c r="AR7180"/>
      <c r="AS7180"/>
      <c r="AT7180"/>
      <c r="AU7180"/>
      <c r="AV7180"/>
    </row>
    <row r="7181" spans="41:48" x14ac:dyDescent="0.35">
      <c r="AO7181"/>
      <c r="AP7181"/>
      <c r="AQ7181"/>
      <c r="AR7181"/>
      <c r="AS7181"/>
      <c r="AT7181"/>
      <c r="AU7181"/>
      <c r="AV7181"/>
    </row>
    <row r="7182" spans="41:48" x14ac:dyDescent="0.35">
      <c r="AO7182"/>
      <c r="AP7182"/>
      <c r="AQ7182"/>
      <c r="AR7182"/>
      <c r="AS7182"/>
      <c r="AT7182"/>
      <c r="AU7182"/>
      <c r="AV7182"/>
    </row>
    <row r="7183" spans="41:48" x14ac:dyDescent="0.35">
      <c r="AO7183"/>
      <c r="AP7183"/>
      <c r="AQ7183"/>
      <c r="AR7183"/>
      <c r="AS7183"/>
      <c r="AT7183"/>
      <c r="AU7183"/>
      <c r="AV7183"/>
    </row>
    <row r="7184" spans="41:48" x14ac:dyDescent="0.35">
      <c r="AO7184"/>
      <c r="AP7184"/>
      <c r="AQ7184"/>
      <c r="AR7184"/>
      <c r="AS7184"/>
      <c r="AT7184"/>
      <c r="AU7184"/>
      <c r="AV7184"/>
    </row>
    <row r="7185" spans="41:48" x14ac:dyDescent="0.35">
      <c r="AO7185"/>
      <c r="AP7185"/>
      <c r="AQ7185"/>
      <c r="AR7185"/>
      <c r="AS7185"/>
      <c r="AT7185"/>
      <c r="AU7185"/>
      <c r="AV7185"/>
    </row>
    <row r="7186" spans="41:48" x14ac:dyDescent="0.35">
      <c r="AO7186"/>
      <c r="AP7186"/>
      <c r="AQ7186"/>
      <c r="AR7186"/>
      <c r="AS7186"/>
      <c r="AT7186"/>
      <c r="AU7186"/>
      <c r="AV7186"/>
    </row>
    <row r="7187" spans="41:48" x14ac:dyDescent="0.35">
      <c r="AO7187"/>
      <c r="AP7187"/>
      <c r="AQ7187"/>
      <c r="AR7187"/>
      <c r="AS7187"/>
      <c r="AT7187"/>
      <c r="AU7187"/>
      <c r="AV7187"/>
    </row>
    <row r="7188" spans="41:48" x14ac:dyDescent="0.35">
      <c r="AO7188"/>
      <c r="AP7188"/>
      <c r="AQ7188"/>
      <c r="AR7188"/>
      <c r="AS7188"/>
      <c r="AT7188"/>
      <c r="AU7188"/>
      <c r="AV7188"/>
    </row>
    <row r="7189" spans="41:48" x14ac:dyDescent="0.35">
      <c r="AO7189"/>
      <c r="AP7189"/>
      <c r="AQ7189"/>
      <c r="AR7189"/>
      <c r="AS7189"/>
      <c r="AT7189"/>
      <c r="AU7189"/>
      <c r="AV7189"/>
    </row>
    <row r="7190" spans="41:48" x14ac:dyDescent="0.35">
      <c r="AO7190"/>
      <c r="AP7190"/>
      <c r="AQ7190"/>
      <c r="AR7190"/>
      <c r="AS7190"/>
      <c r="AT7190"/>
      <c r="AU7190"/>
      <c r="AV7190"/>
    </row>
    <row r="7191" spans="41:48" x14ac:dyDescent="0.35">
      <c r="AO7191"/>
      <c r="AP7191"/>
      <c r="AQ7191"/>
      <c r="AR7191"/>
      <c r="AS7191"/>
      <c r="AT7191"/>
      <c r="AU7191"/>
      <c r="AV7191"/>
    </row>
    <row r="7192" spans="41:48" x14ac:dyDescent="0.35">
      <c r="AO7192"/>
      <c r="AP7192"/>
      <c r="AQ7192"/>
      <c r="AR7192"/>
      <c r="AS7192"/>
      <c r="AT7192"/>
      <c r="AU7192"/>
      <c r="AV7192"/>
    </row>
    <row r="7193" spans="41:48" x14ac:dyDescent="0.35">
      <c r="AO7193"/>
      <c r="AP7193"/>
      <c r="AQ7193"/>
      <c r="AR7193"/>
      <c r="AS7193"/>
      <c r="AT7193"/>
      <c r="AU7193"/>
      <c r="AV7193"/>
    </row>
    <row r="7194" spans="41:48" x14ac:dyDescent="0.35">
      <c r="AO7194"/>
      <c r="AP7194"/>
      <c r="AQ7194"/>
      <c r="AR7194"/>
      <c r="AS7194"/>
      <c r="AT7194"/>
      <c r="AU7194"/>
      <c r="AV7194"/>
    </row>
    <row r="7195" spans="41:48" x14ac:dyDescent="0.35">
      <c r="AO7195"/>
      <c r="AP7195"/>
      <c r="AQ7195"/>
      <c r="AR7195"/>
      <c r="AS7195"/>
      <c r="AT7195"/>
      <c r="AU7195"/>
      <c r="AV7195"/>
    </row>
    <row r="7196" spans="41:48" x14ac:dyDescent="0.35">
      <c r="AO7196"/>
      <c r="AP7196"/>
      <c r="AQ7196"/>
      <c r="AR7196"/>
      <c r="AS7196"/>
      <c r="AT7196"/>
      <c r="AU7196"/>
      <c r="AV7196"/>
    </row>
    <row r="7197" spans="41:48" x14ac:dyDescent="0.35">
      <c r="AO7197"/>
      <c r="AP7197"/>
      <c r="AQ7197"/>
      <c r="AR7197"/>
      <c r="AS7197"/>
      <c r="AT7197"/>
      <c r="AU7197"/>
      <c r="AV7197"/>
    </row>
    <row r="7198" spans="41:48" x14ac:dyDescent="0.35">
      <c r="AO7198"/>
      <c r="AP7198"/>
      <c r="AQ7198"/>
      <c r="AR7198"/>
      <c r="AS7198"/>
      <c r="AT7198"/>
      <c r="AU7198"/>
      <c r="AV7198"/>
    </row>
    <row r="7199" spans="41:48" x14ac:dyDescent="0.35">
      <c r="AO7199"/>
      <c r="AP7199"/>
      <c r="AQ7199"/>
      <c r="AR7199"/>
      <c r="AS7199"/>
      <c r="AT7199"/>
      <c r="AU7199"/>
      <c r="AV7199"/>
    </row>
    <row r="7200" spans="41:48" x14ac:dyDescent="0.35">
      <c r="AO7200"/>
      <c r="AP7200"/>
      <c r="AQ7200"/>
      <c r="AR7200"/>
      <c r="AS7200"/>
      <c r="AT7200"/>
      <c r="AU7200"/>
      <c r="AV7200"/>
    </row>
    <row r="7201" spans="41:48" x14ac:dyDescent="0.35">
      <c r="AO7201"/>
      <c r="AP7201"/>
      <c r="AQ7201"/>
      <c r="AR7201"/>
      <c r="AS7201"/>
      <c r="AT7201"/>
      <c r="AU7201"/>
      <c r="AV7201"/>
    </row>
    <row r="7202" spans="41:48" x14ac:dyDescent="0.35">
      <c r="AO7202"/>
      <c r="AP7202"/>
      <c r="AQ7202"/>
      <c r="AR7202"/>
      <c r="AS7202"/>
      <c r="AT7202"/>
      <c r="AU7202"/>
      <c r="AV7202"/>
    </row>
    <row r="7203" spans="41:48" x14ac:dyDescent="0.35">
      <c r="AO7203"/>
      <c r="AP7203"/>
      <c r="AQ7203"/>
      <c r="AR7203"/>
      <c r="AS7203"/>
      <c r="AT7203"/>
      <c r="AU7203"/>
      <c r="AV7203"/>
    </row>
    <row r="7204" spans="41:48" x14ac:dyDescent="0.35">
      <c r="AO7204"/>
      <c r="AP7204"/>
      <c r="AQ7204"/>
      <c r="AR7204"/>
      <c r="AS7204"/>
      <c r="AT7204"/>
      <c r="AU7204"/>
      <c r="AV7204"/>
    </row>
    <row r="7205" spans="41:48" x14ac:dyDescent="0.35">
      <c r="AO7205"/>
      <c r="AP7205"/>
      <c r="AQ7205"/>
      <c r="AR7205"/>
      <c r="AS7205"/>
      <c r="AT7205"/>
      <c r="AU7205"/>
      <c r="AV7205"/>
    </row>
    <row r="7206" spans="41:48" x14ac:dyDescent="0.35">
      <c r="AO7206"/>
      <c r="AP7206"/>
      <c r="AQ7206"/>
      <c r="AR7206"/>
      <c r="AS7206"/>
      <c r="AT7206"/>
      <c r="AU7206"/>
      <c r="AV7206"/>
    </row>
    <row r="7207" spans="41:48" x14ac:dyDescent="0.35">
      <c r="AO7207"/>
      <c r="AP7207"/>
      <c r="AQ7207"/>
      <c r="AR7207"/>
      <c r="AS7207"/>
      <c r="AT7207"/>
      <c r="AU7207"/>
      <c r="AV7207"/>
    </row>
    <row r="7208" spans="41:48" x14ac:dyDescent="0.35">
      <c r="AO7208"/>
      <c r="AP7208"/>
      <c r="AQ7208"/>
      <c r="AR7208"/>
      <c r="AS7208"/>
      <c r="AT7208"/>
      <c r="AU7208"/>
      <c r="AV7208"/>
    </row>
    <row r="7209" spans="41:48" x14ac:dyDescent="0.35">
      <c r="AO7209"/>
      <c r="AP7209"/>
      <c r="AQ7209"/>
      <c r="AR7209"/>
      <c r="AS7209"/>
      <c r="AT7209"/>
      <c r="AU7209"/>
      <c r="AV7209"/>
    </row>
    <row r="7210" spans="41:48" x14ac:dyDescent="0.35">
      <c r="AO7210"/>
      <c r="AP7210"/>
      <c r="AQ7210"/>
      <c r="AR7210"/>
      <c r="AS7210"/>
      <c r="AT7210"/>
      <c r="AU7210"/>
      <c r="AV7210"/>
    </row>
    <row r="7211" spans="41:48" x14ac:dyDescent="0.35">
      <c r="AO7211"/>
      <c r="AP7211"/>
      <c r="AQ7211"/>
      <c r="AR7211"/>
      <c r="AS7211"/>
      <c r="AT7211"/>
      <c r="AU7211"/>
      <c r="AV7211"/>
    </row>
    <row r="7212" spans="41:48" x14ac:dyDescent="0.35">
      <c r="AO7212"/>
      <c r="AP7212"/>
      <c r="AQ7212"/>
      <c r="AR7212"/>
      <c r="AS7212"/>
      <c r="AT7212"/>
      <c r="AU7212"/>
      <c r="AV7212"/>
    </row>
    <row r="7213" spans="41:48" x14ac:dyDescent="0.35">
      <c r="AO7213"/>
      <c r="AP7213"/>
      <c r="AQ7213"/>
      <c r="AR7213"/>
      <c r="AS7213"/>
      <c r="AT7213"/>
      <c r="AU7213"/>
      <c r="AV7213"/>
    </row>
    <row r="7214" spans="41:48" x14ac:dyDescent="0.35">
      <c r="AO7214"/>
      <c r="AP7214"/>
      <c r="AQ7214"/>
      <c r="AR7214"/>
      <c r="AS7214"/>
      <c r="AT7214"/>
      <c r="AU7214"/>
      <c r="AV7214"/>
    </row>
    <row r="7215" spans="41:48" x14ac:dyDescent="0.35">
      <c r="AO7215"/>
      <c r="AP7215"/>
      <c r="AQ7215"/>
      <c r="AR7215"/>
      <c r="AS7215"/>
      <c r="AT7215"/>
      <c r="AU7215"/>
      <c r="AV7215"/>
    </row>
    <row r="7216" spans="41:48" x14ac:dyDescent="0.35">
      <c r="AO7216"/>
      <c r="AP7216"/>
      <c r="AQ7216"/>
      <c r="AR7216"/>
      <c r="AS7216"/>
      <c r="AT7216"/>
      <c r="AU7216"/>
      <c r="AV7216"/>
    </row>
    <row r="7217" spans="41:48" x14ac:dyDescent="0.35">
      <c r="AO7217"/>
      <c r="AP7217"/>
      <c r="AQ7217"/>
      <c r="AR7217"/>
      <c r="AS7217"/>
      <c r="AT7217"/>
      <c r="AU7217"/>
      <c r="AV7217"/>
    </row>
    <row r="7218" spans="41:48" x14ac:dyDescent="0.35">
      <c r="AO7218"/>
      <c r="AP7218"/>
      <c r="AQ7218"/>
      <c r="AR7218"/>
      <c r="AS7218"/>
      <c r="AT7218"/>
      <c r="AU7218"/>
      <c r="AV7218"/>
    </row>
    <row r="7219" spans="41:48" x14ac:dyDescent="0.35">
      <c r="AO7219"/>
      <c r="AP7219"/>
      <c r="AQ7219"/>
      <c r="AR7219"/>
      <c r="AS7219"/>
      <c r="AT7219"/>
      <c r="AU7219"/>
      <c r="AV7219"/>
    </row>
    <row r="7220" spans="41:48" x14ac:dyDescent="0.35">
      <c r="AO7220"/>
      <c r="AP7220"/>
      <c r="AQ7220"/>
      <c r="AR7220"/>
      <c r="AS7220"/>
      <c r="AT7220"/>
      <c r="AU7220"/>
      <c r="AV7220"/>
    </row>
    <row r="7221" spans="41:48" x14ac:dyDescent="0.35">
      <c r="AO7221"/>
      <c r="AP7221"/>
      <c r="AQ7221"/>
      <c r="AR7221"/>
      <c r="AS7221"/>
      <c r="AT7221"/>
      <c r="AU7221"/>
      <c r="AV7221"/>
    </row>
    <row r="7222" spans="41:48" x14ac:dyDescent="0.35">
      <c r="AO7222"/>
      <c r="AP7222"/>
      <c r="AQ7222"/>
      <c r="AR7222"/>
      <c r="AS7222"/>
      <c r="AT7222"/>
      <c r="AU7222"/>
      <c r="AV7222"/>
    </row>
    <row r="7223" spans="41:48" x14ac:dyDescent="0.35">
      <c r="AO7223"/>
      <c r="AP7223"/>
      <c r="AQ7223"/>
      <c r="AR7223"/>
      <c r="AS7223"/>
      <c r="AT7223"/>
      <c r="AU7223"/>
      <c r="AV7223"/>
    </row>
    <row r="7224" spans="41:48" x14ac:dyDescent="0.35">
      <c r="AO7224"/>
      <c r="AP7224"/>
      <c r="AQ7224"/>
      <c r="AR7224"/>
      <c r="AS7224"/>
      <c r="AT7224"/>
      <c r="AU7224"/>
      <c r="AV7224"/>
    </row>
    <row r="7225" spans="41:48" x14ac:dyDescent="0.35">
      <c r="AO7225"/>
      <c r="AP7225"/>
      <c r="AQ7225"/>
      <c r="AR7225"/>
      <c r="AS7225"/>
      <c r="AT7225"/>
      <c r="AU7225"/>
      <c r="AV7225"/>
    </row>
    <row r="7226" spans="41:48" x14ac:dyDescent="0.35">
      <c r="AO7226"/>
      <c r="AP7226"/>
      <c r="AQ7226"/>
      <c r="AR7226"/>
      <c r="AS7226"/>
      <c r="AT7226"/>
      <c r="AU7226"/>
      <c r="AV7226"/>
    </row>
    <row r="7227" spans="41:48" x14ac:dyDescent="0.35">
      <c r="AO7227"/>
      <c r="AP7227"/>
      <c r="AQ7227"/>
      <c r="AR7227"/>
      <c r="AS7227"/>
      <c r="AT7227"/>
      <c r="AU7227"/>
      <c r="AV7227"/>
    </row>
    <row r="7228" spans="41:48" x14ac:dyDescent="0.35">
      <c r="AO7228"/>
      <c r="AP7228"/>
      <c r="AQ7228"/>
      <c r="AR7228"/>
      <c r="AS7228"/>
      <c r="AT7228"/>
      <c r="AU7228"/>
      <c r="AV7228"/>
    </row>
    <row r="7229" spans="41:48" x14ac:dyDescent="0.35">
      <c r="AO7229"/>
      <c r="AP7229"/>
      <c r="AQ7229"/>
      <c r="AR7229"/>
      <c r="AS7229"/>
      <c r="AT7229"/>
      <c r="AU7229"/>
      <c r="AV7229"/>
    </row>
    <row r="7230" spans="41:48" x14ac:dyDescent="0.35">
      <c r="AO7230"/>
      <c r="AP7230"/>
      <c r="AQ7230"/>
      <c r="AR7230"/>
      <c r="AS7230"/>
      <c r="AT7230"/>
      <c r="AU7230"/>
      <c r="AV7230"/>
    </row>
    <row r="7231" spans="41:48" x14ac:dyDescent="0.35">
      <c r="AO7231"/>
      <c r="AP7231"/>
      <c r="AQ7231"/>
      <c r="AR7231"/>
      <c r="AS7231"/>
      <c r="AT7231"/>
      <c r="AU7231"/>
      <c r="AV7231"/>
    </row>
    <row r="7232" spans="41:48" x14ac:dyDescent="0.35">
      <c r="AO7232"/>
      <c r="AP7232"/>
      <c r="AQ7232"/>
      <c r="AR7232"/>
      <c r="AS7232"/>
      <c r="AT7232"/>
      <c r="AU7232"/>
      <c r="AV7232"/>
    </row>
    <row r="7233" spans="41:48" x14ac:dyDescent="0.35">
      <c r="AO7233"/>
      <c r="AP7233"/>
      <c r="AQ7233"/>
      <c r="AR7233"/>
      <c r="AS7233"/>
      <c r="AT7233"/>
      <c r="AU7233"/>
      <c r="AV7233"/>
    </row>
    <row r="7234" spans="41:48" x14ac:dyDescent="0.35">
      <c r="AO7234"/>
      <c r="AP7234"/>
      <c r="AQ7234"/>
      <c r="AR7234"/>
      <c r="AS7234"/>
      <c r="AT7234"/>
      <c r="AU7234"/>
      <c r="AV7234"/>
    </row>
    <row r="7235" spans="41:48" x14ac:dyDescent="0.35">
      <c r="AO7235"/>
      <c r="AP7235"/>
      <c r="AQ7235"/>
      <c r="AR7235"/>
      <c r="AS7235"/>
      <c r="AT7235"/>
      <c r="AU7235"/>
      <c r="AV7235"/>
    </row>
    <row r="7236" spans="41:48" x14ac:dyDescent="0.35">
      <c r="AO7236"/>
      <c r="AP7236"/>
      <c r="AQ7236"/>
      <c r="AR7236"/>
      <c r="AS7236"/>
      <c r="AT7236"/>
      <c r="AU7236"/>
      <c r="AV7236"/>
    </row>
    <row r="7237" spans="41:48" x14ac:dyDescent="0.35">
      <c r="AO7237"/>
      <c r="AP7237"/>
      <c r="AQ7237"/>
      <c r="AR7237"/>
      <c r="AS7237"/>
      <c r="AT7237"/>
      <c r="AU7237"/>
      <c r="AV7237"/>
    </row>
    <row r="7238" spans="41:48" x14ac:dyDescent="0.35">
      <c r="AO7238"/>
      <c r="AP7238"/>
      <c r="AQ7238"/>
      <c r="AR7238"/>
      <c r="AS7238"/>
      <c r="AT7238"/>
      <c r="AU7238"/>
      <c r="AV7238"/>
    </row>
    <row r="7239" spans="41:48" x14ac:dyDescent="0.35">
      <c r="AO7239"/>
      <c r="AP7239"/>
      <c r="AQ7239"/>
      <c r="AR7239"/>
      <c r="AS7239"/>
      <c r="AT7239"/>
      <c r="AU7239"/>
      <c r="AV7239"/>
    </row>
    <row r="7240" spans="41:48" x14ac:dyDescent="0.35">
      <c r="AO7240"/>
      <c r="AP7240"/>
      <c r="AQ7240"/>
      <c r="AR7240"/>
      <c r="AS7240"/>
      <c r="AT7240"/>
      <c r="AU7240"/>
      <c r="AV7240"/>
    </row>
    <row r="7241" spans="41:48" x14ac:dyDescent="0.35">
      <c r="AO7241"/>
      <c r="AP7241"/>
      <c r="AQ7241"/>
      <c r="AR7241"/>
      <c r="AS7241"/>
      <c r="AT7241"/>
      <c r="AU7241"/>
      <c r="AV7241"/>
    </row>
    <row r="7242" spans="41:48" x14ac:dyDescent="0.35">
      <c r="AO7242"/>
      <c r="AP7242"/>
      <c r="AQ7242"/>
      <c r="AR7242"/>
      <c r="AS7242"/>
      <c r="AT7242"/>
      <c r="AU7242"/>
      <c r="AV7242"/>
    </row>
    <row r="7243" spans="41:48" x14ac:dyDescent="0.35">
      <c r="AO7243"/>
      <c r="AP7243"/>
      <c r="AQ7243"/>
      <c r="AR7243"/>
      <c r="AS7243"/>
      <c r="AT7243"/>
      <c r="AU7243"/>
      <c r="AV7243"/>
    </row>
    <row r="7244" spans="41:48" x14ac:dyDescent="0.35">
      <c r="AO7244"/>
      <c r="AP7244"/>
      <c r="AQ7244"/>
      <c r="AR7244"/>
      <c r="AS7244"/>
      <c r="AT7244"/>
      <c r="AU7244"/>
      <c r="AV7244"/>
    </row>
    <row r="7245" spans="41:48" x14ac:dyDescent="0.35">
      <c r="AO7245"/>
      <c r="AP7245"/>
      <c r="AQ7245"/>
      <c r="AR7245"/>
      <c r="AS7245"/>
      <c r="AT7245"/>
      <c r="AU7245"/>
      <c r="AV7245"/>
    </row>
    <row r="7246" spans="41:48" x14ac:dyDescent="0.35">
      <c r="AO7246"/>
      <c r="AP7246"/>
      <c r="AQ7246"/>
      <c r="AR7246"/>
      <c r="AS7246"/>
      <c r="AT7246"/>
      <c r="AU7246"/>
      <c r="AV7246"/>
    </row>
    <row r="7247" spans="41:48" x14ac:dyDescent="0.35">
      <c r="AO7247"/>
      <c r="AP7247"/>
      <c r="AQ7247"/>
      <c r="AR7247"/>
      <c r="AS7247"/>
      <c r="AT7247"/>
      <c r="AU7247"/>
      <c r="AV7247"/>
    </row>
    <row r="7248" spans="41:48" x14ac:dyDescent="0.35">
      <c r="AO7248"/>
      <c r="AP7248"/>
      <c r="AQ7248"/>
      <c r="AR7248"/>
      <c r="AS7248"/>
      <c r="AT7248"/>
      <c r="AU7248"/>
      <c r="AV7248"/>
    </row>
    <row r="7249" spans="41:48" x14ac:dyDescent="0.35">
      <c r="AO7249"/>
      <c r="AP7249"/>
      <c r="AQ7249"/>
      <c r="AR7249"/>
      <c r="AS7249"/>
      <c r="AT7249"/>
      <c r="AU7249"/>
      <c r="AV7249"/>
    </row>
    <row r="7250" spans="41:48" x14ac:dyDescent="0.35">
      <c r="AO7250"/>
      <c r="AP7250"/>
      <c r="AQ7250"/>
      <c r="AR7250"/>
      <c r="AS7250"/>
      <c r="AT7250"/>
      <c r="AU7250"/>
      <c r="AV7250"/>
    </row>
    <row r="7251" spans="41:48" x14ac:dyDescent="0.35">
      <c r="AO7251"/>
      <c r="AP7251"/>
      <c r="AQ7251"/>
      <c r="AR7251"/>
      <c r="AS7251"/>
      <c r="AT7251"/>
      <c r="AU7251"/>
      <c r="AV7251"/>
    </row>
    <row r="7252" spans="41:48" x14ac:dyDescent="0.35">
      <c r="AO7252"/>
      <c r="AP7252"/>
      <c r="AQ7252"/>
      <c r="AR7252"/>
      <c r="AS7252"/>
      <c r="AT7252"/>
      <c r="AU7252"/>
      <c r="AV7252"/>
    </row>
    <row r="7253" spans="41:48" x14ac:dyDescent="0.35">
      <c r="AO7253"/>
      <c r="AP7253"/>
      <c r="AQ7253"/>
      <c r="AR7253"/>
      <c r="AS7253"/>
      <c r="AT7253"/>
      <c r="AU7253"/>
      <c r="AV7253"/>
    </row>
    <row r="7254" spans="41:48" x14ac:dyDescent="0.35">
      <c r="AO7254"/>
      <c r="AP7254"/>
      <c r="AQ7254"/>
      <c r="AR7254"/>
      <c r="AS7254"/>
      <c r="AT7254"/>
      <c r="AU7254"/>
      <c r="AV7254"/>
    </row>
    <row r="7255" spans="41:48" x14ac:dyDescent="0.35">
      <c r="AO7255"/>
      <c r="AP7255"/>
      <c r="AQ7255"/>
      <c r="AR7255"/>
      <c r="AS7255"/>
      <c r="AT7255"/>
      <c r="AU7255"/>
      <c r="AV7255"/>
    </row>
    <row r="7256" spans="41:48" x14ac:dyDescent="0.35">
      <c r="AO7256"/>
      <c r="AP7256"/>
      <c r="AQ7256"/>
      <c r="AR7256"/>
      <c r="AS7256"/>
      <c r="AT7256"/>
      <c r="AU7256"/>
      <c r="AV7256"/>
    </row>
    <row r="7257" spans="41:48" x14ac:dyDescent="0.35">
      <c r="AO7257"/>
      <c r="AP7257"/>
      <c r="AQ7257"/>
      <c r="AR7257"/>
      <c r="AS7257"/>
      <c r="AT7257"/>
      <c r="AU7257"/>
      <c r="AV7257"/>
    </row>
    <row r="7258" spans="41:48" x14ac:dyDescent="0.35">
      <c r="AO7258"/>
      <c r="AP7258"/>
      <c r="AQ7258"/>
      <c r="AR7258"/>
      <c r="AS7258"/>
      <c r="AT7258"/>
      <c r="AU7258"/>
      <c r="AV7258"/>
    </row>
    <row r="7259" spans="41:48" x14ac:dyDescent="0.35">
      <c r="AO7259"/>
      <c r="AP7259"/>
      <c r="AQ7259"/>
      <c r="AR7259"/>
      <c r="AS7259"/>
      <c r="AT7259"/>
      <c r="AU7259"/>
      <c r="AV7259"/>
    </row>
    <row r="7260" spans="41:48" x14ac:dyDescent="0.35">
      <c r="AO7260"/>
      <c r="AP7260"/>
      <c r="AQ7260"/>
      <c r="AR7260"/>
      <c r="AS7260"/>
      <c r="AT7260"/>
      <c r="AU7260"/>
      <c r="AV7260"/>
    </row>
    <row r="7261" spans="41:48" x14ac:dyDescent="0.35">
      <c r="AO7261"/>
      <c r="AP7261"/>
      <c r="AQ7261"/>
      <c r="AR7261"/>
      <c r="AS7261"/>
      <c r="AT7261"/>
      <c r="AU7261"/>
      <c r="AV7261"/>
    </row>
    <row r="7262" spans="41:48" x14ac:dyDescent="0.35">
      <c r="AO7262"/>
      <c r="AP7262"/>
      <c r="AQ7262"/>
      <c r="AR7262"/>
      <c r="AS7262"/>
      <c r="AT7262"/>
      <c r="AU7262"/>
      <c r="AV7262"/>
    </row>
    <row r="7263" spans="41:48" x14ac:dyDescent="0.35">
      <c r="AO7263"/>
      <c r="AP7263"/>
      <c r="AQ7263"/>
      <c r="AR7263"/>
      <c r="AS7263"/>
      <c r="AT7263"/>
      <c r="AU7263"/>
      <c r="AV7263"/>
    </row>
    <row r="7264" spans="41:48" x14ac:dyDescent="0.35">
      <c r="AO7264"/>
      <c r="AP7264"/>
      <c r="AQ7264"/>
      <c r="AR7264"/>
      <c r="AS7264"/>
      <c r="AT7264"/>
      <c r="AU7264"/>
      <c r="AV7264"/>
    </row>
    <row r="7265" spans="41:48" x14ac:dyDescent="0.35">
      <c r="AO7265"/>
      <c r="AP7265"/>
      <c r="AQ7265"/>
      <c r="AR7265"/>
      <c r="AS7265"/>
      <c r="AT7265"/>
      <c r="AU7265"/>
      <c r="AV7265"/>
    </row>
    <row r="7266" spans="41:48" x14ac:dyDescent="0.35">
      <c r="AO7266"/>
      <c r="AP7266"/>
      <c r="AQ7266"/>
      <c r="AR7266"/>
      <c r="AS7266"/>
      <c r="AT7266"/>
      <c r="AU7266"/>
      <c r="AV7266"/>
    </row>
    <row r="7267" spans="41:48" x14ac:dyDescent="0.35">
      <c r="AO7267"/>
      <c r="AP7267"/>
      <c r="AQ7267"/>
      <c r="AR7267"/>
      <c r="AS7267"/>
      <c r="AT7267"/>
      <c r="AU7267"/>
      <c r="AV7267"/>
    </row>
    <row r="7268" spans="41:48" x14ac:dyDescent="0.35">
      <c r="AO7268"/>
      <c r="AP7268"/>
      <c r="AQ7268"/>
      <c r="AR7268"/>
      <c r="AS7268"/>
      <c r="AT7268"/>
      <c r="AU7268"/>
      <c r="AV7268"/>
    </row>
    <row r="7269" spans="41:48" x14ac:dyDescent="0.35">
      <c r="AO7269"/>
      <c r="AP7269"/>
      <c r="AQ7269"/>
      <c r="AR7269"/>
      <c r="AS7269"/>
      <c r="AT7269"/>
      <c r="AU7269"/>
      <c r="AV7269"/>
    </row>
    <row r="7270" spans="41:48" x14ac:dyDescent="0.35">
      <c r="AO7270"/>
      <c r="AP7270"/>
      <c r="AQ7270"/>
      <c r="AR7270"/>
      <c r="AS7270"/>
      <c r="AT7270"/>
      <c r="AU7270"/>
      <c r="AV7270"/>
    </row>
    <row r="7271" spans="41:48" x14ac:dyDescent="0.35">
      <c r="AO7271"/>
      <c r="AP7271"/>
      <c r="AQ7271"/>
      <c r="AR7271"/>
      <c r="AS7271"/>
      <c r="AT7271"/>
      <c r="AU7271"/>
      <c r="AV7271"/>
    </row>
    <row r="7272" spans="41:48" x14ac:dyDescent="0.35">
      <c r="AO7272"/>
      <c r="AP7272"/>
      <c r="AQ7272"/>
      <c r="AR7272"/>
      <c r="AS7272"/>
      <c r="AT7272"/>
      <c r="AU7272"/>
      <c r="AV7272"/>
    </row>
    <row r="7273" spans="41:48" x14ac:dyDescent="0.35">
      <c r="AO7273"/>
      <c r="AP7273"/>
      <c r="AQ7273"/>
      <c r="AR7273"/>
      <c r="AS7273"/>
      <c r="AT7273"/>
      <c r="AU7273"/>
      <c r="AV7273"/>
    </row>
    <row r="7274" spans="41:48" x14ac:dyDescent="0.35">
      <c r="AO7274"/>
      <c r="AP7274"/>
      <c r="AQ7274"/>
      <c r="AR7274"/>
      <c r="AS7274"/>
      <c r="AT7274"/>
      <c r="AU7274"/>
      <c r="AV7274"/>
    </row>
    <row r="7275" spans="41:48" x14ac:dyDescent="0.35">
      <c r="AO7275"/>
      <c r="AP7275"/>
      <c r="AQ7275"/>
      <c r="AR7275"/>
      <c r="AS7275"/>
      <c r="AT7275"/>
      <c r="AU7275"/>
      <c r="AV7275"/>
    </row>
    <row r="7276" spans="41:48" x14ac:dyDescent="0.35">
      <c r="AO7276"/>
      <c r="AP7276"/>
      <c r="AQ7276"/>
      <c r="AR7276"/>
      <c r="AS7276"/>
      <c r="AT7276"/>
      <c r="AU7276"/>
      <c r="AV7276"/>
    </row>
    <row r="7277" spans="41:48" x14ac:dyDescent="0.35">
      <c r="AO7277"/>
      <c r="AP7277"/>
      <c r="AQ7277"/>
      <c r="AR7277"/>
      <c r="AS7277"/>
      <c r="AT7277"/>
      <c r="AU7277"/>
      <c r="AV7277"/>
    </row>
    <row r="7278" spans="41:48" x14ac:dyDescent="0.35">
      <c r="AO7278"/>
      <c r="AP7278"/>
      <c r="AQ7278"/>
      <c r="AR7278"/>
      <c r="AS7278"/>
      <c r="AT7278"/>
      <c r="AU7278"/>
      <c r="AV7278"/>
    </row>
    <row r="7279" spans="41:48" x14ac:dyDescent="0.35">
      <c r="AO7279"/>
      <c r="AP7279"/>
      <c r="AQ7279"/>
      <c r="AR7279"/>
      <c r="AS7279"/>
      <c r="AT7279"/>
      <c r="AU7279"/>
      <c r="AV7279"/>
    </row>
    <row r="7280" spans="41:48" x14ac:dyDescent="0.35">
      <c r="AO7280"/>
      <c r="AP7280"/>
      <c r="AQ7280"/>
      <c r="AR7280"/>
      <c r="AS7280"/>
      <c r="AT7280"/>
      <c r="AU7280"/>
      <c r="AV7280"/>
    </row>
    <row r="7281" spans="41:48" x14ac:dyDescent="0.35">
      <c r="AO7281"/>
      <c r="AP7281"/>
      <c r="AQ7281"/>
      <c r="AR7281"/>
      <c r="AS7281"/>
      <c r="AT7281"/>
      <c r="AU7281"/>
      <c r="AV7281"/>
    </row>
    <row r="7282" spans="41:48" x14ac:dyDescent="0.35">
      <c r="AO7282"/>
      <c r="AP7282"/>
      <c r="AQ7282"/>
      <c r="AR7282"/>
      <c r="AS7282"/>
      <c r="AT7282"/>
      <c r="AU7282"/>
      <c r="AV7282"/>
    </row>
    <row r="7283" spans="41:48" x14ac:dyDescent="0.35">
      <c r="AO7283"/>
      <c r="AP7283"/>
      <c r="AQ7283"/>
      <c r="AR7283"/>
      <c r="AS7283"/>
      <c r="AT7283"/>
      <c r="AU7283"/>
      <c r="AV7283"/>
    </row>
    <row r="7284" spans="41:48" x14ac:dyDescent="0.35">
      <c r="AO7284"/>
      <c r="AP7284"/>
      <c r="AQ7284"/>
      <c r="AR7284"/>
      <c r="AS7284"/>
      <c r="AT7284"/>
      <c r="AU7284"/>
      <c r="AV7284"/>
    </row>
    <row r="7285" spans="41:48" x14ac:dyDescent="0.35">
      <c r="AO7285"/>
      <c r="AP7285"/>
      <c r="AQ7285"/>
      <c r="AR7285"/>
      <c r="AS7285"/>
      <c r="AT7285"/>
      <c r="AU7285"/>
      <c r="AV7285"/>
    </row>
    <row r="7286" spans="41:48" x14ac:dyDescent="0.35">
      <c r="AO7286"/>
      <c r="AP7286"/>
      <c r="AQ7286"/>
      <c r="AR7286"/>
      <c r="AS7286"/>
      <c r="AT7286"/>
      <c r="AU7286"/>
      <c r="AV7286"/>
    </row>
    <row r="7287" spans="41:48" x14ac:dyDescent="0.35">
      <c r="AO7287"/>
      <c r="AP7287"/>
      <c r="AQ7287"/>
      <c r="AR7287"/>
      <c r="AS7287"/>
      <c r="AT7287"/>
      <c r="AU7287"/>
      <c r="AV7287"/>
    </row>
    <row r="7288" spans="41:48" x14ac:dyDescent="0.35">
      <c r="AO7288"/>
      <c r="AP7288"/>
      <c r="AQ7288"/>
      <c r="AR7288"/>
      <c r="AS7288"/>
      <c r="AT7288"/>
      <c r="AU7288"/>
      <c r="AV7288"/>
    </row>
    <row r="7289" spans="41:48" x14ac:dyDescent="0.35">
      <c r="AO7289"/>
      <c r="AP7289"/>
      <c r="AQ7289"/>
      <c r="AR7289"/>
      <c r="AS7289"/>
      <c r="AT7289"/>
      <c r="AU7289"/>
      <c r="AV7289"/>
    </row>
    <row r="7290" spans="41:48" x14ac:dyDescent="0.35">
      <c r="AO7290"/>
      <c r="AP7290"/>
      <c r="AQ7290"/>
      <c r="AR7290"/>
      <c r="AS7290"/>
      <c r="AT7290"/>
      <c r="AU7290"/>
      <c r="AV7290"/>
    </row>
    <row r="7291" spans="41:48" x14ac:dyDescent="0.35">
      <c r="AO7291"/>
      <c r="AP7291"/>
      <c r="AQ7291"/>
      <c r="AR7291"/>
      <c r="AS7291"/>
      <c r="AT7291"/>
      <c r="AU7291"/>
      <c r="AV7291"/>
    </row>
    <row r="7292" spans="41:48" x14ac:dyDescent="0.35">
      <c r="AO7292"/>
      <c r="AP7292"/>
      <c r="AQ7292"/>
      <c r="AR7292"/>
      <c r="AS7292"/>
      <c r="AT7292"/>
      <c r="AU7292"/>
      <c r="AV7292"/>
    </row>
    <row r="7293" spans="41:48" x14ac:dyDescent="0.35">
      <c r="AO7293"/>
      <c r="AP7293"/>
      <c r="AQ7293"/>
      <c r="AR7293"/>
      <c r="AS7293"/>
      <c r="AT7293"/>
      <c r="AU7293"/>
      <c r="AV7293"/>
    </row>
    <row r="7294" spans="41:48" x14ac:dyDescent="0.35">
      <c r="AO7294"/>
      <c r="AP7294"/>
      <c r="AQ7294"/>
      <c r="AR7294"/>
      <c r="AS7294"/>
      <c r="AT7294"/>
      <c r="AU7294"/>
      <c r="AV7294"/>
    </row>
    <row r="7295" spans="41:48" x14ac:dyDescent="0.35">
      <c r="AO7295"/>
      <c r="AP7295"/>
      <c r="AQ7295"/>
      <c r="AR7295"/>
      <c r="AS7295"/>
      <c r="AT7295"/>
      <c r="AU7295"/>
      <c r="AV7295"/>
    </row>
    <row r="7296" spans="41:48" x14ac:dyDescent="0.35">
      <c r="AO7296"/>
      <c r="AP7296"/>
      <c r="AQ7296"/>
      <c r="AR7296"/>
      <c r="AS7296"/>
      <c r="AT7296"/>
      <c r="AU7296"/>
      <c r="AV7296"/>
    </row>
    <row r="7297" spans="41:48" x14ac:dyDescent="0.35">
      <c r="AO7297"/>
      <c r="AP7297"/>
      <c r="AQ7297"/>
      <c r="AR7297"/>
      <c r="AS7297"/>
      <c r="AT7297"/>
      <c r="AU7297"/>
      <c r="AV7297"/>
    </row>
    <row r="7298" spans="41:48" x14ac:dyDescent="0.35">
      <c r="AO7298"/>
      <c r="AP7298"/>
      <c r="AQ7298"/>
      <c r="AR7298"/>
      <c r="AS7298"/>
      <c r="AT7298"/>
      <c r="AU7298"/>
      <c r="AV7298"/>
    </row>
    <row r="7299" spans="41:48" x14ac:dyDescent="0.35">
      <c r="AO7299"/>
      <c r="AP7299"/>
      <c r="AQ7299"/>
      <c r="AR7299"/>
      <c r="AS7299"/>
      <c r="AT7299"/>
      <c r="AU7299"/>
      <c r="AV7299"/>
    </row>
    <row r="7300" spans="41:48" x14ac:dyDescent="0.35">
      <c r="AO7300"/>
      <c r="AP7300"/>
      <c r="AQ7300"/>
      <c r="AR7300"/>
      <c r="AS7300"/>
      <c r="AT7300"/>
      <c r="AU7300"/>
      <c r="AV7300"/>
    </row>
    <row r="7301" spans="41:48" x14ac:dyDescent="0.35">
      <c r="AO7301"/>
      <c r="AP7301"/>
      <c r="AQ7301"/>
      <c r="AR7301"/>
      <c r="AS7301"/>
      <c r="AT7301"/>
      <c r="AU7301"/>
      <c r="AV7301"/>
    </row>
    <row r="7302" spans="41:48" x14ac:dyDescent="0.35">
      <c r="AO7302"/>
      <c r="AP7302"/>
      <c r="AQ7302"/>
      <c r="AR7302"/>
      <c r="AS7302"/>
      <c r="AT7302"/>
      <c r="AU7302"/>
      <c r="AV7302"/>
    </row>
    <row r="7303" spans="41:48" x14ac:dyDescent="0.35">
      <c r="AO7303"/>
      <c r="AP7303"/>
      <c r="AQ7303"/>
      <c r="AR7303"/>
      <c r="AS7303"/>
      <c r="AT7303"/>
      <c r="AU7303"/>
      <c r="AV7303"/>
    </row>
    <row r="7304" spans="41:48" x14ac:dyDescent="0.35">
      <c r="AO7304"/>
      <c r="AP7304"/>
      <c r="AQ7304"/>
      <c r="AR7304"/>
      <c r="AS7304"/>
      <c r="AT7304"/>
      <c r="AU7304"/>
      <c r="AV7304"/>
    </row>
    <row r="7305" spans="41:48" x14ac:dyDescent="0.35">
      <c r="AO7305"/>
      <c r="AP7305"/>
      <c r="AQ7305"/>
      <c r="AR7305"/>
      <c r="AS7305"/>
      <c r="AT7305"/>
      <c r="AU7305"/>
      <c r="AV7305"/>
    </row>
    <row r="7306" spans="41:48" x14ac:dyDescent="0.35">
      <c r="AO7306"/>
      <c r="AP7306"/>
      <c r="AQ7306"/>
      <c r="AR7306"/>
      <c r="AS7306"/>
      <c r="AT7306"/>
      <c r="AU7306"/>
      <c r="AV7306"/>
    </row>
    <row r="7307" spans="41:48" x14ac:dyDescent="0.35">
      <c r="AO7307"/>
      <c r="AP7307"/>
      <c r="AQ7307"/>
      <c r="AR7307"/>
      <c r="AS7307"/>
      <c r="AT7307"/>
      <c r="AU7307"/>
      <c r="AV7307"/>
    </row>
    <row r="7308" spans="41:48" x14ac:dyDescent="0.35">
      <c r="AO7308"/>
      <c r="AP7308"/>
      <c r="AQ7308"/>
      <c r="AR7308"/>
      <c r="AS7308"/>
      <c r="AT7308"/>
      <c r="AU7308"/>
      <c r="AV7308"/>
    </row>
    <row r="7309" spans="41:48" x14ac:dyDescent="0.35">
      <c r="AO7309"/>
      <c r="AP7309"/>
      <c r="AQ7309"/>
      <c r="AR7309"/>
      <c r="AS7309"/>
      <c r="AT7309"/>
      <c r="AU7309"/>
      <c r="AV7309"/>
    </row>
    <row r="7310" spans="41:48" x14ac:dyDescent="0.35">
      <c r="AO7310"/>
      <c r="AP7310"/>
      <c r="AQ7310"/>
      <c r="AR7310"/>
      <c r="AS7310"/>
      <c r="AT7310"/>
      <c r="AU7310"/>
      <c r="AV7310"/>
    </row>
    <row r="7311" spans="41:48" x14ac:dyDescent="0.35">
      <c r="AO7311"/>
      <c r="AP7311"/>
      <c r="AQ7311"/>
      <c r="AR7311"/>
      <c r="AS7311"/>
      <c r="AT7311"/>
      <c r="AU7311"/>
      <c r="AV7311"/>
    </row>
    <row r="7312" spans="41:48" x14ac:dyDescent="0.35">
      <c r="AO7312"/>
      <c r="AP7312"/>
      <c r="AQ7312"/>
      <c r="AR7312"/>
      <c r="AS7312"/>
      <c r="AT7312"/>
      <c r="AU7312"/>
      <c r="AV7312"/>
    </row>
    <row r="7313" spans="41:48" x14ac:dyDescent="0.35">
      <c r="AO7313"/>
      <c r="AP7313"/>
      <c r="AQ7313"/>
      <c r="AR7313"/>
      <c r="AS7313"/>
      <c r="AT7313"/>
      <c r="AU7313"/>
      <c r="AV7313"/>
    </row>
    <row r="7314" spans="41:48" x14ac:dyDescent="0.35">
      <c r="AO7314"/>
      <c r="AP7314"/>
      <c r="AQ7314"/>
      <c r="AR7314"/>
      <c r="AS7314"/>
      <c r="AT7314"/>
      <c r="AU7314"/>
      <c r="AV7314"/>
    </row>
    <row r="7315" spans="41:48" x14ac:dyDescent="0.35">
      <c r="AO7315"/>
      <c r="AP7315"/>
      <c r="AQ7315"/>
      <c r="AR7315"/>
      <c r="AS7315"/>
      <c r="AT7315"/>
      <c r="AU7315"/>
      <c r="AV7315"/>
    </row>
    <row r="7316" spans="41:48" x14ac:dyDescent="0.35">
      <c r="AO7316"/>
      <c r="AP7316"/>
      <c r="AQ7316"/>
      <c r="AR7316"/>
      <c r="AS7316"/>
      <c r="AT7316"/>
      <c r="AU7316"/>
      <c r="AV7316"/>
    </row>
    <row r="7317" spans="41:48" x14ac:dyDescent="0.35">
      <c r="AO7317"/>
      <c r="AP7317"/>
      <c r="AQ7317"/>
      <c r="AR7317"/>
      <c r="AS7317"/>
      <c r="AT7317"/>
      <c r="AU7317"/>
      <c r="AV7317"/>
    </row>
    <row r="7318" spans="41:48" x14ac:dyDescent="0.35">
      <c r="AO7318"/>
      <c r="AP7318"/>
      <c r="AQ7318"/>
      <c r="AR7318"/>
      <c r="AS7318"/>
      <c r="AT7318"/>
      <c r="AU7318"/>
      <c r="AV7318"/>
    </row>
    <row r="7319" spans="41:48" x14ac:dyDescent="0.35">
      <c r="AO7319"/>
      <c r="AP7319"/>
      <c r="AQ7319"/>
      <c r="AR7319"/>
      <c r="AS7319"/>
      <c r="AT7319"/>
      <c r="AU7319"/>
      <c r="AV7319"/>
    </row>
    <row r="7320" spans="41:48" x14ac:dyDescent="0.35">
      <c r="AO7320"/>
      <c r="AP7320"/>
      <c r="AQ7320"/>
      <c r="AR7320"/>
      <c r="AS7320"/>
      <c r="AT7320"/>
      <c r="AU7320"/>
      <c r="AV7320"/>
    </row>
    <row r="7321" spans="41:48" x14ac:dyDescent="0.35">
      <c r="AO7321"/>
      <c r="AP7321"/>
      <c r="AQ7321"/>
      <c r="AR7321"/>
      <c r="AS7321"/>
      <c r="AT7321"/>
      <c r="AU7321"/>
      <c r="AV7321"/>
    </row>
    <row r="7322" spans="41:48" x14ac:dyDescent="0.35">
      <c r="AO7322"/>
      <c r="AP7322"/>
      <c r="AQ7322"/>
      <c r="AR7322"/>
      <c r="AS7322"/>
      <c r="AT7322"/>
      <c r="AU7322"/>
      <c r="AV7322"/>
    </row>
    <row r="7323" spans="41:48" x14ac:dyDescent="0.35">
      <c r="AO7323"/>
      <c r="AP7323"/>
      <c r="AQ7323"/>
      <c r="AR7323"/>
      <c r="AS7323"/>
      <c r="AT7323"/>
      <c r="AU7323"/>
      <c r="AV7323"/>
    </row>
    <row r="7324" spans="41:48" x14ac:dyDescent="0.35">
      <c r="AO7324"/>
      <c r="AP7324"/>
      <c r="AQ7324"/>
      <c r="AR7324"/>
      <c r="AS7324"/>
      <c r="AT7324"/>
      <c r="AU7324"/>
      <c r="AV7324"/>
    </row>
    <row r="7325" spans="41:48" x14ac:dyDescent="0.35">
      <c r="AO7325"/>
      <c r="AP7325"/>
      <c r="AQ7325"/>
      <c r="AR7325"/>
      <c r="AS7325"/>
      <c r="AT7325"/>
      <c r="AU7325"/>
      <c r="AV7325"/>
    </row>
    <row r="7326" spans="41:48" x14ac:dyDescent="0.35">
      <c r="AO7326"/>
      <c r="AP7326"/>
      <c r="AQ7326"/>
      <c r="AR7326"/>
      <c r="AS7326"/>
      <c r="AT7326"/>
      <c r="AU7326"/>
      <c r="AV7326"/>
    </row>
    <row r="7327" spans="41:48" x14ac:dyDescent="0.35">
      <c r="AO7327"/>
      <c r="AP7327"/>
      <c r="AQ7327"/>
      <c r="AR7327"/>
      <c r="AS7327"/>
      <c r="AT7327"/>
      <c r="AU7327"/>
      <c r="AV7327"/>
    </row>
    <row r="7328" spans="41:48" x14ac:dyDescent="0.35">
      <c r="AO7328"/>
      <c r="AP7328"/>
      <c r="AQ7328"/>
      <c r="AR7328"/>
      <c r="AS7328"/>
      <c r="AT7328"/>
      <c r="AU7328"/>
      <c r="AV7328"/>
    </row>
    <row r="7329" spans="41:48" x14ac:dyDescent="0.35">
      <c r="AO7329"/>
      <c r="AP7329"/>
      <c r="AQ7329"/>
      <c r="AR7329"/>
      <c r="AS7329"/>
      <c r="AT7329"/>
      <c r="AU7329"/>
      <c r="AV7329"/>
    </row>
    <row r="7330" spans="41:48" x14ac:dyDescent="0.35">
      <c r="AO7330"/>
      <c r="AP7330"/>
      <c r="AQ7330"/>
      <c r="AR7330"/>
      <c r="AS7330"/>
      <c r="AT7330"/>
      <c r="AU7330"/>
      <c r="AV7330"/>
    </row>
    <row r="7331" spans="41:48" x14ac:dyDescent="0.35">
      <c r="AO7331"/>
      <c r="AP7331"/>
      <c r="AQ7331"/>
      <c r="AR7331"/>
      <c r="AS7331"/>
      <c r="AT7331"/>
      <c r="AU7331"/>
      <c r="AV7331"/>
    </row>
    <row r="7332" spans="41:48" x14ac:dyDescent="0.35">
      <c r="AO7332"/>
      <c r="AP7332"/>
      <c r="AQ7332"/>
      <c r="AR7332"/>
      <c r="AS7332"/>
      <c r="AT7332"/>
      <c r="AU7332"/>
      <c r="AV7332"/>
    </row>
    <row r="7333" spans="41:48" x14ac:dyDescent="0.35">
      <c r="AO7333"/>
      <c r="AP7333"/>
      <c r="AQ7333"/>
      <c r="AR7333"/>
      <c r="AS7333"/>
      <c r="AT7333"/>
      <c r="AU7333"/>
      <c r="AV7333"/>
    </row>
    <row r="7334" spans="41:48" x14ac:dyDescent="0.35">
      <c r="AO7334"/>
      <c r="AP7334"/>
      <c r="AQ7334"/>
      <c r="AR7334"/>
      <c r="AS7334"/>
      <c r="AT7334"/>
      <c r="AU7334"/>
      <c r="AV7334"/>
    </row>
    <row r="7335" spans="41:48" x14ac:dyDescent="0.35">
      <c r="AO7335"/>
      <c r="AP7335"/>
      <c r="AQ7335"/>
      <c r="AR7335"/>
      <c r="AS7335"/>
      <c r="AT7335"/>
      <c r="AU7335"/>
      <c r="AV7335"/>
    </row>
    <row r="7336" spans="41:48" x14ac:dyDescent="0.35">
      <c r="AO7336"/>
      <c r="AP7336"/>
      <c r="AQ7336"/>
      <c r="AR7336"/>
      <c r="AS7336"/>
      <c r="AT7336"/>
      <c r="AU7336"/>
      <c r="AV7336"/>
    </row>
    <row r="7337" spans="41:48" x14ac:dyDescent="0.35">
      <c r="AO7337"/>
      <c r="AP7337"/>
      <c r="AQ7337"/>
      <c r="AR7337"/>
      <c r="AS7337"/>
      <c r="AT7337"/>
      <c r="AU7337"/>
      <c r="AV7337"/>
    </row>
    <row r="7338" spans="41:48" x14ac:dyDescent="0.35">
      <c r="AO7338"/>
      <c r="AP7338"/>
      <c r="AQ7338"/>
      <c r="AR7338"/>
      <c r="AS7338"/>
      <c r="AT7338"/>
      <c r="AU7338"/>
      <c r="AV7338"/>
    </row>
    <row r="7339" spans="41:48" x14ac:dyDescent="0.35">
      <c r="AO7339"/>
      <c r="AP7339"/>
      <c r="AQ7339"/>
      <c r="AR7339"/>
      <c r="AS7339"/>
      <c r="AT7339"/>
      <c r="AU7339"/>
      <c r="AV7339"/>
    </row>
    <row r="7340" spans="41:48" x14ac:dyDescent="0.35">
      <c r="AO7340"/>
      <c r="AP7340"/>
      <c r="AQ7340"/>
      <c r="AR7340"/>
      <c r="AS7340"/>
      <c r="AT7340"/>
      <c r="AU7340"/>
      <c r="AV7340"/>
    </row>
    <row r="7341" spans="41:48" x14ac:dyDescent="0.35">
      <c r="AO7341"/>
      <c r="AP7341"/>
      <c r="AQ7341"/>
      <c r="AR7341"/>
      <c r="AS7341"/>
      <c r="AT7341"/>
      <c r="AU7341"/>
      <c r="AV7341"/>
    </row>
    <row r="7342" spans="41:48" x14ac:dyDescent="0.35">
      <c r="AO7342"/>
      <c r="AP7342"/>
      <c r="AQ7342"/>
      <c r="AR7342"/>
      <c r="AS7342"/>
      <c r="AT7342"/>
      <c r="AU7342"/>
      <c r="AV7342"/>
    </row>
    <row r="7343" spans="41:48" x14ac:dyDescent="0.35">
      <c r="AO7343"/>
      <c r="AP7343"/>
      <c r="AQ7343"/>
      <c r="AR7343"/>
      <c r="AS7343"/>
      <c r="AT7343"/>
      <c r="AU7343"/>
      <c r="AV7343"/>
    </row>
    <row r="7344" spans="41:48" x14ac:dyDescent="0.35">
      <c r="AO7344"/>
      <c r="AP7344"/>
      <c r="AQ7344"/>
      <c r="AR7344"/>
      <c r="AS7344"/>
      <c r="AT7344"/>
      <c r="AU7344"/>
      <c r="AV7344"/>
    </row>
    <row r="7345" spans="41:48" x14ac:dyDescent="0.35">
      <c r="AO7345"/>
      <c r="AP7345"/>
      <c r="AQ7345"/>
      <c r="AR7345"/>
      <c r="AS7345"/>
      <c r="AT7345"/>
      <c r="AU7345"/>
      <c r="AV7345"/>
    </row>
    <row r="7346" spans="41:48" x14ac:dyDescent="0.35">
      <c r="AO7346"/>
      <c r="AP7346"/>
      <c r="AQ7346"/>
      <c r="AR7346"/>
      <c r="AS7346"/>
      <c r="AT7346"/>
      <c r="AU7346"/>
      <c r="AV7346"/>
    </row>
    <row r="7347" spans="41:48" x14ac:dyDescent="0.35">
      <c r="AO7347"/>
      <c r="AP7347"/>
      <c r="AQ7347"/>
      <c r="AR7347"/>
      <c r="AS7347"/>
      <c r="AT7347"/>
      <c r="AU7347"/>
      <c r="AV7347"/>
    </row>
    <row r="7348" spans="41:48" x14ac:dyDescent="0.35">
      <c r="AO7348"/>
      <c r="AP7348"/>
      <c r="AQ7348"/>
      <c r="AR7348"/>
      <c r="AS7348"/>
      <c r="AT7348"/>
      <c r="AU7348"/>
      <c r="AV7348"/>
    </row>
    <row r="7349" spans="41:48" x14ac:dyDescent="0.35">
      <c r="AO7349"/>
      <c r="AP7349"/>
      <c r="AQ7349"/>
      <c r="AR7349"/>
      <c r="AS7349"/>
      <c r="AT7349"/>
      <c r="AU7349"/>
      <c r="AV7349"/>
    </row>
    <row r="7350" spans="41:48" x14ac:dyDescent="0.35">
      <c r="AO7350"/>
      <c r="AP7350"/>
      <c r="AQ7350"/>
      <c r="AR7350"/>
      <c r="AS7350"/>
      <c r="AT7350"/>
      <c r="AU7350"/>
      <c r="AV7350"/>
    </row>
    <row r="7351" spans="41:48" x14ac:dyDescent="0.35">
      <c r="AO7351"/>
      <c r="AP7351"/>
      <c r="AQ7351"/>
      <c r="AR7351"/>
      <c r="AS7351"/>
      <c r="AT7351"/>
      <c r="AU7351"/>
      <c r="AV7351"/>
    </row>
    <row r="7352" spans="41:48" x14ac:dyDescent="0.35">
      <c r="AO7352"/>
      <c r="AP7352"/>
      <c r="AQ7352"/>
      <c r="AR7352"/>
      <c r="AS7352"/>
      <c r="AT7352"/>
      <c r="AU7352"/>
      <c r="AV7352"/>
    </row>
    <row r="7353" spans="41:48" x14ac:dyDescent="0.35">
      <c r="AO7353"/>
      <c r="AP7353"/>
      <c r="AQ7353"/>
      <c r="AR7353"/>
      <c r="AS7353"/>
      <c r="AT7353"/>
      <c r="AU7353"/>
      <c r="AV7353"/>
    </row>
    <row r="7354" spans="41:48" x14ac:dyDescent="0.35">
      <c r="AO7354"/>
      <c r="AP7354"/>
      <c r="AQ7354"/>
      <c r="AR7354"/>
      <c r="AS7354"/>
      <c r="AT7354"/>
      <c r="AU7354"/>
      <c r="AV7354"/>
    </row>
    <row r="7355" spans="41:48" x14ac:dyDescent="0.35">
      <c r="AO7355"/>
      <c r="AP7355"/>
      <c r="AQ7355"/>
      <c r="AR7355"/>
      <c r="AS7355"/>
      <c r="AT7355"/>
      <c r="AU7355"/>
      <c r="AV7355"/>
    </row>
    <row r="7356" spans="41:48" x14ac:dyDescent="0.35">
      <c r="AO7356"/>
      <c r="AP7356"/>
      <c r="AQ7356"/>
      <c r="AR7356"/>
      <c r="AS7356"/>
      <c r="AT7356"/>
      <c r="AU7356"/>
      <c r="AV7356"/>
    </row>
    <row r="7357" spans="41:48" x14ac:dyDescent="0.35">
      <c r="AO7357"/>
      <c r="AP7357"/>
      <c r="AQ7357"/>
      <c r="AR7357"/>
      <c r="AS7357"/>
      <c r="AT7357"/>
      <c r="AU7357"/>
      <c r="AV7357"/>
    </row>
    <row r="7358" spans="41:48" x14ac:dyDescent="0.35">
      <c r="AO7358"/>
      <c r="AP7358"/>
      <c r="AQ7358"/>
      <c r="AR7358"/>
      <c r="AS7358"/>
      <c r="AT7358"/>
      <c r="AU7358"/>
      <c r="AV7358"/>
    </row>
    <row r="7359" spans="41:48" x14ac:dyDescent="0.35">
      <c r="AO7359"/>
      <c r="AP7359"/>
      <c r="AQ7359"/>
      <c r="AR7359"/>
      <c r="AS7359"/>
      <c r="AT7359"/>
      <c r="AU7359"/>
      <c r="AV7359"/>
    </row>
    <row r="7360" spans="41:48" x14ac:dyDescent="0.35">
      <c r="AO7360"/>
      <c r="AP7360"/>
      <c r="AQ7360"/>
      <c r="AR7360"/>
      <c r="AS7360"/>
      <c r="AT7360"/>
      <c r="AU7360"/>
      <c r="AV7360"/>
    </row>
    <row r="7361" spans="41:48" x14ac:dyDescent="0.35">
      <c r="AO7361"/>
      <c r="AP7361"/>
      <c r="AQ7361"/>
      <c r="AR7361"/>
      <c r="AS7361"/>
      <c r="AT7361"/>
      <c r="AU7361"/>
      <c r="AV7361"/>
    </row>
    <row r="7362" spans="41:48" x14ac:dyDescent="0.35">
      <c r="AO7362"/>
      <c r="AP7362"/>
      <c r="AQ7362"/>
      <c r="AR7362"/>
      <c r="AS7362"/>
      <c r="AT7362"/>
      <c r="AU7362"/>
      <c r="AV7362"/>
    </row>
    <row r="7363" spans="41:48" x14ac:dyDescent="0.35">
      <c r="AO7363"/>
      <c r="AP7363"/>
      <c r="AQ7363"/>
      <c r="AR7363"/>
      <c r="AS7363"/>
      <c r="AT7363"/>
      <c r="AU7363"/>
      <c r="AV7363"/>
    </row>
    <row r="7364" spans="41:48" x14ac:dyDescent="0.35">
      <c r="AO7364"/>
      <c r="AP7364"/>
      <c r="AQ7364"/>
      <c r="AR7364"/>
      <c r="AS7364"/>
      <c r="AT7364"/>
      <c r="AU7364"/>
      <c r="AV7364"/>
    </row>
    <row r="7365" spans="41:48" x14ac:dyDescent="0.35">
      <c r="AO7365"/>
      <c r="AP7365"/>
      <c r="AQ7365"/>
      <c r="AR7365"/>
      <c r="AS7365"/>
      <c r="AT7365"/>
      <c r="AU7365"/>
      <c r="AV7365"/>
    </row>
    <row r="7366" spans="41:48" x14ac:dyDescent="0.35">
      <c r="AO7366"/>
      <c r="AP7366"/>
      <c r="AQ7366"/>
      <c r="AR7366"/>
      <c r="AS7366"/>
      <c r="AT7366"/>
      <c r="AU7366"/>
      <c r="AV7366"/>
    </row>
    <row r="7367" spans="41:48" x14ac:dyDescent="0.35">
      <c r="AO7367"/>
      <c r="AP7367"/>
      <c r="AQ7367"/>
      <c r="AR7367"/>
      <c r="AS7367"/>
      <c r="AT7367"/>
      <c r="AU7367"/>
      <c r="AV7367"/>
    </row>
    <row r="7368" spans="41:48" x14ac:dyDescent="0.35">
      <c r="AO7368"/>
      <c r="AP7368"/>
      <c r="AQ7368"/>
      <c r="AR7368"/>
      <c r="AS7368"/>
      <c r="AT7368"/>
      <c r="AU7368"/>
      <c r="AV7368"/>
    </row>
    <row r="7369" spans="41:48" x14ac:dyDescent="0.35">
      <c r="AO7369"/>
      <c r="AP7369"/>
      <c r="AQ7369"/>
      <c r="AR7369"/>
      <c r="AS7369"/>
      <c r="AT7369"/>
      <c r="AU7369"/>
      <c r="AV7369"/>
    </row>
    <row r="7370" spans="41:48" x14ac:dyDescent="0.35">
      <c r="AO7370"/>
      <c r="AP7370"/>
      <c r="AQ7370"/>
      <c r="AR7370"/>
      <c r="AS7370"/>
      <c r="AT7370"/>
      <c r="AU7370"/>
      <c r="AV7370"/>
    </row>
    <row r="7371" spans="41:48" x14ac:dyDescent="0.35">
      <c r="AO7371"/>
      <c r="AP7371"/>
      <c r="AQ7371"/>
      <c r="AR7371"/>
      <c r="AS7371"/>
      <c r="AT7371"/>
      <c r="AU7371"/>
      <c r="AV7371"/>
    </row>
    <row r="7372" spans="41:48" x14ac:dyDescent="0.35">
      <c r="AO7372"/>
      <c r="AP7372"/>
      <c r="AQ7372"/>
      <c r="AR7372"/>
      <c r="AS7372"/>
      <c r="AT7372"/>
      <c r="AU7372"/>
      <c r="AV7372"/>
    </row>
    <row r="7373" spans="41:48" x14ac:dyDescent="0.35">
      <c r="AO7373"/>
      <c r="AP7373"/>
      <c r="AQ7373"/>
      <c r="AR7373"/>
      <c r="AS7373"/>
      <c r="AT7373"/>
      <c r="AU7373"/>
      <c r="AV7373"/>
    </row>
    <row r="7374" spans="41:48" x14ac:dyDescent="0.35">
      <c r="AO7374"/>
      <c r="AP7374"/>
      <c r="AQ7374"/>
      <c r="AR7374"/>
      <c r="AS7374"/>
      <c r="AT7374"/>
      <c r="AU7374"/>
      <c r="AV7374"/>
    </row>
    <row r="7375" spans="41:48" x14ac:dyDescent="0.35">
      <c r="AO7375"/>
      <c r="AP7375"/>
      <c r="AQ7375"/>
      <c r="AR7375"/>
      <c r="AS7375"/>
      <c r="AT7375"/>
      <c r="AU7375"/>
      <c r="AV7375"/>
    </row>
    <row r="7376" spans="41:48" x14ac:dyDescent="0.35">
      <c r="AO7376"/>
      <c r="AP7376"/>
      <c r="AQ7376"/>
      <c r="AR7376"/>
      <c r="AS7376"/>
      <c r="AT7376"/>
      <c r="AU7376"/>
      <c r="AV7376"/>
    </row>
    <row r="7377" spans="41:48" x14ac:dyDescent="0.35">
      <c r="AO7377"/>
      <c r="AP7377"/>
      <c r="AQ7377"/>
      <c r="AR7377"/>
      <c r="AS7377"/>
      <c r="AT7377"/>
      <c r="AU7377"/>
      <c r="AV7377"/>
    </row>
    <row r="7378" spans="41:48" x14ac:dyDescent="0.35">
      <c r="AO7378"/>
      <c r="AP7378"/>
      <c r="AQ7378"/>
      <c r="AR7378"/>
      <c r="AS7378"/>
      <c r="AT7378"/>
      <c r="AU7378"/>
      <c r="AV7378"/>
    </row>
    <row r="7379" spans="41:48" x14ac:dyDescent="0.35">
      <c r="AO7379"/>
      <c r="AP7379"/>
      <c r="AQ7379"/>
      <c r="AR7379"/>
      <c r="AS7379"/>
      <c r="AT7379"/>
      <c r="AU7379"/>
      <c r="AV7379"/>
    </row>
    <row r="7380" spans="41:48" x14ac:dyDescent="0.35">
      <c r="AO7380"/>
      <c r="AP7380"/>
      <c r="AQ7380"/>
      <c r="AR7380"/>
      <c r="AS7380"/>
      <c r="AT7380"/>
      <c r="AU7380"/>
      <c r="AV7380"/>
    </row>
    <row r="7381" spans="41:48" x14ac:dyDescent="0.35">
      <c r="AO7381"/>
      <c r="AP7381"/>
      <c r="AQ7381"/>
      <c r="AR7381"/>
      <c r="AS7381"/>
      <c r="AT7381"/>
      <c r="AU7381"/>
      <c r="AV7381"/>
    </row>
    <row r="7382" spans="41:48" x14ac:dyDescent="0.35">
      <c r="AO7382"/>
      <c r="AP7382"/>
      <c r="AQ7382"/>
      <c r="AR7382"/>
      <c r="AS7382"/>
      <c r="AT7382"/>
      <c r="AU7382"/>
      <c r="AV7382"/>
    </row>
    <row r="7383" spans="41:48" x14ac:dyDescent="0.35">
      <c r="AO7383"/>
      <c r="AP7383"/>
      <c r="AQ7383"/>
      <c r="AR7383"/>
      <c r="AS7383"/>
      <c r="AT7383"/>
      <c r="AU7383"/>
      <c r="AV7383"/>
    </row>
    <row r="7384" spans="41:48" x14ac:dyDescent="0.35">
      <c r="AO7384"/>
      <c r="AP7384"/>
      <c r="AQ7384"/>
      <c r="AR7384"/>
      <c r="AS7384"/>
      <c r="AT7384"/>
      <c r="AU7384"/>
      <c r="AV7384"/>
    </row>
    <row r="7385" spans="41:48" x14ac:dyDescent="0.35">
      <c r="AO7385"/>
      <c r="AP7385"/>
      <c r="AQ7385"/>
      <c r="AR7385"/>
      <c r="AS7385"/>
      <c r="AT7385"/>
      <c r="AU7385"/>
      <c r="AV7385"/>
    </row>
    <row r="7386" spans="41:48" x14ac:dyDescent="0.35">
      <c r="AO7386"/>
      <c r="AP7386"/>
      <c r="AQ7386"/>
      <c r="AR7386"/>
      <c r="AS7386"/>
      <c r="AT7386"/>
      <c r="AU7386"/>
      <c r="AV7386"/>
    </row>
    <row r="7387" spans="41:48" x14ac:dyDescent="0.35">
      <c r="AO7387"/>
      <c r="AP7387"/>
      <c r="AQ7387"/>
      <c r="AR7387"/>
      <c r="AS7387"/>
      <c r="AT7387"/>
      <c r="AU7387"/>
      <c r="AV7387"/>
    </row>
    <row r="7388" spans="41:48" x14ac:dyDescent="0.35">
      <c r="AO7388"/>
      <c r="AP7388"/>
      <c r="AQ7388"/>
      <c r="AR7388"/>
      <c r="AS7388"/>
      <c r="AT7388"/>
      <c r="AU7388"/>
      <c r="AV7388"/>
    </row>
    <row r="7389" spans="41:48" x14ac:dyDescent="0.35">
      <c r="AO7389"/>
      <c r="AP7389"/>
      <c r="AQ7389"/>
      <c r="AR7389"/>
      <c r="AS7389"/>
      <c r="AT7389"/>
      <c r="AU7389"/>
      <c r="AV7389"/>
    </row>
    <row r="7390" spans="41:48" x14ac:dyDescent="0.35">
      <c r="AO7390"/>
      <c r="AP7390"/>
      <c r="AQ7390"/>
      <c r="AR7390"/>
      <c r="AS7390"/>
      <c r="AT7390"/>
      <c r="AU7390"/>
      <c r="AV7390"/>
    </row>
    <row r="7391" spans="41:48" x14ac:dyDescent="0.35">
      <c r="AO7391"/>
      <c r="AP7391"/>
      <c r="AQ7391"/>
      <c r="AR7391"/>
      <c r="AS7391"/>
      <c r="AT7391"/>
      <c r="AU7391"/>
      <c r="AV7391"/>
    </row>
    <row r="7392" spans="41:48" x14ac:dyDescent="0.35">
      <c r="AO7392"/>
      <c r="AP7392"/>
      <c r="AQ7392"/>
      <c r="AR7392"/>
      <c r="AS7392"/>
      <c r="AT7392"/>
      <c r="AU7392"/>
      <c r="AV7392"/>
    </row>
    <row r="7393" spans="41:48" x14ac:dyDescent="0.35">
      <c r="AO7393"/>
      <c r="AP7393"/>
      <c r="AQ7393"/>
      <c r="AR7393"/>
      <c r="AS7393"/>
      <c r="AT7393"/>
      <c r="AU7393"/>
      <c r="AV7393"/>
    </row>
    <row r="7394" spans="41:48" x14ac:dyDescent="0.35">
      <c r="AO7394"/>
      <c r="AP7394"/>
      <c r="AQ7394"/>
      <c r="AR7394"/>
      <c r="AS7394"/>
      <c r="AT7394"/>
      <c r="AU7394"/>
      <c r="AV7394"/>
    </row>
    <row r="7395" spans="41:48" x14ac:dyDescent="0.35">
      <c r="AO7395"/>
      <c r="AP7395"/>
      <c r="AQ7395"/>
      <c r="AR7395"/>
      <c r="AS7395"/>
      <c r="AT7395"/>
      <c r="AU7395"/>
      <c r="AV7395"/>
    </row>
    <row r="7396" spans="41:48" x14ac:dyDescent="0.35">
      <c r="AO7396"/>
      <c r="AP7396"/>
      <c r="AQ7396"/>
      <c r="AR7396"/>
      <c r="AS7396"/>
      <c r="AT7396"/>
      <c r="AU7396"/>
      <c r="AV7396"/>
    </row>
    <row r="7397" spans="41:48" x14ac:dyDescent="0.35">
      <c r="AO7397"/>
      <c r="AP7397"/>
      <c r="AQ7397"/>
      <c r="AR7397"/>
      <c r="AS7397"/>
      <c r="AT7397"/>
      <c r="AU7397"/>
      <c r="AV7397"/>
    </row>
    <row r="7398" spans="41:48" x14ac:dyDescent="0.35">
      <c r="AO7398"/>
      <c r="AP7398"/>
      <c r="AQ7398"/>
      <c r="AR7398"/>
      <c r="AS7398"/>
      <c r="AT7398"/>
      <c r="AU7398"/>
      <c r="AV7398"/>
    </row>
    <row r="7399" spans="41:48" x14ac:dyDescent="0.35">
      <c r="AO7399"/>
      <c r="AP7399"/>
      <c r="AQ7399"/>
      <c r="AR7399"/>
      <c r="AS7399"/>
      <c r="AT7399"/>
      <c r="AU7399"/>
      <c r="AV7399"/>
    </row>
    <row r="7400" spans="41:48" x14ac:dyDescent="0.35">
      <c r="AO7400"/>
      <c r="AP7400"/>
      <c r="AQ7400"/>
      <c r="AR7400"/>
      <c r="AS7400"/>
      <c r="AT7400"/>
      <c r="AU7400"/>
      <c r="AV7400"/>
    </row>
    <row r="7401" spans="41:48" x14ac:dyDescent="0.35">
      <c r="AO7401"/>
      <c r="AP7401"/>
      <c r="AQ7401"/>
      <c r="AR7401"/>
      <c r="AS7401"/>
      <c r="AT7401"/>
      <c r="AU7401"/>
      <c r="AV7401"/>
    </row>
    <row r="7402" spans="41:48" x14ac:dyDescent="0.35">
      <c r="AO7402"/>
      <c r="AP7402"/>
      <c r="AQ7402"/>
      <c r="AR7402"/>
      <c r="AS7402"/>
      <c r="AT7402"/>
      <c r="AU7402"/>
      <c r="AV7402"/>
    </row>
    <row r="7403" spans="41:48" x14ac:dyDescent="0.35">
      <c r="AO7403"/>
      <c r="AP7403"/>
      <c r="AQ7403"/>
      <c r="AR7403"/>
      <c r="AS7403"/>
      <c r="AT7403"/>
      <c r="AU7403"/>
      <c r="AV7403"/>
    </row>
    <row r="7404" spans="41:48" x14ac:dyDescent="0.35">
      <c r="AO7404"/>
      <c r="AP7404"/>
      <c r="AQ7404"/>
      <c r="AR7404"/>
      <c r="AS7404"/>
      <c r="AT7404"/>
      <c r="AU7404"/>
      <c r="AV7404"/>
    </row>
    <row r="7405" spans="41:48" x14ac:dyDescent="0.35">
      <c r="AO7405"/>
      <c r="AP7405"/>
      <c r="AQ7405"/>
      <c r="AR7405"/>
      <c r="AS7405"/>
      <c r="AT7405"/>
      <c r="AU7405"/>
      <c r="AV7405"/>
    </row>
    <row r="7406" spans="41:48" x14ac:dyDescent="0.35">
      <c r="AO7406"/>
      <c r="AP7406"/>
      <c r="AQ7406"/>
      <c r="AR7406"/>
      <c r="AS7406"/>
      <c r="AT7406"/>
      <c r="AU7406"/>
      <c r="AV7406"/>
    </row>
    <row r="7407" spans="41:48" x14ac:dyDescent="0.35">
      <c r="AO7407"/>
      <c r="AP7407"/>
      <c r="AQ7407"/>
      <c r="AR7407"/>
      <c r="AS7407"/>
      <c r="AT7407"/>
      <c r="AU7407"/>
      <c r="AV7407"/>
    </row>
    <row r="7408" spans="41:48" x14ac:dyDescent="0.35">
      <c r="AO7408"/>
      <c r="AP7408"/>
      <c r="AQ7408"/>
      <c r="AR7408"/>
      <c r="AS7408"/>
      <c r="AT7408"/>
      <c r="AU7408"/>
      <c r="AV7408"/>
    </row>
    <row r="7409" spans="41:48" x14ac:dyDescent="0.35">
      <c r="AO7409"/>
      <c r="AP7409"/>
      <c r="AQ7409"/>
      <c r="AR7409"/>
      <c r="AS7409"/>
      <c r="AT7409"/>
      <c r="AU7409"/>
      <c r="AV7409"/>
    </row>
    <row r="7410" spans="41:48" x14ac:dyDescent="0.35">
      <c r="AO7410"/>
      <c r="AP7410"/>
      <c r="AQ7410"/>
      <c r="AR7410"/>
      <c r="AS7410"/>
      <c r="AT7410"/>
      <c r="AU7410"/>
      <c r="AV7410"/>
    </row>
    <row r="7411" spans="41:48" x14ac:dyDescent="0.35">
      <c r="AO7411"/>
      <c r="AP7411"/>
      <c r="AQ7411"/>
      <c r="AR7411"/>
      <c r="AS7411"/>
      <c r="AT7411"/>
      <c r="AU7411"/>
      <c r="AV7411"/>
    </row>
    <row r="7412" spans="41:48" x14ac:dyDescent="0.35">
      <c r="AO7412"/>
      <c r="AP7412"/>
      <c r="AQ7412"/>
      <c r="AR7412"/>
      <c r="AS7412"/>
      <c r="AT7412"/>
      <c r="AU7412"/>
      <c r="AV7412"/>
    </row>
    <row r="7413" spans="41:48" x14ac:dyDescent="0.35">
      <c r="AO7413"/>
      <c r="AP7413"/>
      <c r="AQ7413"/>
      <c r="AR7413"/>
      <c r="AS7413"/>
      <c r="AT7413"/>
      <c r="AU7413"/>
      <c r="AV7413"/>
    </row>
    <row r="7414" spans="41:48" x14ac:dyDescent="0.35">
      <c r="AO7414"/>
      <c r="AP7414"/>
      <c r="AQ7414"/>
      <c r="AR7414"/>
      <c r="AS7414"/>
      <c r="AT7414"/>
      <c r="AU7414"/>
      <c r="AV7414"/>
    </row>
    <row r="7415" spans="41:48" x14ac:dyDescent="0.35">
      <c r="AO7415"/>
      <c r="AP7415"/>
      <c r="AQ7415"/>
      <c r="AR7415"/>
      <c r="AS7415"/>
      <c r="AT7415"/>
      <c r="AU7415"/>
      <c r="AV7415"/>
    </row>
    <row r="7416" spans="41:48" x14ac:dyDescent="0.35">
      <c r="AO7416"/>
      <c r="AP7416"/>
      <c r="AQ7416"/>
      <c r="AR7416"/>
      <c r="AS7416"/>
      <c r="AT7416"/>
      <c r="AU7416"/>
      <c r="AV7416"/>
    </row>
    <row r="7417" spans="41:48" x14ac:dyDescent="0.35">
      <c r="AO7417"/>
      <c r="AP7417"/>
      <c r="AQ7417"/>
      <c r="AR7417"/>
      <c r="AS7417"/>
      <c r="AT7417"/>
      <c r="AU7417"/>
      <c r="AV7417"/>
    </row>
    <row r="7418" spans="41:48" x14ac:dyDescent="0.35">
      <c r="AO7418"/>
      <c r="AP7418"/>
      <c r="AQ7418"/>
      <c r="AR7418"/>
      <c r="AS7418"/>
      <c r="AT7418"/>
      <c r="AU7418"/>
      <c r="AV7418"/>
    </row>
    <row r="7419" spans="41:48" x14ac:dyDescent="0.35">
      <c r="AO7419"/>
      <c r="AP7419"/>
      <c r="AQ7419"/>
      <c r="AR7419"/>
      <c r="AS7419"/>
      <c r="AT7419"/>
      <c r="AU7419"/>
      <c r="AV7419"/>
    </row>
    <row r="7420" spans="41:48" x14ac:dyDescent="0.35">
      <c r="AO7420"/>
      <c r="AP7420"/>
      <c r="AQ7420"/>
      <c r="AR7420"/>
      <c r="AS7420"/>
      <c r="AT7420"/>
      <c r="AU7420"/>
      <c r="AV7420"/>
    </row>
    <row r="7421" spans="41:48" x14ac:dyDescent="0.35">
      <c r="AO7421"/>
      <c r="AP7421"/>
      <c r="AQ7421"/>
      <c r="AR7421"/>
      <c r="AS7421"/>
      <c r="AT7421"/>
      <c r="AU7421"/>
      <c r="AV7421"/>
    </row>
    <row r="7422" spans="41:48" x14ac:dyDescent="0.35">
      <c r="AO7422"/>
      <c r="AP7422"/>
      <c r="AQ7422"/>
      <c r="AR7422"/>
      <c r="AS7422"/>
      <c r="AT7422"/>
      <c r="AU7422"/>
      <c r="AV7422"/>
    </row>
    <row r="7423" spans="41:48" x14ac:dyDescent="0.35">
      <c r="AO7423"/>
      <c r="AP7423"/>
      <c r="AQ7423"/>
      <c r="AR7423"/>
      <c r="AS7423"/>
      <c r="AT7423"/>
      <c r="AU7423"/>
      <c r="AV7423"/>
    </row>
    <row r="7424" spans="41:48" x14ac:dyDescent="0.35">
      <c r="AO7424"/>
      <c r="AP7424"/>
      <c r="AQ7424"/>
      <c r="AR7424"/>
      <c r="AS7424"/>
      <c r="AT7424"/>
      <c r="AU7424"/>
      <c r="AV7424"/>
    </row>
    <row r="7425" spans="41:48" x14ac:dyDescent="0.35">
      <c r="AO7425"/>
      <c r="AP7425"/>
      <c r="AQ7425"/>
      <c r="AR7425"/>
      <c r="AS7425"/>
      <c r="AT7425"/>
      <c r="AU7425"/>
      <c r="AV7425"/>
    </row>
    <row r="7426" spans="41:48" x14ac:dyDescent="0.35">
      <c r="AO7426"/>
      <c r="AP7426"/>
      <c r="AQ7426"/>
      <c r="AR7426"/>
      <c r="AS7426"/>
      <c r="AT7426"/>
      <c r="AU7426"/>
      <c r="AV7426"/>
    </row>
    <row r="7427" spans="41:48" x14ac:dyDescent="0.35">
      <c r="AO7427"/>
      <c r="AP7427"/>
      <c r="AQ7427"/>
      <c r="AR7427"/>
      <c r="AS7427"/>
      <c r="AT7427"/>
      <c r="AU7427"/>
      <c r="AV7427"/>
    </row>
    <row r="7428" spans="41:48" x14ac:dyDescent="0.35">
      <c r="AO7428"/>
      <c r="AP7428"/>
      <c r="AQ7428"/>
      <c r="AR7428"/>
      <c r="AS7428"/>
      <c r="AT7428"/>
      <c r="AU7428"/>
      <c r="AV7428"/>
    </row>
    <row r="7429" spans="41:48" x14ac:dyDescent="0.35">
      <c r="AO7429"/>
      <c r="AP7429"/>
      <c r="AQ7429"/>
      <c r="AR7429"/>
      <c r="AS7429"/>
      <c r="AT7429"/>
      <c r="AU7429"/>
      <c r="AV7429"/>
    </row>
    <row r="7430" spans="41:48" x14ac:dyDescent="0.35">
      <c r="AO7430"/>
      <c r="AP7430"/>
      <c r="AQ7430"/>
      <c r="AR7430"/>
      <c r="AS7430"/>
      <c r="AT7430"/>
      <c r="AU7430"/>
      <c r="AV7430"/>
    </row>
    <row r="7431" spans="41:48" x14ac:dyDescent="0.35">
      <c r="AO7431"/>
      <c r="AP7431"/>
      <c r="AQ7431"/>
      <c r="AR7431"/>
      <c r="AS7431"/>
      <c r="AT7431"/>
      <c r="AU7431"/>
      <c r="AV7431"/>
    </row>
    <row r="7432" spans="41:48" x14ac:dyDescent="0.35">
      <c r="AO7432"/>
      <c r="AP7432"/>
      <c r="AQ7432"/>
      <c r="AR7432"/>
      <c r="AS7432"/>
      <c r="AT7432"/>
      <c r="AU7432"/>
      <c r="AV7432"/>
    </row>
    <row r="7433" spans="41:48" x14ac:dyDescent="0.35">
      <c r="AO7433"/>
      <c r="AP7433"/>
      <c r="AQ7433"/>
      <c r="AR7433"/>
      <c r="AS7433"/>
      <c r="AT7433"/>
      <c r="AU7433"/>
      <c r="AV7433"/>
    </row>
    <row r="7434" spans="41:48" x14ac:dyDescent="0.35">
      <c r="AO7434"/>
      <c r="AP7434"/>
      <c r="AQ7434"/>
      <c r="AR7434"/>
      <c r="AS7434"/>
      <c r="AT7434"/>
      <c r="AU7434"/>
      <c r="AV7434"/>
    </row>
    <row r="7435" spans="41:48" x14ac:dyDescent="0.35">
      <c r="AO7435"/>
      <c r="AP7435"/>
      <c r="AQ7435"/>
      <c r="AR7435"/>
      <c r="AS7435"/>
      <c r="AT7435"/>
      <c r="AU7435"/>
      <c r="AV7435"/>
    </row>
    <row r="7436" spans="41:48" x14ac:dyDescent="0.35">
      <c r="AO7436"/>
      <c r="AP7436"/>
      <c r="AQ7436"/>
      <c r="AR7436"/>
      <c r="AS7436"/>
      <c r="AT7436"/>
      <c r="AU7436"/>
      <c r="AV7436"/>
    </row>
    <row r="7437" spans="41:48" x14ac:dyDescent="0.35">
      <c r="AO7437"/>
      <c r="AP7437"/>
      <c r="AQ7437"/>
      <c r="AR7437"/>
      <c r="AS7437"/>
      <c r="AT7437"/>
      <c r="AU7437"/>
      <c r="AV7437"/>
    </row>
    <row r="7438" spans="41:48" x14ac:dyDescent="0.35">
      <c r="AO7438"/>
      <c r="AP7438"/>
      <c r="AQ7438"/>
      <c r="AR7438"/>
      <c r="AS7438"/>
      <c r="AT7438"/>
      <c r="AU7438"/>
      <c r="AV7438"/>
    </row>
    <row r="7439" spans="41:48" x14ac:dyDescent="0.35">
      <c r="AO7439"/>
      <c r="AP7439"/>
      <c r="AQ7439"/>
      <c r="AR7439"/>
      <c r="AS7439"/>
      <c r="AT7439"/>
      <c r="AU7439"/>
      <c r="AV7439"/>
    </row>
    <row r="7440" spans="41:48" x14ac:dyDescent="0.35">
      <c r="AO7440"/>
      <c r="AP7440"/>
      <c r="AQ7440"/>
      <c r="AR7440"/>
      <c r="AS7440"/>
      <c r="AT7440"/>
      <c r="AU7440"/>
      <c r="AV7440"/>
    </row>
    <row r="7441" spans="41:48" x14ac:dyDescent="0.35">
      <c r="AO7441"/>
      <c r="AP7441"/>
      <c r="AQ7441"/>
      <c r="AR7441"/>
      <c r="AS7441"/>
      <c r="AT7441"/>
      <c r="AU7441"/>
      <c r="AV7441"/>
    </row>
    <row r="7442" spans="41:48" x14ac:dyDescent="0.35">
      <c r="AO7442"/>
      <c r="AP7442"/>
      <c r="AQ7442"/>
      <c r="AR7442"/>
      <c r="AS7442"/>
      <c r="AT7442"/>
      <c r="AU7442"/>
      <c r="AV7442"/>
    </row>
    <row r="7443" spans="41:48" x14ac:dyDescent="0.35">
      <c r="AO7443"/>
      <c r="AP7443"/>
      <c r="AQ7443"/>
      <c r="AR7443"/>
      <c r="AS7443"/>
      <c r="AT7443"/>
      <c r="AU7443"/>
      <c r="AV7443"/>
    </row>
    <row r="7444" spans="41:48" x14ac:dyDescent="0.35">
      <c r="AO7444"/>
      <c r="AP7444"/>
      <c r="AQ7444"/>
      <c r="AR7444"/>
      <c r="AS7444"/>
      <c r="AT7444"/>
      <c r="AU7444"/>
      <c r="AV7444"/>
    </row>
    <row r="7445" spans="41:48" x14ac:dyDescent="0.35">
      <c r="AO7445"/>
      <c r="AP7445"/>
      <c r="AQ7445"/>
      <c r="AR7445"/>
      <c r="AS7445"/>
      <c r="AT7445"/>
      <c r="AU7445"/>
      <c r="AV7445"/>
    </row>
    <row r="7446" spans="41:48" x14ac:dyDescent="0.35">
      <c r="AO7446"/>
      <c r="AP7446"/>
      <c r="AQ7446"/>
      <c r="AR7446"/>
      <c r="AS7446"/>
      <c r="AT7446"/>
      <c r="AU7446"/>
      <c r="AV7446"/>
    </row>
    <row r="7447" spans="41:48" x14ac:dyDescent="0.35">
      <c r="AO7447"/>
      <c r="AP7447"/>
      <c r="AQ7447"/>
      <c r="AR7447"/>
      <c r="AS7447"/>
      <c r="AT7447"/>
      <c r="AU7447"/>
      <c r="AV7447"/>
    </row>
    <row r="7448" spans="41:48" x14ac:dyDescent="0.35">
      <c r="AO7448"/>
      <c r="AP7448"/>
      <c r="AQ7448"/>
      <c r="AR7448"/>
      <c r="AS7448"/>
      <c r="AT7448"/>
      <c r="AU7448"/>
      <c r="AV7448"/>
    </row>
    <row r="7449" spans="41:48" x14ac:dyDescent="0.35">
      <c r="AO7449"/>
      <c r="AP7449"/>
      <c r="AQ7449"/>
      <c r="AR7449"/>
      <c r="AS7449"/>
      <c r="AT7449"/>
      <c r="AU7449"/>
      <c r="AV7449"/>
    </row>
    <row r="7450" spans="41:48" x14ac:dyDescent="0.35">
      <c r="AO7450"/>
      <c r="AP7450"/>
      <c r="AQ7450"/>
      <c r="AR7450"/>
      <c r="AS7450"/>
      <c r="AT7450"/>
      <c r="AU7450"/>
      <c r="AV7450"/>
    </row>
    <row r="7451" spans="41:48" x14ac:dyDescent="0.35">
      <c r="AO7451"/>
      <c r="AP7451"/>
      <c r="AQ7451"/>
      <c r="AR7451"/>
      <c r="AS7451"/>
      <c r="AT7451"/>
      <c r="AU7451"/>
      <c r="AV7451"/>
    </row>
    <row r="7452" spans="41:48" x14ac:dyDescent="0.35">
      <c r="AO7452"/>
      <c r="AP7452"/>
      <c r="AQ7452"/>
      <c r="AR7452"/>
      <c r="AS7452"/>
      <c r="AT7452"/>
      <c r="AU7452"/>
      <c r="AV7452"/>
    </row>
    <row r="7453" spans="41:48" x14ac:dyDescent="0.35">
      <c r="AO7453"/>
      <c r="AP7453"/>
      <c r="AQ7453"/>
      <c r="AR7453"/>
      <c r="AS7453"/>
      <c r="AT7453"/>
      <c r="AU7453"/>
      <c r="AV7453"/>
    </row>
    <row r="7454" spans="41:48" x14ac:dyDescent="0.35">
      <c r="AO7454"/>
      <c r="AP7454"/>
      <c r="AQ7454"/>
      <c r="AR7454"/>
      <c r="AS7454"/>
      <c r="AT7454"/>
      <c r="AU7454"/>
      <c r="AV7454"/>
    </row>
    <row r="7455" spans="41:48" x14ac:dyDescent="0.35">
      <c r="AO7455"/>
      <c r="AP7455"/>
      <c r="AQ7455"/>
      <c r="AR7455"/>
      <c r="AS7455"/>
      <c r="AT7455"/>
      <c r="AU7455"/>
      <c r="AV7455"/>
    </row>
    <row r="7456" spans="41:48" x14ac:dyDescent="0.35">
      <c r="AO7456"/>
      <c r="AP7456"/>
      <c r="AQ7456"/>
      <c r="AR7456"/>
      <c r="AS7456"/>
      <c r="AT7456"/>
      <c r="AU7456"/>
      <c r="AV7456"/>
    </row>
    <row r="7457" spans="41:48" x14ac:dyDescent="0.35">
      <c r="AO7457"/>
      <c r="AP7457"/>
      <c r="AQ7457"/>
      <c r="AR7457"/>
      <c r="AS7457"/>
      <c r="AT7457"/>
      <c r="AU7457"/>
      <c r="AV7457"/>
    </row>
    <row r="7458" spans="41:48" x14ac:dyDescent="0.35">
      <c r="AO7458"/>
      <c r="AP7458"/>
      <c r="AQ7458"/>
      <c r="AR7458"/>
      <c r="AS7458"/>
      <c r="AT7458"/>
      <c r="AU7458"/>
      <c r="AV7458"/>
    </row>
    <row r="7459" spans="41:48" x14ac:dyDescent="0.35">
      <c r="AO7459"/>
      <c r="AP7459"/>
      <c r="AQ7459"/>
      <c r="AR7459"/>
      <c r="AS7459"/>
      <c r="AT7459"/>
      <c r="AU7459"/>
      <c r="AV7459"/>
    </row>
    <row r="7460" spans="41:48" x14ac:dyDescent="0.35">
      <c r="AO7460"/>
      <c r="AP7460"/>
      <c r="AQ7460"/>
      <c r="AR7460"/>
      <c r="AS7460"/>
      <c r="AT7460"/>
      <c r="AU7460"/>
      <c r="AV7460"/>
    </row>
    <row r="7461" spans="41:48" x14ac:dyDescent="0.35">
      <c r="AO7461"/>
      <c r="AP7461"/>
      <c r="AQ7461"/>
      <c r="AR7461"/>
      <c r="AS7461"/>
      <c r="AT7461"/>
      <c r="AU7461"/>
      <c r="AV7461"/>
    </row>
    <row r="7462" spans="41:48" x14ac:dyDescent="0.35">
      <c r="AO7462"/>
      <c r="AP7462"/>
      <c r="AQ7462"/>
      <c r="AR7462"/>
      <c r="AS7462"/>
      <c r="AT7462"/>
      <c r="AU7462"/>
      <c r="AV7462"/>
    </row>
    <row r="7463" spans="41:48" x14ac:dyDescent="0.35">
      <c r="AO7463"/>
      <c r="AP7463"/>
      <c r="AQ7463"/>
      <c r="AR7463"/>
      <c r="AS7463"/>
      <c r="AT7463"/>
      <c r="AU7463"/>
      <c r="AV7463"/>
    </row>
    <row r="7464" spans="41:48" x14ac:dyDescent="0.35">
      <c r="AO7464"/>
      <c r="AP7464"/>
      <c r="AQ7464"/>
      <c r="AR7464"/>
      <c r="AS7464"/>
      <c r="AT7464"/>
      <c r="AU7464"/>
      <c r="AV7464"/>
    </row>
    <row r="7465" spans="41:48" x14ac:dyDescent="0.35">
      <c r="AO7465"/>
      <c r="AP7465"/>
      <c r="AQ7465"/>
      <c r="AR7465"/>
      <c r="AS7465"/>
      <c r="AT7465"/>
      <c r="AU7465"/>
      <c r="AV7465"/>
    </row>
    <row r="7466" spans="41:48" x14ac:dyDescent="0.35">
      <c r="AO7466"/>
      <c r="AP7466"/>
      <c r="AQ7466"/>
      <c r="AR7466"/>
      <c r="AS7466"/>
      <c r="AT7466"/>
      <c r="AU7466"/>
      <c r="AV7466"/>
    </row>
    <row r="7467" spans="41:48" x14ac:dyDescent="0.35">
      <c r="AO7467"/>
      <c r="AP7467"/>
      <c r="AQ7467"/>
      <c r="AR7467"/>
      <c r="AS7467"/>
      <c r="AT7467"/>
      <c r="AU7467"/>
      <c r="AV7467"/>
    </row>
    <row r="7468" spans="41:48" x14ac:dyDescent="0.35">
      <c r="AO7468"/>
      <c r="AP7468"/>
      <c r="AQ7468"/>
      <c r="AR7468"/>
      <c r="AS7468"/>
      <c r="AT7468"/>
      <c r="AU7468"/>
      <c r="AV7468"/>
    </row>
    <row r="7469" spans="41:48" x14ac:dyDescent="0.35">
      <c r="AO7469"/>
      <c r="AP7469"/>
      <c r="AQ7469"/>
      <c r="AR7469"/>
      <c r="AS7469"/>
      <c r="AT7469"/>
      <c r="AU7469"/>
      <c r="AV7469"/>
    </row>
    <row r="7470" spans="41:48" x14ac:dyDescent="0.35">
      <c r="AO7470"/>
      <c r="AP7470"/>
      <c r="AQ7470"/>
      <c r="AR7470"/>
      <c r="AS7470"/>
      <c r="AT7470"/>
      <c r="AU7470"/>
      <c r="AV7470"/>
    </row>
    <row r="7471" spans="41:48" x14ac:dyDescent="0.35">
      <c r="AO7471"/>
      <c r="AP7471"/>
      <c r="AQ7471"/>
      <c r="AR7471"/>
      <c r="AS7471"/>
      <c r="AT7471"/>
      <c r="AU7471"/>
      <c r="AV7471"/>
    </row>
    <row r="7472" spans="41:48" x14ac:dyDescent="0.35">
      <c r="AO7472"/>
      <c r="AP7472"/>
      <c r="AQ7472"/>
      <c r="AR7472"/>
      <c r="AS7472"/>
      <c r="AT7472"/>
      <c r="AU7472"/>
      <c r="AV7472"/>
    </row>
    <row r="7473" spans="41:48" x14ac:dyDescent="0.35">
      <c r="AO7473"/>
      <c r="AP7473"/>
      <c r="AQ7473"/>
      <c r="AR7473"/>
      <c r="AS7473"/>
      <c r="AT7473"/>
      <c r="AU7473"/>
      <c r="AV7473"/>
    </row>
    <row r="7474" spans="41:48" x14ac:dyDescent="0.35">
      <c r="AO7474"/>
      <c r="AP7474"/>
      <c r="AQ7474"/>
      <c r="AR7474"/>
      <c r="AS7474"/>
      <c r="AT7474"/>
      <c r="AU7474"/>
      <c r="AV7474"/>
    </row>
    <row r="7475" spans="41:48" x14ac:dyDescent="0.35">
      <c r="AO7475"/>
      <c r="AP7475"/>
      <c r="AQ7475"/>
      <c r="AR7475"/>
      <c r="AS7475"/>
      <c r="AT7475"/>
      <c r="AU7475"/>
      <c r="AV7475"/>
    </row>
    <row r="7476" spans="41:48" x14ac:dyDescent="0.35">
      <c r="AO7476"/>
      <c r="AP7476"/>
      <c r="AQ7476"/>
      <c r="AR7476"/>
      <c r="AS7476"/>
      <c r="AT7476"/>
      <c r="AU7476"/>
      <c r="AV7476"/>
    </row>
    <row r="7477" spans="41:48" x14ac:dyDescent="0.35">
      <c r="AO7477"/>
      <c r="AP7477"/>
      <c r="AQ7477"/>
      <c r="AR7477"/>
      <c r="AS7477"/>
      <c r="AT7477"/>
      <c r="AU7477"/>
      <c r="AV7477"/>
    </row>
    <row r="7478" spans="41:48" x14ac:dyDescent="0.35">
      <c r="AO7478"/>
      <c r="AP7478"/>
      <c r="AQ7478"/>
      <c r="AR7478"/>
      <c r="AS7478"/>
      <c r="AT7478"/>
      <c r="AU7478"/>
      <c r="AV7478"/>
    </row>
    <row r="7479" spans="41:48" x14ac:dyDescent="0.35">
      <c r="AO7479"/>
      <c r="AP7479"/>
      <c r="AQ7479"/>
      <c r="AR7479"/>
      <c r="AS7479"/>
      <c r="AT7479"/>
      <c r="AU7479"/>
      <c r="AV7479"/>
    </row>
    <row r="7480" spans="41:48" x14ac:dyDescent="0.35">
      <c r="AO7480"/>
      <c r="AP7480"/>
      <c r="AQ7480"/>
      <c r="AR7480"/>
      <c r="AS7480"/>
      <c r="AT7480"/>
      <c r="AU7480"/>
      <c r="AV7480"/>
    </row>
    <row r="7481" spans="41:48" x14ac:dyDescent="0.35">
      <c r="AO7481"/>
      <c r="AP7481"/>
      <c r="AQ7481"/>
      <c r="AR7481"/>
      <c r="AS7481"/>
      <c r="AT7481"/>
      <c r="AU7481"/>
      <c r="AV7481"/>
    </row>
    <row r="7482" spans="41:48" x14ac:dyDescent="0.35">
      <c r="AO7482"/>
      <c r="AP7482"/>
      <c r="AQ7482"/>
      <c r="AR7482"/>
      <c r="AS7482"/>
      <c r="AT7482"/>
      <c r="AU7482"/>
      <c r="AV7482"/>
    </row>
    <row r="7483" spans="41:48" x14ac:dyDescent="0.35">
      <c r="AO7483"/>
      <c r="AP7483"/>
      <c r="AQ7483"/>
      <c r="AR7483"/>
      <c r="AS7483"/>
      <c r="AT7483"/>
      <c r="AU7483"/>
      <c r="AV7483"/>
    </row>
    <row r="7484" spans="41:48" x14ac:dyDescent="0.35">
      <c r="AO7484"/>
      <c r="AP7484"/>
      <c r="AQ7484"/>
      <c r="AR7484"/>
      <c r="AS7484"/>
      <c r="AT7484"/>
      <c r="AU7484"/>
      <c r="AV7484"/>
    </row>
    <row r="7485" spans="41:48" x14ac:dyDescent="0.35">
      <c r="AO7485"/>
      <c r="AP7485"/>
      <c r="AQ7485"/>
      <c r="AR7485"/>
      <c r="AS7485"/>
      <c r="AT7485"/>
      <c r="AU7485"/>
      <c r="AV7485"/>
    </row>
    <row r="7486" spans="41:48" x14ac:dyDescent="0.35">
      <c r="AO7486"/>
      <c r="AP7486"/>
      <c r="AQ7486"/>
      <c r="AR7486"/>
      <c r="AS7486"/>
      <c r="AT7486"/>
      <c r="AU7486"/>
      <c r="AV7486"/>
    </row>
    <row r="7487" spans="41:48" x14ac:dyDescent="0.35">
      <c r="AO7487"/>
      <c r="AP7487"/>
      <c r="AQ7487"/>
      <c r="AR7487"/>
      <c r="AS7487"/>
      <c r="AT7487"/>
      <c r="AU7487"/>
      <c r="AV7487"/>
    </row>
    <row r="7488" spans="41:48" x14ac:dyDescent="0.35">
      <c r="AO7488"/>
      <c r="AP7488"/>
      <c r="AQ7488"/>
      <c r="AR7488"/>
      <c r="AS7488"/>
      <c r="AT7488"/>
      <c r="AU7488"/>
      <c r="AV7488"/>
    </row>
    <row r="7489" spans="41:48" x14ac:dyDescent="0.35">
      <c r="AO7489"/>
      <c r="AP7489"/>
      <c r="AQ7489"/>
      <c r="AR7489"/>
      <c r="AS7489"/>
      <c r="AT7489"/>
      <c r="AU7489"/>
      <c r="AV7489"/>
    </row>
    <row r="7490" spans="41:48" x14ac:dyDescent="0.35">
      <c r="AO7490"/>
      <c r="AP7490"/>
      <c r="AQ7490"/>
      <c r="AR7490"/>
      <c r="AS7490"/>
      <c r="AT7490"/>
      <c r="AU7490"/>
      <c r="AV7490"/>
    </row>
    <row r="7491" spans="41:48" x14ac:dyDescent="0.35">
      <c r="AO7491"/>
      <c r="AP7491"/>
      <c r="AQ7491"/>
      <c r="AR7491"/>
      <c r="AS7491"/>
      <c r="AT7491"/>
      <c r="AU7491"/>
      <c r="AV7491"/>
    </row>
    <row r="7492" spans="41:48" x14ac:dyDescent="0.35">
      <c r="AO7492"/>
      <c r="AP7492"/>
      <c r="AQ7492"/>
      <c r="AR7492"/>
      <c r="AS7492"/>
      <c r="AT7492"/>
      <c r="AU7492"/>
      <c r="AV7492"/>
    </row>
    <row r="7493" spans="41:48" x14ac:dyDescent="0.35">
      <c r="AO7493"/>
      <c r="AP7493"/>
      <c r="AQ7493"/>
      <c r="AR7493"/>
      <c r="AS7493"/>
      <c r="AT7493"/>
      <c r="AU7493"/>
      <c r="AV7493"/>
    </row>
    <row r="7494" spans="41:48" x14ac:dyDescent="0.35">
      <c r="AO7494"/>
      <c r="AP7494"/>
      <c r="AQ7494"/>
      <c r="AR7494"/>
      <c r="AS7494"/>
      <c r="AT7494"/>
      <c r="AU7494"/>
      <c r="AV7494"/>
    </row>
    <row r="7495" spans="41:48" x14ac:dyDescent="0.35">
      <c r="AO7495"/>
      <c r="AP7495"/>
      <c r="AQ7495"/>
      <c r="AR7495"/>
      <c r="AS7495"/>
      <c r="AT7495"/>
      <c r="AU7495"/>
      <c r="AV7495"/>
    </row>
    <row r="7496" spans="41:48" x14ac:dyDescent="0.35">
      <c r="AO7496"/>
      <c r="AP7496"/>
      <c r="AQ7496"/>
      <c r="AR7496"/>
      <c r="AS7496"/>
      <c r="AT7496"/>
      <c r="AU7496"/>
      <c r="AV7496"/>
    </row>
    <row r="7497" spans="41:48" x14ac:dyDescent="0.35">
      <c r="AO7497"/>
      <c r="AP7497"/>
      <c r="AQ7497"/>
      <c r="AR7497"/>
      <c r="AS7497"/>
      <c r="AT7497"/>
      <c r="AU7497"/>
      <c r="AV7497"/>
    </row>
    <row r="7498" spans="41:48" x14ac:dyDescent="0.35">
      <c r="AO7498"/>
      <c r="AP7498"/>
      <c r="AQ7498"/>
      <c r="AR7498"/>
      <c r="AS7498"/>
      <c r="AT7498"/>
      <c r="AU7498"/>
      <c r="AV7498"/>
    </row>
    <row r="7499" spans="41:48" x14ac:dyDescent="0.35">
      <c r="AO7499"/>
      <c r="AP7499"/>
      <c r="AQ7499"/>
      <c r="AR7499"/>
      <c r="AS7499"/>
      <c r="AT7499"/>
      <c r="AU7499"/>
      <c r="AV7499"/>
    </row>
    <row r="7500" spans="41:48" x14ac:dyDescent="0.35">
      <c r="AO7500"/>
      <c r="AP7500"/>
      <c r="AQ7500"/>
      <c r="AR7500"/>
      <c r="AS7500"/>
      <c r="AT7500"/>
      <c r="AU7500"/>
      <c r="AV7500"/>
    </row>
    <row r="7501" spans="41:48" x14ac:dyDescent="0.35">
      <c r="AO7501"/>
      <c r="AP7501"/>
      <c r="AQ7501"/>
      <c r="AR7501"/>
      <c r="AS7501"/>
      <c r="AT7501"/>
      <c r="AU7501"/>
      <c r="AV7501"/>
    </row>
    <row r="7502" spans="41:48" x14ac:dyDescent="0.35">
      <c r="AO7502"/>
      <c r="AP7502"/>
      <c r="AQ7502"/>
      <c r="AR7502"/>
      <c r="AS7502"/>
      <c r="AT7502"/>
      <c r="AU7502"/>
      <c r="AV7502"/>
    </row>
    <row r="7503" spans="41:48" x14ac:dyDescent="0.35">
      <c r="AO7503"/>
      <c r="AP7503"/>
      <c r="AQ7503"/>
      <c r="AR7503"/>
      <c r="AS7503"/>
      <c r="AT7503"/>
      <c r="AU7503"/>
      <c r="AV7503"/>
    </row>
    <row r="7504" spans="41:48" x14ac:dyDescent="0.35">
      <c r="AO7504"/>
      <c r="AP7504"/>
      <c r="AQ7504"/>
      <c r="AR7504"/>
      <c r="AS7504"/>
      <c r="AT7504"/>
      <c r="AU7504"/>
      <c r="AV7504"/>
    </row>
    <row r="7505" spans="41:48" x14ac:dyDescent="0.35">
      <c r="AO7505"/>
      <c r="AP7505"/>
      <c r="AQ7505"/>
      <c r="AR7505"/>
      <c r="AS7505"/>
      <c r="AT7505"/>
      <c r="AU7505"/>
      <c r="AV7505"/>
    </row>
    <row r="7506" spans="41:48" x14ac:dyDescent="0.35">
      <c r="AO7506"/>
      <c r="AP7506"/>
      <c r="AQ7506"/>
      <c r="AR7506"/>
      <c r="AS7506"/>
      <c r="AT7506"/>
      <c r="AU7506"/>
      <c r="AV7506"/>
    </row>
    <row r="7507" spans="41:48" x14ac:dyDescent="0.35">
      <c r="AO7507"/>
      <c r="AP7507"/>
      <c r="AQ7507"/>
      <c r="AR7507"/>
      <c r="AS7507"/>
      <c r="AT7507"/>
      <c r="AU7507"/>
      <c r="AV7507"/>
    </row>
    <row r="7508" spans="41:48" x14ac:dyDescent="0.35">
      <c r="AO7508"/>
      <c r="AP7508"/>
      <c r="AQ7508"/>
      <c r="AR7508"/>
      <c r="AS7508"/>
      <c r="AT7508"/>
      <c r="AU7508"/>
      <c r="AV7508"/>
    </row>
    <row r="7509" spans="41:48" x14ac:dyDescent="0.35">
      <c r="AO7509"/>
      <c r="AP7509"/>
      <c r="AQ7509"/>
      <c r="AR7509"/>
      <c r="AS7509"/>
      <c r="AT7509"/>
      <c r="AU7509"/>
      <c r="AV7509"/>
    </row>
    <row r="7510" spans="41:48" x14ac:dyDescent="0.35">
      <c r="AO7510"/>
      <c r="AP7510"/>
      <c r="AQ7510"/>
      <c r="AR7510"/>
      <c r="AS7510"/>
      <c r="AT7510"/>
      <c r="AU7510"/>
      <c r="AV7510"/>
    </row>
    <row r="7511" spans="41:48" x14ac:dyDescent="0.35">
      <c r="AO7511"/>
      <c r="AP7511"/>
      <c r="AQ7511"/>
      <c r="AR7511"/>
      <c r="AS7511"/>
      <c r="AT7511"/>
      <c r="AU7511"/>
      <c r="AV7511"/>
    </row>
    <row r="7512" spans="41:48" x14ac:dyDescent="0.35">
      <c r="AO7512"/>
      <c r="AP7512"/>
      <c r="AQ7512"/>
      <c r="AR7512"/>
      <c r="AS7512"/>
      <c r="AT7512"/>
      <c r="AU7512"/>
      <c r="AV7512"/>
    </row>
    <row r="7513" spans="41:48" x14ac:dyDescent="0.35">
      <c r="AO7513"/>
      <c r="AP7513"/>
      <c r="AQ7513"/>
      <c r="AR7513"/>
      <c r="AS7513"/>
      <c r="AT7513"/>
      <c r="AU7513"/>
      <c r="AV7513"/>
    </row>
    <row r="7514" spans="41:48" x14ac:dyDescent="0.35">
      <c r="AO7514"/>
      <c r="AP7514"/>
      <c r="AQ7514"/>
      <c r="AR7514"/>
      <c r="AS7514"/>
      <c r="AT7514"/>
      <c r="AU7514"/>
      <c r="AV7514"/>
    </row>
    <row r="7515" spans="41:48" x14ac:dyDescent="0.35">
      <c r="AO7515"/>
      <c r="AP7515"/>
      <c r="AQ7515"/>
      <c r="AR7515"/>
      <c r="AS7515"/>
      <c r="AT7515"/>
      <c r="AU7515"/>
      <c r="AV7515"/>
    </row>
    <row r="7516" spans="41:48" x14ac:dyDescent="0.35">
      <c r="AO7516"/>
      <c r="AP7516"/>
      <c r="AQ7516"/>
      <c r="AR7516"/>
      <c r="AS7516"/>
      <c r="AT7516"/>
      <c r="AU7516"/>
      <c r="AV7516"/>
    </row>
    <row r="7517" spans="41:48" x14ac:dyDescent="0.35">
      <c r="AO7517"/>
      <c r="AP7517"/>
      <c r="AQ7517"/>
      <c r="AR7517"/>
      <c r="AS7517"/>
      <c r="AT7517"/>
      <c r="AU7517"/>
      <c r="AV7517"/>
    </row>
    <row r="7518" spans="41:48" x14ac:dyDescent="0.35">
      <c r="AO7518"/>
      <c r="AP7518"/>
      <c r="AQ7518"/>
      <c r="AR7518"/>
      <c r="AS7518"/>
      <c r="AT7518"/>
      <c r="AU7518"/>
      <c r="AV7518"/>
    </row>
    <row r="7519" spans="41:48" x14ac:dyDescent="0.35">
      <c r="AO7519"/>
      <c r="AP7519"/>
      <c r="AQ7519"/>
      <c r="AR7519"/>
      <c r="AS7519"/>
      <c r="AT7519"/>
      <c r="AU7519"/>
      <c r="AV7519"/>
    </row>
    <row r="7520" spans="41:48" x14ac:dyDescent="0.35">
      <c r="AO7520"/>
      <c r="AP7520"/>
      <c r="AQ7520"/>
      <c r="AR7520"/>
      <c r="AS7520"/>
      <c r="AT7520"/>
      <c r="AU7520"/>
      <c r="AV7520"/>
    </row>
    <row r="7521" spans="41:48" x14ac:dyDescent="0.35">
      <c r="AO7521"/>
      <c r="AP7521"/>
      <c r="AQ7521"/>
      <c r="AR7521"/>
      <c r="AS7521"/>
      <c r="AT7521"/>
      <c r="AU7521"/>
      <c r="AV7521"/>
    </row>
    <row r="7522" spans="41:48" x14ac:dyDescent="0.35">
      <c r="AO7522"/>
      <c r="AP7522"/>
      <c r="AQ7522"/>
      <c r="AR7522"/>
      <c r="AS7522"/>
      <c r="AT7522"/>
      <c r="AU7522"/>
      <c r="AV7522"/>
    </row>
    <row r="7523" spans="41:48" x14ac:dyDescent="0.35">
      <c r="AO7523"/>
      <c r="AP7523"/>
      <c r="AQ7523"/>
      <c r="AR7523"/>
      <c r="AS7523"/>
      <c r="AT7523"/>
      <c r="AU7523"/>
      <c r="AV7523"/>
    </row>
    <row r="7524" spans="41:48" x14ac:dyDescent="0.35">
      <c r="AO7524"/>
      <c r="AP7524"/>
      <c r="AQ7524"/>
      <c r="AR7524"/>
      <c r="AS7524"/>
      <c r="AT7524"/>
      <c r="AU7524"/>
      <c r="AV7524"/>
    </row>
    <row r="7525" spans="41:48" x14ac:dyDescent="0.35">
      <c r="AO7525"/>
      <c r="AP7525"/>
      <c r="AQ7525"/>
      <c r="AR7525"/>
      <c r="AS7525"/>
      <c r="AT7525"/>
      <c r="AU7525"/>
      <c r="AV7525"/>
    </row>
    <row r="7526" spans="41:48" x14ac:dyDescent="0.35">
      <c r="AO7526"/>
      <c r="AP7526"/>
      <c r="AQ7526"/>
      <c r="AR7526"/>
      <c r="AS7526"/>
      <c r="AT7526"/>
      <c r="AU7526"/>
      <c r="AV7526"/>
    </row>
    <row r="7527" spans="41:48" x14ac:dyDescent="0.35">
      <c r="AO7527"/>
      <c r="AP7527"/>
      <c r="AQ7527"/>
      <c r="AR7527"/>
      <c r="AS7527"/>
      <c r="AT7527"/>
      <c r="AU7527"/>
      <c r="AV7527"/>
    </row>
    <row r="7528" spans="41:48" x14ac:dyDescent="0.35">
      <c r="AO7528"/>
      <c r="AP7528"/>
      <c r="AQ7528"/>
      <c r="AR7528"/>
      <c r="AS7528"/>
      <c r="AT7528"/>
      <c r="AU7528"/>
      <c r="AV7528"/>
    </row>
    <row r="7529" spans="41:48" x14ac:dyDescent="0.35">
      <c r="AO7529"/>
      <c r="AP7529"/>
      <c r="AQ7529"/>
      <c r="AR7529"/>
      <c r="AS7529"/>
      <c r="AT7529"/>
      <c r="AU7529"/>
      <c r="AV7529"/>
    </row>
    <row r="7530" spans="41:48" x14ac:dyDescent="0.35">
      <c r="AO7530"/>
      <c r="AP7530"/>
      <c r="AQ7530"/>
      <c r="AR7530"/>
      <c r="AS7530"/>
      <c r="AT7530"/>
      <c r="AU7530"/>
      <c r="AV7530"/>
    </row>
    <row r="7531" spans="41:48" x14ac:dyDescent="0.35">
      <c r="AO7531"/>
      <c r="AP7531"/>
      <c r="AQ7531"/>
      <c r="AR7531"/>
      <c r="AS7531"/>
      <c r="AT7531"/>
      <c r="AU7531"/>
      <c r="AV7531"/>
    </row>
    <row r="7532" spans="41:48" x14ac:dyDescent="0.35">
      <c r="AO7532"/>
      <c r="AP7532"/>
      <c r="AQ7532"/>
      <c r="AR7532"/>
      <c r="AS7532"/>
      <c r="AT7532"/>
      <c r="AU7532"/>
      <c r="AV7532"/>
    </row>
    <row r="7533" spans="41:48" x14ac:dyDescent="0.35">
      <c r="AO7533"/>
      <c r="AP7533"/>
      <c r="AQ7533"/>
      <c r="AR7533"/>
      <c r="AS7533"/>
      <c r="AT7533"/>
      <c r="AU7533"/>
      <c r="AV7533"/>
    </row>
    <row r="7534" spans="41:48" x14ac:dyDescent="0.35">
      <c r="AO7534"/>
      <c r="AP7534"/>
      <c r="AQ7534"/>
      <c r="AR7534"/>
      <c r="AS7534"/>
      <c r="AT7534"/>
      <c r="AU7534"/>
      <c r="AV7534"/>
    </row>
    <row r="7535" spans="41:48" x14ac:dyDescent="0.35">
      <c r="AO7535"/>
      <c r="AP7535"/>
      <c r="AQ7535"/>
      <c r="AR7535"/>
      <c r="AS7535"/>
      <c r="AT7535"/>
      <c r="AU7535"/>
      <c r="AV7535"/>
    </row>
    <row r="7536" spans="41:48" x14ac:dyDescent="0.35">
      <c r="AO7536"/>
      <c r="AP7536"/>
      <c r="AQ7536"/>
      <c r="AR7536"/>
      <c r="AS7536"/>
      <c r="AT7536"/>
      <c r="AU7536"/>
      <c r="AV7536"/>
    </row>
    <row r="7537" spans="41:48" x14ac:dyDescent="0.35">
      <c r="AO7537"/>
      <c r="AP7537"/>
      <c r="AQ7537"/>
      <c r="AR7537"/>
      <c r="AS7537"/>
      <c r="AT7537"/>
      <c r="AU7537"/>
      <c r="AV7537"/>
    </row>
    <row r="7538" spans="41:48" x14ac:dyDescent="0.35">
      <c r="AO7538"/>
      <c r="AP7538"/>
      <c r="AQ7538"/>
      <c r="AR7538"/>
      <c r="AS7538"/>
      <c r="AT7538"/>
      <c r="AU7538"/>
      <c r="AV7538"/>
    </row>
    <row r="7539" spans="41:48" x14ac:dyDescent="0.35">
      <c r="AO7539"/>
      <c r="AP7539"/>
      <c r="AQ7539"/>
      <c r="AR7539"/>
      <c r="AS7539"/>
      <c r="AT7539"/>
      <c r="AU7539"/>
      <c r="AV7539"/>
    </row>
    <row r="7540" spans="41:48" x14ac:dyDescent="0.35">
      <c r="AO7540"/>
      <c r="AP7540"/>
      <c r="AQ7540"/>
      <c r="AR7540"/>
      <c r="AS7540"/>
      <c r="AT7540"/>
      <c r="AU7540"/>
      <c r="AV7540"/>
    </row>
    <row r="7541" spans="41:48" x14ac:dyDescent="0.35">
      <c r="AO7541"/>
      <c r="AP7541"/>
      <c r="AQ7541"/>
      <c r="AR7541"/>
      <c r="AS7541"/>
      <c r="AT7541"/>
      <c r="AU7541"/>
      <c r="AV7541"/>
    </row>
    <row r="7542" spans="41:48" x14ac:dyDescent="0.35">
      <c r="AO7542"/>
      <c r="AP7542"/>
      <c r="AQ7542"/>
      <c r="AR7542"/>
      <c r="AS7542"/>
      <c r="AT7542"/>
      <c r="AU7542"/>
      <c r="AV7542"/>
    </row>
    <row r="7543" spans="41:48" x14ac:dyDescent="0.35">
      <c r="AO7543"/>
      <c r="AP7543"/>
      <c r="AQ7543"/>
      <c r="AR7543"/>
      <c r="AS7543"/>
      <c r="AT7543"/>
      <c r="AU7543"/>
      <c r="AV7543"/>
    </row>
    <row r="7544" spans="41:48" x14ac:dyDescent="0.35">
      <c r="AO7544"/>
      <c r="AP7544"/>
      <c r="AQ7544"/>
      <c r="AR7544"/>
      <c r="AS7544"/>
      <c r="AT7544"/>
      <c r="AU7544"/>
      <c r="AV7544"/>
    </row>
    <row r="7545" spans="41:48" x14ac:dyDescent="0.35">
      <c r="AO7545"/>
      <c r="AP7545"/>
      <c r="AQ7545"/>
      <c r="AR7545"/>
      <c r="AS7545"/>
      <c r="AT7545"/>
      <c r="AU7545"/>
      <c r="AV7545"/>
    </row>
    <row r="7546" spans="41:48" x14ac:dyDescent="0.35">
      <c r="AO7546"/>
      <c r="AP7546"/>
      <c r="AQ7546"/>
      <c r="AR7546"/>
      <c r="AS7546"/>
      <c r="AT7546"/>
      <c r="AU7546"/>
      <c r="AV7546"/>
    </row>
    <row r="7547" spans="41:48" x14ac:dyDescent="0.35">
      <c r="AO7547"/>
      <c r="AP7547"/>
      <c r="AQ7547"/>
      <c r="AR7547"/>
      <c r="AS7547"/>
      <c r="AT7547"/>
      <c r="AU7547"/>
      <c r="AV7547"/>
    </row>
    <row r="7548" spans="41:48" x14ac:dyDescent="0.35">
      <c r="AO7548"/>
      <c r="AP7548"/>
      <c r="AQ7548"/>
      <c r="AR7548"/>
      <c r="AS7548"/>
      <c r="AT7548"/>
      <c r="AU7548"/>
      <c r="AV7548"/>
    </row>
    <row r="7549" spans="41:48" x14ac:dyDescent="0.35">
      <c r="AO7549"/>
      <c r="AP7549"/>
      <c r="AQ7549"/>
      <c r="AR7549"/>
      <c r="AS7549"/>
      <c r="AT7549"/>
      <c r="AU7549"/>
      <c r="AV7549"/>
    </row>
    <row r="7550" spans="41:48" x14ac:dyDescent="0.35">
      <c r="AO7550"/>
      <c r="AP7550"/>
      <c r="AQ7550"/>
      <c r="AR7550"/>
      <c r="AS7550"/>
      <c r="AT7550"/>
      <c r="AU7550"/>
      <c r="AV7550"/>
    </row>
    <row r="7551" spans="41:48" x14ac:dyDescent="0.35">
      <c r="AO7551"/>
      <c r="AP7551"/>
      <c r="AQ7551"/>
      <c r="AR7551"/>
      <c r="AS7551"/>
      <c r="AT7551"/>
      <c r="AU7551"/>
      <c r="AV7551"/>
    </row>
    <row r="7552" spans="41:48" x14ac:dyDescent="0.35">
      <c r="AO7552"/>
      <c r="AP7552"/>
      <c r="AQ7552"/>
      <c r="AR7552"/>
      <c r="AS7552"/>
      <c r="AT7552"/>
      <c r="AU7552"/>
      <c r="AV7552"/>
    </row>
    <row r="7553" spans="41:48" x14ac:dyDescent="0.35">
      <c r="AO7553"/>
      <c r="AP7553"/>
      <c r="AQ7553"/>
      <c r="AR7553"/>
      <c r="AS7553"/>
      <c r="AT7553"/>
      <c r="AU7553"/>
      <c r="AV7553"/>
    </row>
    <row r="7554" spans="41:48" x14ac:dyDescent="0.35">
      <c r="AO7554"/>
      <c r="AP7554"/>
      <c r="AQ7554"/>
      <c r="AR7554"/>
      <c r="AS7554"/>
      <c r="AT7554"/>
      <c r="AU7554"/>
      <c r="AV7554"/>
    </row>
    <row r="7555" spans="41:48" x14ac:dyDescent="0.35">
      <c r="AO7555"/>
      <c r="AP7555"/>
      <c r="AQ7555"/>
      <c r="AR7555"/>
      <c r="AS7555"/>
      <c r="AT7555"/>
      <c r="AU7555"/>
      <c r="AV7555"/>
    </row>
    <row r="7556" spans="41:48" x14ac:dyDescent="0.35">
      <c r="AO7556"/>
      <c r="AP7556"/>
      <c r="AQ7556"/>
      <c r="AR7556"/>
      <c r="AS7556"/>
      <c r="AT7556"/>
      <c r="AU7556"/>
      <c r="AV7556"/>
    </row>
    <row r="7557" spans="41:48" x14ac:dyDescent="0.35">
      <c r="AO7557"/>
      <c r="AP7557"/>
      <c r="AQ7557"/>
      <c r="AR7557"/>
      <c r="AS7557"/>
      <c r="AT7557"/>
      <c r="AU7557"/>
      <c r="AV7557"/>
    </row>
    <row r="7558" spans="41:48" x14ac:dyDescent="0.35">
      <c r="AO7558"/>
      <c r="AP7558"/>
      <c r="AQ7558"/>
      <c r="AR7558"/>
      <c r="AS7558"/>
      <c r="AT7558"/>
      <c r="AU7558"/>
      <c r="AV7558"/>
    </row>
    <row r="7559" spans="41:48" x14ac:dyDescent="0.35">
      <c r="AO7559"/>
      <c r="AP7559"/>
      <c r="AQ7559"/>
      <c r="AR7559"/>
      <c r="AS7559"/>
      <c r="AT7559"/>
      <c r="AU7559"/>
      <c r="AV7559"/>
    </row>
    <row r="7560" spans="41:48" x14ac:dyDescent="0.35">
      <c r="AO7560"/>
      <c r="AP7560"/>
      <c r="AQ7560"/>
      <c r="AR7560"/>
      <c r="AS7560"/>
      <c r="AT7560"/>
      <c r="AU7560"/>
      <c r="AV7560"/>
    </row>
    <row r="7561" spans="41:48" x14ac:dyDescent="0.35">
      <c r="AO7561"/>
      <c r="AP7561"/>
      <c r="AQ7561"/>
      <c r="AR7561"/>
      <c r="AS7561"/>
      <c r="AT7561"/>
      <c r="AU7561"/>
      <c r="AV7561"/>
    </row>
    <row r="7562" spans="41:48" x14ac:dyDescent="0.35">
      <c r="AO7562"/>
      <c r="AP7562"/>
      <c r="AQ7562"/>
      <c r="AR7562"/>
      <c r="AS7562"/>
      <c r="AT7562"/>
      <c r="AU7562"/>
      <c r="AV7562"/>
    </row>
    <row r="7563" spans="41:48" x14ac:dyDescent="0.35">
      <c r="AO7563"/>
      <c r="AP7563"/>
      <c r="AQ7563"/>
      <c r="AR7563"/>
      <c r="AS7563"/>
      <c r="AT7563"/>
      <c r="AU7563"/>
      <c r="AV7563"/>
    </row>
    <row r="7564" spans="41:48" x14ac:dyDescent="0.35">
      <c r="AO7564"/>
      <c r="AP7564"/>
      <c r="AQ7564"/>
      <c r="AR7564"/>
      <c r="AS7564"/>
      <c r="AT7564"/>
      <c r="AU7564"/>
      <c r="AV7564"/>
    </row>
    <row r="7565" spans="41:48" x14ac:dyDescent="0.35">
      <c r="AO7565"/>
      <c r="AP7565"/>
      <c r="AQ7565"/>
      <c r="AR7565"/>
      <c r="AS7565"/>
      <c r="AT7565"/>
      <c r="AU7565"/>
      <c r="AV7565"/>
    </row>
    <row r="7566" spans="41:48" x14ac:dyDescent="0.35">
      <c r="AO7566"/>
      <c r="AP7566"/>
      <c r="AQ7566"/>
      <c r="AR7566"/>
      <c r="AS7566"/>
      <c r="AT7566"/>
      <c r="AU7566"/>
      <c r="AV7566"/>
    </row>
    <row r="7567" spans="41:48" x14ac:dyDescent="0.35">
      <c r="AO7567"/>
      <c r="AP7567"/>
      <c r="AQ7567"/>
      <c r="AR7567"/>
      <c r="AS7567"/>
      <c r="AT7567"/>
      <c r="AU7567"/>
      <c r="AV7567"/>
    </row>
    <row r="7568" spans="41:48" x14ac:dyDescent="0.35">
      <c r="AO7568"/>
      <c r="AP7568"/>
      <c r="AQ7568"/>
      <c r="AR7568"/>
      <c r="AS7568"/>
      <c r="AT7568"/>
      <c r="AU7568"/>
      <c r="AV7568"/>
    </row>
    <row r="7569" spans="41:48" x14ac:dyDescent="0.35">
      <c r="AO7569"/>
      <c r="AP7569"/>
      <c r="AQ7569"/>
      <c r="AR7569"/>
      <c r="AS7569"/>
      <c r="AT7569"/>
      <c r="AU7569"/>
      <c r="AV7569"/>
    </row>
    <row r="7570" spans="41:48" x14ac:dyDescent="0.35">
      <c r="AO7570"/>
      <c r="AP7570"/>
      <c r="AQ7570"/>
      <c r="AR7570"/>
      <c r="AS7570"/>
      <c r="AT7570"/>
      <c r="AU7570"/>
      <c r="AV7570"/>
    </row>
    <row r="7571" spans="41:48" x14ac:dyDescent="0.35">
      <c r="AO7571"/>
      <c r="AP7571"/>
      <c r="AQ7571"/>
      <c r="AR7571"/>
      <c r="AS7571"/>
      <c r="AT7571"/>
      <c r="AU7571"/>
      <c r="AV7571"/>
    </row>
    <row r="7572" spans="41:48" x14ac:dyDescent="0.35">
      <c r="AO7572"/>
      <c r="AP7572"/>
      <c r="AQ7572"/>
      <c r="AR7572"/>
      <c r="AS7572"/>
      <c r="AT7572"/>
      <c r="AU7572"/>
      <c r="AV7572"/>
    </row>
    <row r="7573" spans="41:48" x14ac:dyDescent="0.35">
      <c r="AO7573"/>
      <c r="AP7573"/>
      <c r="AQ7573"/>
      <c r="AR7573"/>
      <c r="AS7573"/>
      <c r="AT7573"/>
      <c r="AU7573"/>
      <c r="AV7573"/>
    </row>
    <row r="7574" spans="41:48" x14ac:dyDescent="0.35">
      <c r="AO7574"/>
      <c r="AP7574"/>
      <c r="AQ7574"/>
      <c r="AR7574"/>
      <c r="AS7574"/>
      <c r="AT7574"/>
      <c r="AU7574"/>
      <c r="AV7574"/>
    </row>
    <row r="7575" spans="41:48" x14ac:dyDescent="0.35">
      <c r="AO7575"/>
      <c r="AP7575"/>
      <c r="AQ7575"/>
      <c r="AR7575"/>
      <c r="AS7575"/>
      <c r="AT7575"/>
      <c r="AU7575"/>
      <c r="AV7575"/>
    </row>
    <row r="7576" spans="41:48" x14ac:dyDescent="0.35">
      <c r="AO7576"/>
      <c r="AP7576"/>
      <c r="AQ7576"/>
      <c r="AR7576"/>
      <c r="AS7576"/>
      <c r="AT7576"/>
      <c r="AU7576"/>
      <c r="AV7576"/>
    </row>
    <row r="7577" spans="41:48" x14ac:dyDescent="0.35">
      <c r="AO7577"/>
      <c r="AP7577"/>
      <c r="AQ7577"/>
      <c r="AR7577"/>
      <c r="AS7577"/>
      <c r="AT7577"/>
      <c r="AU7577"/>
      <c r="AV7577"/>
    </row>
    <row r="7578" spans="41:48" x14ac:dyDescent="0.35">
      <c r="AO7578"/>
      <c r="AP7578"/>
      <c r="AQ7578"/>
      <c r="AR7578"/>
      <c r="AS7578"/>
      <c r="AT7578"/>
      <c r="AU7578"/>
      <c r="AV7578"/>
    </row>
    <row r="7579" spans="41:48" x14ac:dyDescent="0.35">
      <c r="AO7579"/>
      <c r="AP7579"/>
      <c r="AQ7579"/>
      <c r="AR7579"/>
      <c r="AS7579"/>
      <c r="AT7579"/>
      <c r="AU7579"/>
      <c r="AV7579"/>
    </row>
    <row r="7580" spans="41:48" x14ac:dyDescent="0.35">
      <c r="AO7580"/>
      <c r="AP7580"/>
      <c r="AQ7580"/>
      <c r="AR7580"/>
      <c r="AS7580"/>
      <c r="AT7580"/>
      <c r="AU7580"/>
      <c r="AV7580"/>
    </row>
    <row r="7581" spans="41:48" x14ac:dyDescent="0.35">
      <c r="AO7581"/>
      <c r="AP7581"/>
      <c r="AQ7581"/>
      <c r="AR7581"/>
      <c r="AS7581"/>
      <c r="AT7581"/>
      <c r="AU7581"/>
      <c r="AV7581"/>
    </row>
    <row r="7582" spans="41:48" x14ac:dyDescent="0.35">
      <c r="AO7582"/>
      <c r="AP7582"/>
      <c r="AQ7582"/>
      <c r="AR7582"/>
      <c r="AS7582"/>
      <c r="AT7582"/>
      <c r="AU7582"/>
      <c r="AV7582"/>
    </row>
    <row r="7583" spans="41:48" x14ac:dyDescent="0.35">
      <c r="AO7583"/>
      <c r="AP7583"/>
      <c r="AQ7583"/>
      <c r="AR7583"/>
      <c r="AS7583"/>
      <c r="AT7583"/>
      <c r="AU7583"/>
      <c r="AV7583"/>
    </row>
    <row r="7584" spans="41:48" x14ac:dyDescent="0.35">
      <c r="AO7584"/>
      <c r="AP7584"/>
      <c r="AQ7584"/>
      <c r="AR7584"/>
      <c r="AS7584"/>
      <c r="AT7584"/>
      <c r="AU7584"/>
      <c r="AV7584"/>
    </row>
    <row r="7585" spans="41:48" x14ac:dyDescent="0.35">
      <c r="AO7585"/>
      <c r="AP7585"/>
      <c r="AQ7585"/>
      <c r="AR7585"/>
      <c r="AS7585"/>
      <c r="AT7585"/>
      <c r="AU7585"/>
      <c r="AV7585"/>
    </row>
    <row r="7586" spans="41:48" x14ac:dyDescent="0.35">
      <c r="AO7586"/>
      <c r="AP7586"/>
      <c r="AQ7586"/>
      <c r="AR7586"/>
      <c r="AS7586"/>
      <c r="AT7586"/>
      <c r="AU7586"/>
      <c r="AV7586"/>
    </row>
    <row r="7587" spans="41:48" x14ac:dyDescent="0.35">
      <c r="AO7587"/>
      <c r="AP7587"/>
      <c r="AQ7587"/>
      <c r="AR7587"/>
      <c r="AS7587"/>
      <c r="AT7587"/>
      <c r="AU7587"/>
      <c r="AV7587"/>
    </row>
    <row r="7588" spans="41:48" x14ac:dyDescent="0.35">
      <c r="AO7588"/>
      <c r="AP7588"/>
      <c r="AQ7588"/>
      <c r="AR7588"/>
      <c r="AS7588"/>
      <c r="AT7588"/>
      <c r="AU7588"/>
      <c r="AV7588"/>
    </row>
    <row r="7589" spans="41:48" x14ac:dyDescent="0.35">
      <c r="AO7589"/>
      <c r="AP7589"/>
      <c r="AQ7589"/>
      <c r="AR7589"/>
      <c r="AS7589"/>
      <c r="AT7589"/>
      <c r="AU7589"/>
      <c r="AV7589"/>
    </row>
    <row r="7590" spans="41:48" x14ac:dyDescent="0.35">
      <c r="AO7590"/>
      <c r="AP7590"/>
      <c r="AQ7590"/>
      <c r="AR7590"/>
      <c r="AS7590"/>
      <c r="AT7590"/>
      <c r="AU7590"/>
      <c r="AV7590"/>
    </row>
    <row r="7591" spans="41:48" x14ac:dyDescent="0.35">
      <c r="AO7591"/>
      <c r="AP7591"/>
      <c r="AQ7591"/>
      <c r="AR7591"/>
      <c r="AS7591"/>
      <c r="AT7591"/>
      <c r="AU7591"/>
      <c r="AV7591"/>
    </row>
    <row r="7592" spans="41:48" x14ac:dyDescent="0.35">
      <c r="AO7592"/>
      <c r="AP7592"/>
      <c r="AQ7592"/>
      <c r="AR7592"/>
      <c r="AS7592"/>
      <c r="AT7592"/>
      <c r="AU7592"/>
      <c r="AV7592"/>
    </row>
    <row r="7593" spans="41:48" x14ac:dyDescent="0.35">
      <c r="AO7593"/>
      <c r="AP7593"/>
      <c r="AQ7593"/>
      <c r="AR7593"/>
      <c r="AS7593"/>
      <c r="AT7593"/>
      <c r="AU7593"/>
      <c r="AV7593"/>
    </row>
    <row r="7594" spans="41:48" x14ac:dyDescent="0.35">
      <c r="AO7594"/>
      <c r="AP7594"/>
      <c r="AQ7594"/>
      <c r="AR7594"/>
      <c r="AS7594"/>
      <c r="AT7594"/>
      <c r="AU7594"/>
      <c r="AV7594"/>
    </row>
    <row r="7595" spans="41:48" x14ac:dyDescent="0.35">
      <c r="AO7595"/>
      <c r="AP7595"/>
      <c r="AQ7595"/>
      <c r="AR7595"/>
      <c r="AS7595"/>
      <c r="AT7595"/>
      <c r="AU7595"/>
      <c r="AV7595"/>
    </row>
    <row r="7596" spans="41:48" x14ac:dyDescent="0.35">
      <c r="AO7596"/>
      <c r="AP7596"/>
      <c r="AQ7596"/>
      <c r="AR7596"/>
      <c r="AS7596"/>
      <c r="AT7596"/>
      <c r="AU7596"/>
      <c r="AV7596"/>
    </row>
    <row r="7597" spans="41:48" x14ac:dyDescent="0.35">
      <c r="AO7597"/>
      <c r="AP7597"/>
      <c r="AQ7597"/>
      <c r="AR7597"/>
      <c r="AS7597"/>
      <c r="AT7597"/>
      <c r="AU7597"/>
      <c r="AV7597"/>
    </row>
    <row r="7598" spans="41:48" x14ac:dyDescent="0.35">
      <c r="AO7598"/>
      <c r="AP7598"/>
      <c r="AQ7598"/>
      <c r="AR7598"/>
      <c r="AS7598"/>
      <c r="AT7598"/>
      <c r="AU7598"/>
      <c r="AV7598"/>
    </row>
    <row r="7599" spans="41:48" x14ac:dyDescent="0.35">
      <c r="AO7599"/>
      <c r="AP7599"/>
      <c r="AQ7599"/>
      <c r="AR7599"/>
      <c r="AS7599"/>
      <c r="AT7599"/>
      <c r="AU7599"/>
      <c r="AV7599"/>
    </row>
    <row r="7600" spans="41:48" x14ac:dyDescent="0.35">
      <c r="AO7600"/>
      <c r="AP7600"/>
      <c r="AQ7600"/>
      <c r="AR7600"/>
      <c r="AS7600"/>
      <c r="AT7600"/>
      <c r="AU7600"/>
      <c r="AV7600"/>
    </row>
    <row r="7601" spans="41:48" x14ac:dyDescent="0.35">
      <c r="AO7601"/>
      <c r="AP7601"/>
      <c r="AQ7601"/>
      <c r="AR7601"/>
      <c r="AS7601"/>
      <c r="AT7601"/>
      <c r="AU7601"/>
      <c r="AV7601"/>
    </row>
    <row r="7602" spans="41:48" x14ac:dyDescent="0.35">
      <c r="AO7602"/>
      <c r="AP7602"/>
      <c r="AQ7602"/>
      <c r="AR7602"/>
      <c r="AS7602"/>
      <c r="AT7602"/>
      <c r="AU7602"/>
      <c r="AV7602"/>
    </row>
    <row r="7603" spans="41:48" x14ac:dyDescent="0.35">
      <c r="AO7603"/>
      <c r="AP7603"/>
      <c r="AQ7603"/>
      <c r="AR7603"/>
      <c r="AS7603"/>
      <c r="AT7603"/>
      <c r="AU7603"/>
      <c r="AV7603"/>
    </row>
    <row r="7604" spans="41:48" x14ac:dyDescent="0.35">
      <c r="AO7604"/>
      <c r="AP7604"/>
      <c r="AQ7604"/>
      <c r="AR7604"/>
      <c r="AS7604"/>
      <c r="AT7604"/>
      <c r="AU7604"/>
      <c r="AV7604"/>
    </row>
    <row r="7605" spans="41:48" x14ac:dyDescent="0.35">
      <c r="AO7605"/>
      <c r="AP7605"/>
      <c r="AQ7605"/>
      <c r="AR7605"/>
      <c r="AS7605"/>
      <c r="AT7605"/>
      <c r="AU7605"/>
      <c r="AV7605"/>
    </row>
    <row r="7606" spans="41:48" x14ac:dyDescent="0.35">
      <c r="AO7606"/>
      <c r="AP7606"/>
      <c r="AQ7606"/>
      <c r="AR7606"/>
      <c r="AS7606"/>
      <c r="AT7606"/>
      <c r="AU7606"/>
      <c r="AV7606"/>
    </row>
    <row r="7607" spans="41:48" x14ac:dyDescent="0.35">
      <c r="AO7607"/>
      <c r="AP7607"/>
      <c r="AQ7607"/>
      <c r="AR7607"/>
      <c r="AS7607"/>
      <c r="AT7607"/>
      <c r="AU7607"/>
      <c r="AV7607"/>
    </row>
    <row r="7608" spans="41:48" x14ac:dyDescent="0.35">
      <c r="AO7608"/>
      <c r="AP7608"/>
      <c r="AQ7608"/>
      <c r="AR7608"/>
      <c r="AS7608"/>
      <c r="AT7608"/>
      <c r="AU7608"/>
      <c r="AV7608"/>
    </row>
    <row r="7609" spans="41:48" x14ac:dyDescent="0.35">
      <c r="AO7609"/>
      <c r="AP7609"/>
      <c r="AQ7609"/>
      <c r="AR7609"/>
      <c r="AS7609"/>
      <c r="AT7609"/>
      <c r="AU7609"/>
      <c r="AV7609"/>
    </row>
    <row r="7610" spans="41:48" x14ac:dyDescent="0.35">
      <c r="AO7610"/>
      <c r="AP7610"/>
      <c r="AQ7610"/>
      <c r="AR7610"/>
      <c r="AS7610"/>
      <c r="AT7610"/>
      <c r="AU7610"/>
      <c r="AV7610"/>
    </row>
    <row r="7611" spans="41:48" x14ac:dyDescent="0.35">
      <c r="AO7611"/>
      <c r="AP7611"/>
      <c r="AQ7611"/>
      <c r="AR7611"/>
      <c r="AS7611"/>
      <c r="AT7611"/>
      <c r="AU7611"/>
      <c r="AV7611"/>
    </row>
    <row r="7612" spans="41:48" x14ac:dyDescent="0.35">
      <c r="AO7612"/>
      <c r="AP7612"/>
      <c r="AQ7612"/>
      <c r="AR7612"/>
      <c r="AS7612"/>
      <c r="AT7612"/>
      <c r="AU7612"/>
      <c r="AV7612"/>
    </row>
    <row r="7613" spans="41:48" x14ac:dyDescent="0.35">
      <c r="AO7613"/>
      <c r="AP7613"/>
      <c r="AQ7613"/>
      <c r="AR7613"/>
      <c r="AS7613"/>
      <c r="AT7613"/>
      <c r="AU7613"/>
      <c r="AV7613"/>
    </row>
    <row r="7614" spans="41:48" x14ac:dyDescent="0.35">
      <c r="AO7614"/>
      <c r="AP7614"/>
      <c r="AQ7614"/>
      <c r="AR7614"/>
      <c r="AS7614"/>
      <c r="AT7614"/>
      <c r="AU7614"/>
      <c r="AV7614"/>
    </row>
    <row r="7615" spans="41:48" x14ac:dyDescent="0.35">
      <c r="AO7615"/>
      <c r="AP7615"/>
      <c r="AQ7615"/>
      <c r="AR7615"/>
      <c r="AS7615"/>
      <c r="AT7615"/>
      <c r="AU7615"/>
      <c r="AV7615"/>
    </row>
    <row r="7616" spans="41:48" x14ac:dyDescent="0.35">
      <c r="AO7616"/>
      <c r="AP7616"/>
      <c r="AQ7616"/>
      <c r="AR7616"/>
      <c r="AS7616"/>
      <c r="AT7616"/>
      <c r="AU7616"/>
      <c r="AV7616"/>
    </row>
    <row r="7617" spans="41:48" x14ac:dyDescent="0.35">
      <c r="AO7617"/>
      <c r="AP7617"/>
      <c r="AQ7617"/>
      <c r="AR7617"/>
      <c r="AS7617"/>
      <c r="AT7617"/>
      <c r="AU7617"/>
      <c r="AV7617"/>
    </row>
    <row r="7618" spans="41:48" x14ac:dyDescent="0.35">
      <c r="AO7618"/>
      <c r="AP7618"/>
      <c r="AQ7618"/>
      <c r="AR7618"/>
      <c r="AS7618"/>
      <c r="AT7618"/>
      <c r="AU7618"/>
      <c r="AV7618"/>
    </row>
    <row r="7619" spans="41:48" x14ac:dyDescent="0.35">
      <c r="AO7619"/>
      <c r="AP7619"/>
      <c r="AQ7619"/>
      <c r="AR7619"/>
      <c r="AS7619"/>
      <c r="AT7619"/>
      <c r="AU7619"/>
      <c r="AV7619"/>
    </row>
    <row r="7620" spans="41:48" x14ac:dyDescent="0.35">
      <c r="AO7620"/>
      <c r="AP7620"/>
      <c r="AQ7620"/>
      <c r="AR7620"/>
      <c r="AS7620"/>
      <c r="AT7620"/>
      <c r="AU7620"/>
      <c r="AV7620"/>
    </row>
    <row r="7621" spans="41:48" x14ac:dyDescent="0.35">
      <c r="AO7621"/>
      <c r="AP7621"/>
      <c r="AQ7621"/>
      <c r="AR7621"/>
      <c r="AS7621"/>
      <c r="AT7621"/>
      <c r="AU7621"/>
      <c r="AV7621"/>
    </row>
    <row r="7622" spans="41:48" x14ac:dyDescent="0.35">
      <c r="AO7622"/>
      <c r="AP7622"/>
      <c r="AQ7622"/>
      <c r="AR7622"/>
      <c r="AS7622"/>
      <c r="AT7622"/>
      <c r="AU7622"/>
      <c r="AV7622"/>
    </row>
    <row r="7623" spans="41:48" x14ac:dyDescent="0.35">
      <c r="AO7623"/>
      <c r="AP7623"/>
      <c r="AQ7623"/>
      <c r="AR7623"/>
      <c r="AS7623"/>
      <c r="AT7623"/>
      <c r="AU7623"/>
      <c r="AV7623"/>
    </row>
    <row r="7624" spans="41:48" x14ac:dyDescent="0.35">
      <c r="AO7624"/>
      <c r="AP7624"/>
      <c r="AQ7624"/>
      <c r="AR7624"/>
      <c r="AS7624"/>
      <c r="AT7624"/>
      <c r="AU7624"/>
      <c r="AV7624"/>
    </row>
    <row r="7625" spans="41:48" x14ac:dyDescent="0.35">
      <c r="AO7625"/>
      <c r="AP7625"/>
      <c r="AQ7625"/>
      <c r="AR7625"/>
      <c r="AS7625"/>
      <c r="AT7625"/>
      <c r="AU7625"/>
      <c r="AV7625"/>
    </row>
    <row r="7626" spans="41:48" x14ac:dyDescent="0.35">
      <c r="AO7626"/>
      <c r="AP7626"/>
      <c r="AQ7626"/>
      <c r="AR7626"/>
      <c r="AS7626"/>
      <c r="AT7626"/>
      <c r="AU7626"/>
      <c r="AV7626"/>
    </row>
    <row r="7627" spans="41:48" x14ac:dyDescent="0.35">
      <c r="AO7627"/>
      <c r="AP7627"/>
      <c r="AQ7627"/>
      <c r="AR7627"/>
      <c r="AS7627"/>
      <c r="AT7627"/>
      <c r="AU7627"/>
      <c r="AV7627"/>
    </row>
    <row r="7628" spans="41:48" x14ac:dyDescent="0.35">
      <c r="AO7628"/>
      <c r="AP7628"/>
      <c r="AQ7628"/>
      <c r="AR7628"/>
      <c r="AS7628"/>
      <c r="AT7628"/>
      <c r="AU7628"/>
      <c r="AV7628"/>
    </row>
    <row r="7629" spans="41:48" x14ac:dyDescent="0.35">
      <c r="AO7629"/>
      <c r="AP7629"/>
      <c r="AQ7629"/>
      <c r="AR7629"/>
      <c r="AS7629"/>
      <c r="AT7629"/>
      <c r="AU7629"/>
      <c r="AV7629"/>
    </row>
    <row r="7630" spans="41:48" x14ac:dyDescent="0.35">
      <c r="AO7630"/>
      <c r="AP7630"/>
      <c r="AQ7630"/>
      <c r="AR7630"/>
      <c r="AS7630"/>
      <c r="AT7630"/>
      <c r="AU7630"/>
      <c r="AV7630"/>
    </row>
    <row r="7631" spans="41:48" x14ac:dyDescent="0.35">
      <c r="AO7631"/>
      <c r="AP7631"/>
      <c r="AQ7631"/>
      <c r="AR7631"/>
      <c r="AS7631"/>
      <c r="AT7631"/>
      <c r="AU7631"/>
      <c r="AV7631"/>
    </row>
    <row r="7632" spans="41:48" x14ac:dyDescent="0.35">
      <c r="AO7632"/>
      <c r="AP7632"/>
      <c r="AQ7632"/>
      <c r="AR7632"/>
      <c r="AS7632"/>
      <c r="AT7632"/>
      <c r="AU7632"/>
      <c r="AV7632"/>
    </row>
    <row r="7633" spans="41:48" x14ac:dyDescent="0.35">
      <c r="AO7633"/>
      <c r="AP7633"/>
      <c r="AQ7633"/>
      <c r="AR7633"/>
      <c r="AS7633"/>
      <c r="AT7633"/>
      <c r="AU7633"/>
      <c r="AV7633"/>
    </row>
    <row r="7634" spans="41:48" x14ac:dyDescent="0.35">
      <c r="AO7634"/>
      <c r="AP7634"/>
      <c r="AQ7634"/>
      <c r="AR7634"/>
      <c r="AS7634"/>
      <c r="AT7634"/>
      <c r="AU7634"/>
      <c r="AV7634"/>
    </row>
    <row r="7635" spans="41:48" x14ac:dyDescent="0.35">
      <c r="AO7635"/>
      <c r="AP7635"/>
      <c r="AQ7635"/>
      <c r="AR7635"/>
      <c r="AS7635"/>
      <c r="AT7635"/>
      <c r="AU7635"/>
      <c r="AV7635"/>
    </row>
    <row r="7636" spans="41:48" x14ac:dyDescent="0.35">
      <c r="AO7636"/>
      <c r="AP7636"/>
      <c r="AQ7636"/>
      <c r="AR7636"/>
      <c r="AS7636"/>
      <c r="AT7636"/>
      <c r="AU7636"/>
      <c r="AV7636"/>
    </row>
    <row r="7637" spans="41:48" x14ac:dyDescent="0.35">
      <c r="AO7637"/>
      <c r="AP7637"/>
      <c r="AQ7637"/>
      <c r="AR7637"/>
      <c r="AS7637"/>
      <c r="AT7637"/>
      <c r="AU7637"/>
      <c r="AV7637"/>
    </row>
    <row r="7638" spans="41:48" x14ac:dyDescent="0.35">
      <c r="AO7638"/>
      <c r="AP7638"/>
      <c r="AQ7638"/>
      <c r="AR7638"/>
      <c r="AS7638"/>
      <c r="AT7638"/>
      <c r="AU7638"/>
      <c r="AV7638"/>
    </row>
    <row r="7639" spans="41:48" x14ac:dyDescent="0.35">
      <c r="AO7639"/>
      <c r="AP7639"/>
      <c r="AQ7639"/>
      <c r="AR7639"/>
      <c r="AS7639"/>
      <c r="AT7639"/>
      <c r="AU7639"/>
      <c r="AV7639"/>
    </row>
    <row r="7640" spans="41:48" x14ac:dyDescent="0.35">
      <c r="AO7640"/>
      <c r="AP7640"/>
      <c r="AQ7640"/>
      <c r="AR7640"/>
      <c r="AS7640"/>
      <c r="AT7640"/>
      <c r="AU7640"/>
      <c r="AV7640"/>
    </row>
    <row r="7641" spans="41:48" x14ac:dyDescent="0.35">
      <c r="AO7641"/>
      <c r="AP7641"/>
      <c r="AQ7641"/>
      <c r="AR7641"/>
      <c r="AS7641"/>
      <c r="AT7641"/>
      <c r="AU7641"/>
      <c r="AV7641"/>
    </row>
    <row r="7642" spans="41:48" x14ac:dyDescent="0.35">
      <c r="AO7642"/>
      <c r="AP7642"/>
      <c r="AQ7642"/>
      <c r="AR7642"/>
      <c r="AS7642"/>
      <c r="AT7642"/>
      <c r="AU7642"/>
      <c r="AV7642"/>
    </row>
    <row r="7643" spans="41:48" x14ac:dyDescent="0.35">
      <c r="AO7643"/>
      <c r="AP7643"/>
      <c r="AQ7643"/>
      <c r="AR7643"/>
      <c r="AS7643"/>
      <c r="AT7643"/>
      <c r="AU7643"/>
      <c r="AV7643"/>
    </row>
    <row r="7644" spans="41:48" x14ac:dyDescent="0.35">
      <c r="AO7644"/>
      <c r="AP7644"/>
      <c r="AQ7644"/>
      <c r="AR7644"/>
      <c r="AS7644"/>
      <c r="AT7644"/>
      <c r="AU7644"/>
      <c r="AV7644"/>
    </row>
    <row r="7645" spans="41:48" x14ac:dyDescent="0.35">
      <c r="AO7645"/>
      <c r="AP7645"/>
      <c r="AQ7645"/>
      <c r="AR7645"/>
      <c r="AS7645"/>
      <c r="AT7645"/>
      <c r="AU7645"/>
      <c r="AV7645"/>
    </row>
    <row r="7646" spans="41:48" x14ac:dyDescent="0.35">
      <c r="AO7646"/>
      <c r="AP7646"/>
      <c r="AQ7646"/>
      <c r="AR7646"/>
      <c r="AS7646"/>
      <c r="AT7646"/>
      <c r="AU7646"/>
      <c r="AV7646"/>
    </row>
    <row r="7647" spans="41:48" x14ac:dyDescent="0.35">
      <c r="AO7647"/>
      <c r="AP7647"/>
      <c r="AQ7647"/>
      <c r="AR7647"/>
      <c r="AS7647"/>
      <c r="AT7647"/>
      <c r="AU7647"/>
      <c r="AV7647"/>
    </row>
    <row r="7648" spans="41:48" x14ac:dyDescent="0.35">
      <c r="AO7648"/>
      <c r="AP7648"/>
      <c r="AQ7648"/>
      <c r="AR7648"/>
      <c r="AS7648"/>
      <c r="AT7648"/>
      <c r="AU7648"/>
      <c r="AV7648"/>
    </row>
    <row r="7649" spans="41:48" x14ac:dyDescent="0.35">
      <c r="AO7649"/>
      <c r="AP7649"/>
      <c r="AQ7649"/>
      <c r="AR7649"/>
      <c r="AS7649"/>
      <c r="AT7649"/>
      <c r="AU7649"/>
      <c r="AV7649"/>
    </row>
    <row r="7650" spans="41:48" x14ac:dyDescent="0.35">
      <c r="AO7650"/>
      <c r="AP7650"/>
      <c r="AQ7650"/>
      <c r="AR7650"/>
      <c r="AS7650"/>
      <c r="AT7650"/>
      <c r="AU7650"/>
      <c r="AV7650"/>
    </row>
    <row r="7651" spans="41:48" x14ac:dyDescent="0.35">
      <c r="AO7651"/>
      <c r="AP7651"/>
      <c r="AQ7651"/>
      <c r="AR7651"/>
      <c r="AS7651"/>
      <c r="AT7651"/>
      <c r="AU7651"/>
      <c r="AV7651"/>
    </row>
    <row r="7652" spans="41:48" x14ac:dyDescent="0.35">
      <c r="AO7652"/>
      <c r="AP7652"/>
      <c r="AQ7652"/>
      <c r="AR7652"/>
      <c r="AS7652"/>
      <c r="AT7652"/>
      <c r="AU7652"/>
      <c r="AV7652"/>
    </row>
    <row r="7653" spans="41:48" x14ac:dyDescent="0.35">
      <c r="AO7653"/>
      <c r="AP7653"/>
      <c r="AQ7653"/>
      <c r="AR7653"/>
      <c r="AS7653"/>
      <c r="AT7653"/>
      <c r="AU7653"/>
      <c r="AV7653"/>
    </row>
    <row r="7654" spans="41:48" x14ac:dyDescent="0.35">
      <c r="AO7654"/>
      <c r="AP7654"/>
      <c r="AQ7654"/>
      <c r="AR7654"/>
      <c r="AS7654"/>
      <c r="AT7654"/>
      <c r="AU7654"/>
      <c r="AV7654"/>
    </row>
    <row r="7655" spans="41:48" x14ac:dyDescent="0.35">
      <c r="AO7655"/>
      <c r="AP7655"/>
      <c r="AQ7655"/>
      <c r="AR7655"/>
      <c r="AS7655"/>
      <c r="AT7655"/>
      <c r="AU7655"/>
      <c r="AV7655"/>
    </row>
    <row r="7656" spans="41:48" x14ac:dyDescent="0.35">
      <c r="AO7656"/>
      <c r="AP7656"/>
      <c r="AQ7656"/>
      <c r="AR7656"/>
      <c r="AS7656"/>
      <c r="AT7656"/>
      <c r="AU7656"/>
      <c r="AV7656"/>
    </row>
    <row r="7657" spans="41:48" x14ac:dyDescent="0.35">
      <c r="AO7657"/>
      <c r="AP7657"/>
      <c r="AQ7657"/>
      <c r="AR7657"/>
      <c r="AS7657"/>
      <c r="AT7657"/>
      <c r="AU7657"/>
      <c r="AV7657"/>
    </row>
    <row r="7658" spans="41:48" x14ac:dyDescent="0.35">
      <c r="AO7658"/>
      <c r="AP7658"/>
      <c r="AQ7658"/>
      <c r="AR7658"/>
      <c r="AS7658"/>
      <c r="AT7658"/>
      <c r="AU7658"/>
      <c r="AV7658"/>
    </row>
    <row r="7659" spans="41:48" x14ac:dyDescent="0.35">
      <c r="AO7659"/>
      <c r="AP7659"/>
      <c r="AQ7659"/>
      <c r="AR7659"/>
      <c r="AS7659"/>
      <c r="AT7659"/>
      <c r="AU7659"/>
      <c r="AV7659"/>
    </row>
    <row r="7660" spans="41:48" x14ac:dyDescent="0.35">
      <c r="AO7660"/>
      <c r="AP7660"/>
      <c r="AQ7660"/>
      <c r="AR7660"/>
      <c r="AS7660"/>
      <c r="AT7660"/>
      <c r="AU7660"/>
      <c r="AV7660"/>
    </row>
    <row r="7661" spans="41:48" x14ac:dyDescent="0.35">
      <c r="AO7661"/>
      <c r="AP7661"/>
      <c r="AQ7661"/>
      <c r="AR7661"/>
      <c r="AS7661"/>
      <c r="AT7661"/>
      <c r="AU7661"/>
      <c r="AV7661"/>
    </row>
    <row r="7662" spans="41:48" x14ac:dyDescent="0.35">
      <c r="AO7662"/>
      <c r="AP7662"/>
      <c r="AQ7662"/>
      <c r="AR7662"/>
      <c r="AS7662"/>
      <c r="AT7662"/>
      <c r="AU7662"/>
      <c r="AV7662"/>
    </row>
    <row r="7663" spans="41:48" x14ac:dyDescent="0.35">
      <c r="AO7663"/>
      <c r="AP7663"/>
      <c r="AQ7663"/>
      <c r="AR7663"/>
      <c r="AS7663"/>
      <c r="AT7663"/>
      <c r="AU7663"/>
      <c r="AV7663"/>
    </row>
    <row r="7664" spans="41:48" x14ac:dyDescent="0.35">
      <c r="AO7664"/>
      <c r="AP7664"/>
      <c r="AQ7664"/>
      <c r="AR7664"/>
      <c r="AS7664"/>
      <c r="AT7664"/>
      <c r="AU7664"/>
      <c r="AV7664"/>
    </row>
    <row r="7665" spans="41:48" x14ac:dyDescent="0.35">
      <c r="AO7665"/>
      <c r="AP7665"/>
      <c r="AQ7665"/>
      <c r="AR7665"/>
      <c r="AS7665"/>
      <c r="AT7665"/>
      <c r="AU7665"/>
      <c r="AV7665"/>
    </row>
    <row r="7666" spans="41:48" x14ac:dyDescent="0.35">
      <c r="AO7666"/>
      <c r="AP7666"/>
      <c r="AQ7666"/>
      <c r="AR7666"/>
      <c r="AS7666"/>
      <c r="AT7666"/>
      <c r="AU7666"/>
      <c r="AV7666"/>
    </row>
    <row r="7667" spans="41:48" x14ac:dyDescent="0.35">
      <c r="AO7667"/>
      <c r="AP7667"/>
      <c r="AQ7667"/>
      <c r="AR7667"/>
      <c r="AS7667"/>
      <c r="AT7667"/>
      <c r="AU7667"/>
      <c r="AV7667"/>
    </row>
    <row r="7668" spans="41:48" x14ac:dyDescent="0.35">
      <c r="AO7668"/>
      <c r="AP7668"/>
      <c r="AQ7668"/>
      <c r="AR7668"/>
      <c r="AS7668"/>
      <c r="AT7668"/>
      <c r="AU7668"/>
      <c r="AV7668"/>
    </row>
    <row r="7669" spans="41:48" x14ac:dyDescent="0.35">
      <c r="AO7669"/>
      <c r="AP7669"/>
      <c r="AQ7669"/>
      <c r="AR7669"/>
      <c r="AS7669"/>
      <c r="AT7669"/>
      <c r="AU7669"/>
      <c r="AV7669"/>
    </row>
    <row r="7670" spans="41:48" x14ac:dyDescent="0.35">
      <c r="AO7670"/>
      <c r="AP7670"/>
      <c r="AQ7670"/>
      <c r="AR7670"/>
      <c r="AS7670"/>
      <c r="AT7670"/>
      <c r="AU7670"/>
      <c r="AV7670"/>
    </row>
    <row r="7671" spans="41:48" x14ac:dyDescent="0.35">
      <c r="AO7671"/>
      <c r="AP7671"/>
      <c r="AQ7671"/>
      <c r="AR7671"/>
      <c r="AS7671"/>
      <c r="AT7671"/>
      <c r="AU7671"/>
      <c r="AV7671"/>
    </row>
    <row r="7672" spans="41:48" x14ac:dyDescent="0.35">
      <c r="AO7672"/>
      <c r="AP7672"/>
      <c r="AQ7672"/>
      <c r="AR7672"/>
      <c r="AS7672"/>
      <c r="AT7672"/>
      <c r="AU7672"/>
      <c r="AV7672"/>
    </row>
    <row r="7673" spans="41:48" x14ac:dyDescent="0.35">
      <c r="AO7673"/>
      <c r="AP7673"/>
      <c r="AQ7673"/>
      <c r="AR7673"/>
      <c r="AS7673"/>
      <c r="AT7673"/>
      <c r="AU7673"/>
      <c r="AV7673"/>
    </row>
    <row r="7674" spans="41:48" x14ac:dyDescent="0.35">
      <c r="AO7674"/>
      <c r="AP7674"/>
      <c r="AQ7674"/>
      <c r="AR7674"/>
      <c r="AS7674"/>
      <c r="AT7674"/>
      <c r="AU7674"/>
      <c r="AV7674"/>
    </row>
    <row r="7675" spans="41:48" x14ac:dyDescent="0.35">
      <c r="AO7675"/>
      <c r="AP7675"/>
      <c r="AQ7675"/>
      <c r="AR7675"/>
      <c r="AS7675"/>
      <c r="AT7675"/>
      <c r="AU7675"/>
      <c r="AV7675"/>
    </row>
    <row r="7676" spans="41:48" x14ac:dyDescent="0.35">
      <c r="AO7676"/>
      <c r="AP7676"/>
      <c r="AQ7676"/>
      <c r="AR7676"/>
      <c r="AS7676"/>
      <c r="AT7676"/>
      <c r="AU7676"/>
      <c r="AV7676"/>
    </row>
    <row r="7677" spans="41:48" x14ac:dyDescent="0.35">
      <c r="AO7677"/>
      <c r="AP7677"/>
      <c r="AQ7677"/>
      <c r="AR7677"/>
      <c r="AS7677"/>
      <c r="AT7677"/>
      <c r="AU7677"/>
      <c r="AV7677"/>
    </row>
    <row r="7678" spans="41:48" x14ac:dyDescent="0.35">
      <c r="AO7678"/>
      <c r="AP7678"/>
      <c r="AQ7678"/>
      <c r="AR7678"/>
      <c r="AS7678"/>
      <c r="AT7678"/>
      <c r="AU7678"/>
      <c r="AV7678"/>
    </row>
    <row r="7679" spans="41:48" x14ac:dyDescent="0.35">
      <c r="AO7679"/>
      <c r="AP7679"/>
      <c r="AQ7679"/>
      <c r="AR7679"/>
      <c r="AS7679"/>
      <c r="AT7679"/>
      <c r="AU7679"/>
      <c r="AV7679"/>
    </row>
    <row r="7680" spans="41:48" x14ac:dyDescent="0.35">
      <c r="AO7680"/>
      <c r="AP7680"/>
      <c r="AQ7680"/>
      <c r="AR7680"/>
      <c r="AS7680"/>
      <c r="AT7680"/>
      <c r="AU7680"/>
      <c r="AV7680"/>
    </row>
    <row r="7681" spans="41:48" x14ac:dyDescent="0.35">
      <c r="AO7681"/>
      <c r="AP7681"/>
      <c r="AQ7681"/>
      <c r="AR7681"/>
      <c r="AS7681"/>
      <c r="AT7681"/>
      <c r="AU7681"/>
      <c r="AV7681"/>
    </row>
    <row r="7682" spans="41:48" x14ac:dyDescent="0.35">
      <c r="AO7682"/>
      <c r="AP7682"/>
      <c r="AQ7682"/>
      <c r="AR7682"/>
      <c r="AS7682"/>
      <c r="AT7682"/>
      <c r="AU7682"/>
      <c r="AV7682"/>
    </row>
    <row r="7683" spans="41:48" x14ac:dyDescent="0.35">
      <c r="AO7683"/>
      <c r="AP7683"/>
      <c r="AQ7683"/>
      <c r="AR7683"/>
      <c r="AS7683"/>
      <c r="AT7683"/>
      <c r="AU7683"/>
      <c r="AV7683"/>
    </row>
    <row r="7684" spans="41:48" x14ac:dyDescent="0.35">
      <c r="AO7684"/>
      <c r="AP7684"/>
      <c r="AQ7684"/>
      <c r="AR7684"/>
      <c r="AS7684"/>
      <c r="AT7684"/>
      <c r="AU7684"/>
      <c r="AV7684"/>
    </row>
    <row r="7685" spans="41:48" x14ac:dyDescent="0.35">
      <c r="AO7685"/>
      <c r="AP7685"/>
      <c r="AQ7685"/>
      <c r="AR7685"/>
      <c r="AS7685"/>
      <c r="AT7685"/>
      <c r="AU7685"/>
      <c r="AV7685"/>
    </row>
    <row r="7686" spans="41:48" x14ac:dyDescent="0.35">
      <c r="AO7686"/>
      <c r="AP7686"/>
      <c r="AQ7686"/>
      <c r="AR7686"/>
      <c r="AS7686"/>
      <c r="AT7686"/>
      <c r="AU7686"/>
      <c r="AV7686"/>
    </row>
    <row r="7687" spans="41:48" x14ac:dyDescent="0.35">
      <c r="AO7687"/>
      <c r="AP7687"/>
      <c r="AQ7687"/>
      <c r="AR7687"/>
      <c r="AS7687"/>
      <c r="AT7687"/>
      <c r="AU7687"/>
      <c r="AV7687"/>
    </row>
    <row r="7688" spans="41:48" x14ac:dyDescent="0.35">
      <c r="AO7688"/>
      <c r="AP7688"/>
      <c r="AQ7688"/>
      <c r="AR7688"/>
      <c r="AS7688"/>
      <c r="AT7688"/>
      <c r="AU7688"/>
      <c r="AV7688"/>
    </row>
    <row r="7689" spans="41:48" x14ac:dyDescent="0.35">
      <c r="AO7689"/>
      <c r="AP7689"/>
      <c r="AQ7689"/>
      <c r="AR7689"/>
      <c r="AS7689"/>
      <c r="AT7689"/>
      <c r="AU7689"/>
      <c r="AV7689"/>
    </row>
    <row r="7690" spans="41:48" x14ac:dyDescent="0.35">
      <c r="AO7690"/>
      <c r="AP7690"/>
      <c r="AQ7690"/>
      <c r="AR7690"/>
      <c r="AS7690"/>
      <c r="AT7690"/>
      <c r="AU7690"/>
      <c r="AV7690"/>
    </row>
    <row r="7691" spans="41:48" x14ac:dyDescent="0.35">
      <c r="AO7691"/>
      <c r="AP7691"/>
      <c r="AQ7691"/>
      <c r="AR7691"/>
      <c r="AS7691"/>
      <c r="AT7691"/>
      <c r="AU7691"/>
      <c r="AV7691"/>
    </row>
    <row r="7692" spans="41:48" x14ac:dyDescent="0.35">
      <c r="AO7692"/>
      <c r="AP7692"/>
      <c r="AQ7692"/>
      <c r="AR7692"/>
      <c r="AS7692"/>
      <c r="AT7692"/>
      <c r="AU7692"/>
      <c r="AV7692"/>
    </row>
    <row r="7693" spans="41:48" x14ac:dyDescent="0.35">
      <c r="AO7693"/>
      <c r="AP7693"/>
      <c r="AQ7693"/>
      <c r="AR7693"/>
      <c r="AS7693"/>
      <c r="AT7693"/>
      <c r="AU7693"/>
      <c r="AV7693"/>
    </row>
    <row r="7694" spans="41:48" x14ac:dyDescent="0.35">
      <c r="AO7694"/>
      <c r="AP7694"/>
      <c r="AQ7694"/>
      <c r="AR7694"/>
      <c r="AS7694"/>
      <c r="AT7694"/>
      <c r="AU7694"/>
      <c r="AV7694"/>
    </row>
    <row r="7695" spans="41:48" x14ac:dyDescent="0.35">
      <c r="AO7695"/>
      <c r="AP7695"/>
      <c r="AQ7695"/>
      <c r="AR7695"/>
      <c r="AS7695"/>
      <c r="AT7695"/>
      <c r="AU7695"/>
      <c r="AV7695"/>
    </row>
    <row r="7696" spans="41:48" x14ac:dyDescent="0.35">
      <c r="AO7696"/>
      <c r="AP7696"/>
      <c r="AQ7696"/>
      <c r="AR7696"/>
      <c r="AS7696"/>
      <c r="AT7696"/>
      <c r="AU7696"/>
      <c r="AV7696"/>
    </row>
    <row r="7697" spans="41:48" x14ac:dyDescent="0.35">
      <c r="AO7697"/>
      <c r="AP7697"/>
      <c r="AQ7697"/>
      <c r="AR7697"/>
      <c r="AS7697"/>
      <c r="AT7697"/>
      <c r="AU7697"/>
      <c r="AV7697"/>
    </row>
    <row r="7698" spans="41:48" x14ac:dyDescent="0.35">
      <c r="AO7698"/>
      <c r="AP7698"/>
      <c r="AQ7698"/>
      <c r="AR7698"/>
      <c r="AS7698"/>
      <c r="AT7698"/>
      <c r="AU7698"/>
      <c r="AV7698"/>
    </row>
    <row r="7699" spans="41:48" x14ac:dyDescent="0.35">
      <c r="AO7699"/>
      <c r="AP7699"/>
      <c r="AQ7699"/>
      <c r="AR7699"/>
      <c r="AS7699"/>
      <c r="AT7699"/>
      <c r="AU7699"/>
      <c r="AV7699"/>
    </row>
    <row r="7700" spans="41:48" x14ac:dyDescent="0.35">
      <c r="AO7700"/>
      <c r="AP7700"/>
      <c r="AQ7700"/>
      <c r="AR7700"/>
      <c r="AS7700"/>
      <c r="AT7700"/>
      <c r="AU7700"/>
      <c r="AV7700"/>
    </row>
    <row r="7701" spans="41:48" x14ac:dyDescent="0.35">
      <c r="AO7701"/>
      <c r="AP7701"/>
      <c r="AQ7701"/>
      <c r="AR7701"/>
      <c r="AS7701"/>
      <c r="AT7701"/>
      <c r="AU7701"/>
      <c r="AV7701"/>
    </row>
    <row r="7702" spans="41:48" x14ac:dyDescent="0.35">
      <c r="AO7702"/>
      <c r="AP7702"/>
      <c r="AQ7702"/>
      <c r="AR7702"/>
      <c r="AS7702"/>
      <c r="AT7702"/>
      <c r="AU7702"/>
      <c r="AV7702"/>
    </row>
    <row r="7703" spans="41:48" x14ac:dyDescent="0.35">
      <c r="AO7703"/>
      <c r="AP7703"/>
      <c r="AQ7703"/>
      <c r="AR7703"/>
      <c r="AS7703"/>
      <c r="AT7703"/>
      <c r="AU7703"/>
      <c r="AV7703"/>
    </row>
    <row r="7704" spans="41:48" x14ac:dyDescent="0.35">
      <c r="AO7704"/>
      <c r="AP7704"/>
      <c r="AQ7704"/>
      <c r="AR7704"/>
      <c r="AS7704"/>
      <c r="AT7704"/>
      <c r="AU7704"/>
      <c r="AV7704"/>
    </row>
    <row r="7705" spans="41:48" x14ac:dyDescent="0.35">
      <c r="AO7705"/>
      <c r="AP7705"/>
      <c r="AQ7705"/>
      <c r="AR7705"/>
      <c r="AS7705"/>
      <c r="AT7705"/>
      <c r="AU7705"/>
      <c r="AV7705"/>
    </row>
    <row r="7706" spans="41:48" x14ac:dyDescent="0.35">
      <c r="AO7706"/>
      <c r="AP7706"/>
      <c r="AQ7706"/>
      <c r="AR7706"/>
      <c r="AS7706"/>
      <c r="AT7706"/>
      <c r="AU7706"/>
      <c r="AV7706"/>
    </row>
    <row r="7707" spans="41:48" x14ac:dyDescent="0.35">
      <c r="AO7707"/>
      <c r="AP7707"/>
      <c r="AQ7707"/>
      <c r="AR7707"/>
      <c r="AS7707"/>
      <c r="AT7707"/>
      <c r="AU7707"/>
      <c r="AV7707"/>
    </row>
    <row r="7708" spans="41:48" x14ac:dyDescent="0.35">
      <c r="AO7708"/>
      <c r="AP7708"/>
      <c r="AQ7708"/>
      <c r="AR7708"/>
      <c r="AS7708"/>
      <c r="AT7708"/>
      <c r="AU7708"/>
      <c r="AV7708"/>
    </row>
    <row r="7709" spans="41:48" x14ac:dyDescent="0.35">
      <c r="AO7709"/>
      <c r="AP7709"/>
      <c r="AQ7709"/>
      <c r="AR7709"/>
      <c r="AS7709"/>
      <c r="AT7709"/>
      <c r="AU7709"/>
      <c r="AV7709"/>
    </row>
    <row r="7710" spans="41:48" x14ac:dyDescent="0.35">
      <c r="AO7710"/>
      <c r="AP7710"/>
      <c r="AQ7710"/>
      <c r="AR7710"/>
      <c r="AS7710"/>
      <c r="AT7710"/>
      <c r="AU7710"/>
      <c r="AV7710"/>
    </row>
    <row r="7711" spans="41:48" x14ac:dyDescent="0.35">
      <c r="AO7711"/>
      <c r="AP7711"/>
      <c r="AQ7711"/>
      <c r="AR7711"/>
      <c r="AS7711"/>
      <c r="AT7711"/>
      <c r="AU7711"/>
      <c r="AV7711"/>
    </row>
    <row r="7712" spans="41:48" x14ac:dyDescent="0.35">
      <c r="AO7712"/>
      <c r="AP7712"/>
      <c r="AQ7712"/>
      <c r="AR7712"/>
      <c r="AS7712"/>
      <c r="AT7712"/>
      <c r="AU7712"/>
      <c r="AV7712"/>
    </row>
    <row r="7713" spans="41:48" x14ac:dyDescent="0.35">
      <c r="AO7713"/>
      <c r="AP7713"/>
      <c r="AQ7713"/>
      <c r="AR7713"/>
      <c r="AS7713"/>
      <c r="AT7713"/>
      <c r="AU7713"/>
      <c r="AV7713"/>
    </row>
    <row r="7714" spans="41:48" x14ac:dyDescent="0.35">
      <c r="AO7714"/>
      <c r="AP7714"/>
      <c r="AQ7714"/>
      <c r="AR7714"/>
      <c r="AS7714"/>
      <c r="AT7714"/>
      <c r="AU7714"/>
      <c r="AV7714"/>
    </row>
    <row r="7715" spans="41:48" x14ac:dyDescent="0.35">
      <c r="AO7715"/>
      <c r="AP7715"/>
      <c r="AQ7715"/>
      <c r="AR7715"/>
      <c r="AS7715"/>
      <c r="AT7715"/>
      <c r="AU7715"/>
      <c r="AV7715"/>
    </row>
    <row r="7716" spans="41:48" x14ac:dyDescent="0.35">
      <c r="AO7716"/>
      <c r="AP7716"/>
      <c r="AQ7716"/>
      <c r="AR7716"/>
      <c r="AS7716"/>
      <c r="AT7716"/>
      <c r="AU7716"/>
      <c r="AV7716"/>
    </row>
    <row r="7717" spans="41:48" x14ac:dyDescent="0.35">
      <c r="AO7717"/>
      <c r="AP7717"/>
      <c r="AQ7717"/>
      <c r="AR7717"/>
      <c r="AS7717"/>
      <c r="AT7717"/>
      <c r="AU7717"/>
      <c r="AV7717"/>
    </row>
    <row r="7718" spans="41:48" x14ac:dyDescent="0.35">
      <c r="AO7718"/>
      <c r="AP7718"/>
      <c r="AQ7718"/>
      <c r="AR7718"/>
      <c r="AS7718"/>
      <c r="AT7718"/>
      <c r="AU7718"/>
      <c r="AV7718"/>
    </row>
    <row r="7719" spans="41:48" x14ac:dyDescent="0.35">
      <c r="AO7719"/>
      <c r="AP7719"/>
      <c r="AQ7719"/>
      <c r="AR7719"/>
      <c r="AS7719"/>
      <c r="AT7719"/>
      <c r="AU7719"/>
      <c r="AV7719"/>
    </row>
    <row r="7720" spans="41:48" x14ac:dyDescent="0.35">
      <c r="AO7720"/>
      <c r="AP7720"/>
      <c r="AQ7720"/>
      <c r="AR7720"/>
      <c r="AS7720"/>
      <c r="AT7720"/>
      <c r="AU7720"/>
      <c r="AV7720"/>
    </row>
    <row r="7721" spans="41:48" x14ac:dyDescent="0.35">
      <c r="AO7721"/>
      <c r="AP7721"/>
      <c r="AQ7721"/>
      <c r="AR7721"/>
      <c r="AS7721"/>
      <c r="AT7721"/>
      <c r="AU7721"/>
      <c r="AV7721"/>
    </row>
    <row r="7722" spans="41:48" x14ac:dyDescent="0.35">
      <c r="AO7722"/>
      <c r="AP7722"/>
      <c r="AQ7722"/>
      <c r="AR7722"/>
      <c r="AS7722"/>
      <c r="AT7722"/>
      <c r="AU7722"/>
      <c r="AV7722"/>
    </row>
    <row r="7723" spans="41:48" x14ac:dyDescent="0.35">
      <c r="AO7723"/>
      <c r="AP7723"/>
      <c r="AQ7723"/>
      <c r="AR7723"/>
      <c r="AS7723"/>
      <c r="AT7723"/>
      <c r="AU7723"/>
      <c r="AV7723"/>
    </row>
    <row r="7724" spans="41:48" x14ac:dyDescent="0.35">
      <c r="AO7724"/>
      <c r="AP7724"/>
      <c r="AQ7724"/>
      <c r="AR7724"/>
      <c r="AS7724"/>
      <c r="AT7724"/>
      <c r="AU7724"/>
      <c r="AV7724"/>
    </row>
    <row r="7725" spans="41:48" x14ac:dyDescent="0.35">
      <c r="AO7725"/>
      <c r="AP7725"/>
      <c r="AQ7725"/>
      <c r="AR7725"/>
      <c r="AS7725"/>
      <c r="AT7725"/>
      <c r="AU7725"/>
      <c r="AV7725"/>
    </row>
    <row r="7726" spans="41:48" x14ac:dyDescent="0.35">
      <c r="AO7726"/>
      <c r="AP7726"/>
      <c r="AQ7726"/>
      <c r="AR7726"/>
      <c r="AS7726"/>
      <c r="AT7726"/>
      <c r="AU7726"/>
      <c r="AV7726"/>
    </row>
    <row r="7727" spans="41:48" x14ac:dyDescent="0.35">
      <c r="AO7727"/>
      <c r="AP7727"/>
      <c r="AQ7727"/>
      <c r="AR7727"/>
      <c r="AS7727"/>
      <c r="AT7727"/>
      <c r="AU7727"/>
      <c r="AV7727"/>
    </row>
    <row r="7728" spans="41:48" x14ac:dyDescent="0.35">
      <c r="AO7728"/>
      <c r="AP7728"/>
      <c r="AQ7728"/>
      <c r="AR7728"/>
      <c r="AS7728"/>
      <c r="AT7728"/>
      <c r="AU7728"/>
      <c r="AV7728"/>
    </row>
    <row r="7729" spans="41:48" x14ac:dyDescent="0.35">
      <c r="AO7729"/>
      <c r="AP7729"/>
      <c r="AQ7729"/>
      <c r="AR7729"/>
      <c r="AS7729"/>
      <c r="AT7729"/>
      <c r="AU7729"/>
      <c r="AV7729"/>
    </row>
    <row r="7730" spans="41:48" x14ac:dyDescent="0.35">
      <c r="AO7730"/>
      <c r="AP7730"/>
      <c r="AQ7730"/>
      <c r="AR7730"/>
      <c r="AS7730"/>
      <c r="AT7730"/>
      <c r="AU7730"/>
      <c r="AV7730"/>
    </row>
    <row r="7731" spans="41:48" x14ac:dyDescent="0.35">
      <c r="AO7731"/>
      <c r="AP7731"/>
      <c r="AQ7731"/>
      <c r="AR7731"/>
      <c r="AS7731"/>
      <c r="AT7731"/>
      <c r="AU7731"/>
      <c r="AV7731"/>
    </row>
    <row r="7732" spans="41:48" x14ac:dyDescent="0.35">
      <c r="AO7732"/>
      <c r="AP7732"/>
      <c r="AQ7732"/>
      <c r="AR7732"/>
      <c r="AS7732"/>
      <c r="AT7732"/>
      <c r="AU7732"/>
      <c r="AV7732"/>
    </row>
    <row r="7733" spans="41:48" x14ac:dyDescent="0.35">
      <c r="AO7733"/>
      <c r="AP7733"/>
      <c r="AQ7733"/>
      <c r="AR7733"/>
      <c r="AS7733"/>
      <c r="AT7733"/>
      <c r="AU7733"/>
      <c r="AV7733"/>
    </row>
    <row r="7734" spans="41:48" x14ac:dyDescent="0.35">
      <c r="AO7734"/>
      <c r="AP7734"/>
      <c r="AQ7734"/>
      <c r="AR7734"/>
      <c r="AS7734"/>
      <c r="AT7734"/>
      <c r="AU7734"/>
      <c r="AV7734"/>
    </row>
    <row r="7735" spans="41:48" x14ac:dyDescent="0.35">
      <c r="AO7735"/>
      <c r="AP7735"/>
      <c r="AQ7735"/>
      <c r="AR7735"/>
      <c r="AS7735"/>
      <c r="AT7735"/>
      <c r="AU7735"/>
      <c r="AV7735"/>
    </row>
    <row r="7736" spans="41:48" x14ac:dyDescent="0.35">
      <c r="AO7736"/>
      <c r="AP7736"/>
      <c r="AQ7736"/>
      <c r="AR7736"/>
      <c r="AS7736"/>
      <c r="AT7736"/>
      <c r="AU7736"/>
      <c r="AV7736"/>
    </row>
    <row r="7737" spans="41:48" x14ac:dyDescent="0.35">
      <c r="AO7737"/>
      <c r="AP7737"/>
      <c r="AQ7737"/>
      <c r="AR7737"/>
      <c r="AS7737"/>
      <c r="AT7737"/>
      <c r="AU7737"/>
      <c r="AV7737"/>
    </row>
    <row r="7738" spans="41:48" x14ac:dyDescent="0.35">
      <c r="AO7738"/>
      <c r="AP7738"/>
      <c r="AQ7738"/>
      <c r="AR7738"/>
      <c r="AS7738"/>
      <c r="AT7738"/>
      <c r="AU7738"/>
      <c r="AV7738"/>
    </row>
    <row r="7739" spans="41:48" x14ac:dyDescent="0.35">
      <c r="AO7739"/>
      <c r="AP7739"/>
      <c r="AQ7739"/>
      <c r="AR7739"/>
      <c r="AS7739"/>
      <c r="AT7739"/>
      <c r="AU7739"/>
      <c r="AV7739"/>
    </row>
    <row r="7740" spans="41:48" x14ac:dyDescent="0.35">
      <c r="AO7740"/>
      <c r="AP7740"/>
      <c r="AQ7740"/>
      <c r="AR7740"/>
      <c r="AS7740"/>
      <c r="AT7740"/>
      <c r="AU7740"/>
      <c r="AV7740"/>
    </row>
    <row r="7741" spans="41:48" x14ac:dyDescent="0.35">
      <c r="AO7741"/>
      <c r="AP7741"/>
      <c r="AQ7741"/>
      <c r="AR7741"/>
      <c r="AS7741"/>
      <c r="AT7741"/>
      <c r="AU7741"/>
      <c r="AV7741"/>
    </row>
    <row r="7742" spans="41:48" x14ac:dyDescent="0.35">
      <c r="AO7742"/>
      <c r="AP7742"/>
      <c r="AQ7742"/>
      <c r="AR7742"/>
      <c r="AS7742"/>
      <c r="AT7742"/>
      <c r="AU7742"/>
      <c r="AV7742"/>
    </row>
    <row r="7743" spans="41:48" x14ac:dyDescent="0.35">
      <c r="AO7743"/>
      <c r="AP7743"/>
      <c r="AQ7743"/>
      <c r="AR7743"/>
      <c r="AS7743"/>
      <c r="AT7743"/>
      <c r="AU7743"/>
      <c r="AV7743"/>
    </row>
    <row r="7744" spans="41:48" x14ac:dyDescent="0.35">
      <c r="AO7744"/>
      <c r="AP7744"/>
      <c r="AQ7744"/>
      <c r="AR7744"/>
      <c r="AS7744"/>
      <c r="AT7744"/>
      <c r="AU7744"/>
      <c r="AV7744"/>
    </row>
    <row r="7745" spans="41:48" x14ac:dyDescent="0.35">
      <c r="AO7745"/>
      <c r="AP7745"/>
      <c r="AQ7745"/>
      <c r="AR7745"/>
      <c r="AS7745"/>
      <c r="AT7745"/>
      <c r="AU7745"/>
      <c r="AV7745"/>
    </row>
    <row r="7746" spans="41:48" x14ac:dyDescent="0.35">
      <c r="AO7746"/>
      <c r="AP7746"/>
      <c r="AQ7746"/>
      <c r="AR7746"/>
      <c r="AS7746"/>
      <c r="AT7746"/>
      <c r="AU7746"/>
      <c r="AV7746"/>
    </row>
    <row r="7747" spans="41:48" x14ac:dyDescent="0.35">
      <c r="AO7747"/>
      <c r="AP7747"/>
      <c r="AQ7747"/>
      <c r="AR7747"/>
      <c r="AS7747"/>
      <c r="AT7747"/>
      <c r="AU7747"/>
      <c r="AV7747"/>
    </row>
    <row r="7748" spans="41:48" x14ac:dyDescent="0.35">
      <c r="AO7748"/>
      <c r="AP7748"/>
      <c r="AQ7748"/>
      <c r="AR7748"/>
      <c r="AS7748"/>
      <c r="AT7748"/>
      <c r="AU7748"/>
      <c r="AV7748"/>
    </row>
    <row r="7749" spans="41:48" x14ac:dyDescent="0.35">
      <c r="AO7749"/>
      <c r="AP7749"/>
      <c r="AQ7749"/>
      <c r="AR7749"/>
      <c r="AS7749"/>
      <c r="AT7749"/>
      <c r="AU7749"/>
      <c r="AV7749"/>
    </row>
    <row r="7750" spans="41:48" x14ac:dyDescent="0.35">
      <c r="AO7750"/>
      <c r="AP7750"/>
      <c r="AQ7750"/>
      <c r="AR7750"/>
      <c r="AS7750"/>
      <c r="AT7750"/>
      <c r="AU7750"/>
      <c r="AV7750"/>
    </row>
    <row r="7751" spans="41:48" x14ac:dyDescent="0.35">
      <c r="AO7751"/>
      <c r="AP7751"/>
      <c r="AQ7751"/>
      <c r="AR7751"/>
      <c r="AS7751"/>
      <c r="AT7751"/>
      <c r="AU7751"/>
      <c r="AV7751"/>
    </row>
    <row r="7752" spans="41:48" x14ac:dyDescent="0.35">
      <c r="AO7752"/>
      <c r="AP7752"/>
      <c r="AQ7752"/>
      <c r="AR7752"/>
      <c r="AS7752"/>
      <c r="AT7752"/>
      <c r="AU7752"/>
      <c r="AV7752"/>
    </row>
    <row r="7753" spans="41:48" x14ac:dyDescent="0.35">
      <c r="AO7753"/>
      <c r="AP7753"/>
      <c r="AQ7753"/>
      <c r="AR7753"/>
      <c r="AS7753"/>
      <c r="AT7753"/>
      <c r="AU7753"/>
      <c r="AV7753"/>
    </row>
    <row r="7754" spans="41:48" x14ac:dyDescent="0.35">
      <c r="AO7754"/>
      <c r="AP7754"/>
      <c r="AQ7754"/>
      <c r="AR7754"/>
      <c r="AS7754"/>
      <c r="AT7754"/>
      <c r="AU7754"/>
      <c r="AV7754"/>
    </row>
    <row r="7755" spans="41:48" x14ac:dyDescent="0.35">
      <c r="AO7755"/>
      <c r="AP7755"/>
      <c r="AQ7755"/>
      <c r="AR7755"/>
      <c r="AS7755"/>
      <c r="AT7755"/>
      <c r="AU7755"/>
      <c r="AV7755"/>
    </row>
    <row r="7756" spans="41:48" x14ac:dyDescent="0.35">
      <c r="AO7756"/>
      <c r="AP7756"/>
      <c r="AQ7756"/>
      <c r="AR7756"/>
      <c r="AS7756"/>
      <c r="AT7756"/>
      <c r="AU7756"/>
      <c r="AV7756"/>
    </row>
    <row r="7757" spans="41:48" x14ac:dyDescent="0.35">
      <c r="AO7757"/>
      <c r="AP7757"/>
      <c r="AQ7757"/>
      <c r="AR7757"/>
      <c r="AS7757"/>
      <c r="AT7757"/>
      <c r="AU7757"/>
      <c r="AV7757"/>
    </row>
    <row r="7758" spans="41:48" x14ac:dyDescent="0.35">
      <c r="AO7758"/>
      <c r="AP7758"/>
      <c r="AQ7758"/>
      <c r="AR7758"/>
      <c r="AS7758"/>
      <c r="AT7758"/>
      <c r="AU7758"/>
      <c r="AV7758"/>
    </row>
    <row r="7759" spans="41:48" x14ac:dyDescent="0.35">
      <c r="AO7759"/>
      <c r="AP7759"/>
      <c r="AQ7759"/>
      <c r="AR7759"/>
      <c r="AS7759"/>
      <c r="AT7759"/>
      <c r="AU7759"/>
      <c r="AV7759"/>
    </row>
    <row r="7760" spans="41:48" x14ac:dyDescent="0.35">
      <c r="AO7760"/>
      <c r="AP7760"/>
      <c r="AQ7760"/>
      <c r="AR7760"/>
      <c r="AS7760"/>
      <c r="AT7760"/>
      <c r="AU7760"/>
      <c r="AV7760"/>
    </row>
    <row r="7761" spans="41:48" x14ac:dyDescent="0.35">
      <c r="AO7761"/>
      <c r="AP7761"/>
      <c r="AQ7761"/>
      <c r="AR7761"/>
      <c r="AS7761"/>
      <c r="AT7761"/>
      <c r="AU7761"/>
      <c r="AV7761"/>
    </row>
    <row r="7762" spans="41:48" x14ac:dyDescent="0.35">
      <c r="AO7762"/>
      <c r="AP7762"/>
      <c r="AQ7762"/>
      <c r="AR7762"/>
      <c r="AS7762"/>
      <c r="AT7762"/>
      <c r="AU7762"/>
      <c r="AV7762"/>
    </row>
    <row r="7763" spans="41:48" x14ac:dyDescent="0.35">
      <c r="AO7763"/>
      <c r="AP7763"/>
      <c r="AQ7763"/>
      <c r="AR7763"/>
      <c r="AS7763"/>
      <c r="AT7763"/>
      <c r="AU7763"/>
      <c r="AV7763"/>
    </row>
    <row r="7764" spans="41:48" x14ac:dyDescent="0.35">
      <c r="AO7764"/>
      <c r="AP7764"/>
      <c r="AQ7764"/>
      <c r="AR7764"/>
      <c r="AS7764"/>
      <c r="AT7764"/>
      <c r="AU7764"/>
      <c r="AV7764"/>
    </row>
    <row r="7765" spans="41:48" x14ac:dyDescent="0.35">
      <c r="AO7765"/>
      <c r="AP7765"/>
      <c r="AQ7765"/>
      <c r="AR7765"/>
      <c r="AS7765"/>
      <c r="AT7765"/>
      <c r="AU7765"/>
      <c r="AV7765"/>
    </row>
    <row r="7766" spans="41:48" x14ac:dyDescent="0.35">
      <c r="AO7766"/>
      <c r="AP7766"/>
      <c r="AQ7766"/>
      <c r="AR7766"/>
      <c r="AS7766"/>
      <c r="AT7766"/>
      <c r="AU7766"/>
      <c r="AV7766"/>
    </row>
    <row r="7767" spans="41:48" x14ac:dyDescent="0.35">
      <c r="AO7767"/>
      <c r="AP7767"/>
      <c r="AQ7767"/>
      <c r="AR7767"/>
      <c r="AS7767"/>
      <c r="AT7767"/>
      <c r="AU7767"/>
      <c r="AV7767"/>
    </row>
    <row r="7768" spans="41:48" x14ac:dyDescent="0.35">
      <c r="AO7768"/>
      <c r="AP7768"/>
      <c r="AQ7768"/>
      <c r="AR7768"/>
      <c r="AS7768"/>
      <c r="AT7768"/>
      <c r="AU7768"/>
      <c r="AV7768"/>
    </row>
    <row r="7769" spans="41:48" x14ac:dyDescent="0.35">
      <c r="AO7769"/>
      <c r="AP7769"/>
      <c r="AQ7769"/>
      <c r="AR7769"/>
      <c r="AS7769"/>
      <c r="AT7769"/>
      <c r="AU7769"/>
      <c r="AV7769"/>
    </row>
    <row r="7770" spans="41:48" x14ac:dyDescent="0.35">
      <c r="AO7770"/>
      <c r="AP7770"/>
      <c r="AQ7770"/>
      <c r="AR7770"/>
      <c r="AS7770"/>
      <c r="AT7770"/>
      <c r="AU7770"/>
      <c r="AV7770"/>
    </row>
    <row r="7771" spans="41:48" x14ac:dyDescent="0.35">
      <c r="AO7771"/>
      <c r="AP7771"/>
      <c r="AQ7771"/>
      <c r="AR7771"/>
      <c r="AS7771"/>
      <c r="AT7771"/>
      <c r="AU7771"/>
      <c r="AV7771"/>
    </row>
    <row r="7772" spans="41:48" x14ac:dyDescent="0.35">
      <c r="AO7772"/>
      <c r="AP7772"/>
      <c r="AQ7772"/>
      <c r="AR7772"/>
      <c r="AS7772"/>
      <c r="AT7772"/>
      <c r="AU7772"/>
      <c r="AV7772"/>
    </row>
    <row r="7773" spans="41:48" x14ac:dyDescent="0.35">
      <c r="AO7773"/>
      <c r="AP7773"/>
      <c r="AQ7773"/>
      <c r="AR7773"/>
      <c r="AS7773"/>
      <c r="AT7773"/>
      <c r="AU7773"/>
      <c r="AV7773"/>
    </row>
    <row r="7774" spans="41:48" x14ac:dyDescent="0.35">
      <c r="AO7774"/>
      <c r="AP7774"/>
      <c r="AQ7774"/>
      <c r="AR7774"/>
      <c r="AS7774"/>
      <c r="AT7774"/>
      <c r="AU7774"/>
      <c r="AV7774"/>
    </row>
    <row r="7775" spans="41:48" x14ac:dyDescent="0.35">
      <c r="AO7775"/>
      <c r="AP7775"/>
      <c r="AQ7775"/>
      <c r="AR7775"/>
      <c r="AS7775"/>
      <c r="AT7775"/>
      <c r="AU7775"/>
      <c r="AV7775"/>
    </row>
    <row r="7776" spans="41:48" x14ac:dyDescent="0.35">
      <c r="AO7776"/>
      <c r="AP7776"/>
      <c r="AQ7776"/>
      <c r="AR7776"/>
      <c r="AS7776"/>
      <c r="AT7776"/>
      <c r="AU7776"/>
      <c r="AV7776"/>
    </row>
    <row r="7777" spans="41:48" x14ac:dyDescent="0.35">
      <c r="AO7777"/>
      <c r="AP7777"/>
      <c r="AQ7777"/>
      <c r="AR7777"/>
      <c r="AS7777"/>
      <c r="AT7777"/>
      <c r="AU7777"/>
      <c r="AV7777"/>
    </row>
    <row r="7778" spans="41:48" x14ac:dyDescent="0.35">
      <c r="AO7778"/>
      <c r="AP7778"/>
      <c r="AQ7778"/>
      <c r="AR7778"/>
      <c r="AS7778"/>
      <c r="AT7778"/>
      <c r="AU7778"/>
      <c r="AV7778"/>
    </row>
    <row r="7779" spans="41:48" x14ac:dyDescent="0.35">
      <c r="AO7779"/>
      <c r="AP7779"/>
      <c r="AQ7779"/>
      <c r="AR7779"/>
      <c r="AS7779"/>
      <c r="AT7779"/>
      <c r="AU7779"/>
      <c r="AV7779"/>
    </row>
    <row r="7780" spans="41:48" x14ac:dyDescent="0.35">
      <c r="AO7780"/>
      <c r="AP7780"/>
      <c r="AQ7780"/>
      <c r="AR7780"/>
      <c r="AS7780"/>
      <c r="AT7780"/>
      <c r="AU7780"/>
      <c r="AV7780"/>
    </row>
    <row r="7781" spans="41:48" x14ac:dyDescent="0.35">
      <c r="AO7781"/>
      <c r="AP7781"/>
      <c r="AQ7781"/>
      <c r="AR7781"/>
      <c r="AS7781"/>
      <c r="AT7781"/>
      <c r="AU7781"/>
      <c r="AV7781"/>
    </row>
    <row r="7782" spans="41:48" x14ac:dyDescent="0.35">
      <c r="AO7782"/>
      <c r="AP7782"/>
      <c r="AQ7782"/>
      <c r="AR7782"/>
      <c r="AS7782"/>
      <c r="AT7782"/>
      <c r="AU7782"/>
      <c r="AV7782"/>
    </row>
    <row r="7783" spans="41:48" x14ac:dyDescent="0.35">
      <c r="AO7783"/>
      <c r="AP7783"/>
      <c r="AQ7783"/>
      <c r="AR7783"/>
      <c r="AS7783"/>
      <c r="AT7783"/>
      <c r="AU7783"/>
      <c r="AV7783"/>
    </row>
    <row r="7784" spans="41:48" x14ac:dyDescent="0.35">
      <c r="AO7784"/>
      <c r="AP7784"/>
      <c r="AQ7784"/>
      <c r="AR7784"/>
      <c r="AS7784"/>
      <c r="AT7784"/>
      <c r="AU7784"/>
      <c r="AV7784"/>
    </row>
    <row r="7785" spans="41:48" x14ac:dyDescent="0.35">
      <c r="AO7785"/>
      <c r="AP7785"/>
      <c r="AQ7785"/>
      <c r="AR7785"/>
      <c r="AS7785"/>
      <c r="AT7785"/>
      <c r="AU7785"/>
      <c r="AV7785"/>
    </row>
    <row r="7786" spans="41:48" x14ac:dyDescent="0.35">
      <c r="AO7786"/>
      <c r="AP7786"/>
      <c r="AQ7786"/>
      <c r="AR7786"/>
      <c r="AS7786"/>
      <c r="AT7786"/>
      <c r="AU7786"/>
      <c r="AV7786"/>
    </row>
    <row r="7787" spans="41:48" x14ac:dyDescent="0.35">
      <c r="AO7787"/>
      <c r="AP7787"/>
      <c r="AQ7787"/>
      <c r="AR7787"/>
      <c r="AS7787"/>
      <c r="AT7787"/>
      <c r="AU7787"/>
      <c r="AV7787"/>
    </row>
    <row r="7788" spans="41:48" x14ac:dyDescent="0.35">
      <c r="AO7788"/>
      <c r="AP7788"/>
      <c r="AQ7788"/>
      <c r="AR7788"/>
      <c r="AS7788"/>
      <c r="AT7788"/>
      <c r="AU7788"/>
      <c r="AV7788"/>
    </row>
    <row r="7789" spans="41:48" x14ac:dyDescent="0.35">
      <c r="AO7789"/>
      <c r="AP7789"/>
      <c r="AQ7789"/>
      <c r="AR7789"/>
      <c r="AS7789"/>
      <c r="AT7789"/>
      <c r="AU7789"/>
      <c r="AV7789"/>
    </row>
    <row r="7790" spans="41:48" x14ac:dyDescent="0.35">
      <c r="AO7790"/>
      <c r="AP7790"/>
      <c r="AQ7790"/>
      <c r="AR7790"/>
      <c r="AS7790"/>
      <c r="AT7790"/>
      <c r="AU7790"/>
      <c r="AV7790"/>
    </row>
    <row r="7791" spans="41:48" x14ac:dyDescent="0.35">
      <c r="AO7791"/>
      <c r="AP7791"/>
      <c r="AQ7791"/>
      <c r="AR7791"/>
      <c r="AS7791"/>
      <c r="AT7791"/>
      <c r="AU7791"/>
      <c r="AV7791"/>
    </row>
    <row r="7792" spans="41:48" x14ac:dyDescent="0.35">
      <c r="AO7792"/>
      <c r="AP7792"/>
      <c r="AQ7792"/>
      <c r="AR7792"/>
      <c r="AS7792"/>
      <c r="AT7792"/>
      <c r="AU7792"/>
      <c r="AV7792"/>
    </row>
    <row r="7793" spans="41:48" x14ac:dyDescent="0.35">
      <c r="AO7793"/>
      <c r="AP7793"/>
      <c r="AQ7793"/>
      <c r="AR7793"/>
      <c r="AS7793"/>
      <c r="AT7793"/>
      <c r="AU7793"/>
      <c r="AV7793"/>
    </row>
    <row r="7794" spans="41:48" x14ac:dyDescent="0.35">
      <c r="AO7794"/>
      <c r="AP7794"/>
      <c r="AQ7794"/>
      <c r="AR7794"/>
      <c r="AS7794"/>
      <c r="AT7794"/>
      <c r="AU7794"/>
      <c r="AV7794"/>
    </row>
    <row r="7795" spans="41:48" x14ac:dyDescent="0.35">
      <c r="AO7795"/>
      <c r="AP7795"/>
      <c r="AQ7795"/>
      <c r="AR7795"/>
      <c r="AS7795"/>
      <c r="AT7795"/>
      <c r="AU7795"/>
      <c r="AV7795"/>
    </row>
    <row r="7796" spans="41:48" x14ac:dyDescent="0.35">
      <c r="AO7796"/>
      <c r="AP7796"/>
      <c r="AQ7796"/>
      <c r="AR7796"/>
      <c r="AS7796"/>
      <c r="AT7796"/>
      <c r="AU7796"/>
      <c r="AV7796"/>
    </row>
    <row r="7797" spans="41:48" x14ac:dyDescent="0.35">
      <c r="AO7797"/>
      <c r="AP7797"/>
      <c r="AQ7797"/>
      <c r="AR7797"/>
      <c r="AS7797"/>
      <c r="AT7797"/>
      <c r="AU7797"/>
      <c r="AV7797"/>
    </row>
    <row r="7798" spans="41:48" x14ac:dyDescent="0.35">
      <c r="AO7798"/>
      <c r="AP7798"/>
      <c r="AQ7798"/>
      <c r="AR7798"/>
      <c r="AS7798"/>
      <c r="AT7798"/>
      <c r="AU7798"/>
      <c r="AV7798"/>
    </row>
    <row r="7799" spans="41:48" x14ac:dyDescent="0.35">
      <c r="AO7799"/>
      <c r="AP7799"/>
      <c r="AQ7799"/>
      <c r="AR7799"/>
      <c r="AS7799"/>
      <c r="AT7799"/>
      <c r="AU7799"/>
      <c r="AV7799"/>
    </row>
    <row r="7800" spans="41:48" x14ac:dyDescent="0.35">
      <c r="AO7800"/>
      <c r="AP7800"/>
      <c r="AQ7800"/>
      <c r="AR7800"/>
      <c r="AS7800"/>
      <c r="AT7800"/>
      <c r="AU7800"/>
      <c r="AV7800"/>
    </row>
    <row r="7801" spans="41:48" x14ac:dyDescent="0.35">
      <c r="AO7801"/>
      <c r="AP7801"/>
      <c r="AQ7801"/>
      <c r="AR7801"/>
      <c r="AS7801"/>
      <c r="AT7801"/>
      <c r="AU7801"/>
      <c r="AV7801"/>
    </row>
    <row r="7802" spans="41:48" x14ac:dyDescent="0.35">
      <c r="AO7802"/>
      <c r="AP7802"/>
      <c r="AQ7802"/>
      <c r="AR7802"/>
      <c r="AS7802"/>
      <c r="AT7802"/>
      <c r="AU7802"/>
      <c r="AV7802"/>
    </row>
    <row r="7803" spans="41:48" x14ac:dyDescent="0.35">
      <c r="AO7803"/>
      <c r="AP7803"/>
      <c r="AQ7803"/>
      <c r="AR7803"/>
      <c r="AS7803"/>
      <c r="AT7803"/>
      <c r="AU7803"/>
      <c r="AV7803"/>
    </row>
    <row r="7804" spans="41:48" x14ac:dyDescent="0.35">
      <c r="AO7804"/>
      <c r="AP7804"/>
      <c r="AQ7804"/>
      <c r="AR7804"/>
      <c r="AS7804"/>
      <c r="AT7804"/>
      <c r="AU7804"/>
      <c r="AV7804"/>
    </row>
    <row r="7805" spans="41:48" x14ac:dyDescent="0.35">
      <c r="AO7805"/>
      <c r="AP7805"/>
      <c r="AQ7805"/>
      <c r="AR7805"/>
      <c r="AS7805"/>
      <c r="AT7805"/>
      <c r="AU7805"/>
      <c r="AV7805"/>
    </row>
    <row r="7806" spans="41:48" x14ac:dyDescent="0.35">
      <c r="AO7806"/>
      <c r="AP7806"/>
      <c r="AQ7806"/>
      <c r="AR7806"/>
      <c r="AS7806"/>
      <c r="AT7806"/>
      <c r="AU7806"/>
      <c r="AV7806"/>
    </row>
    <row r="7807" spans="41:48" x14ac:dyDescent="0.35">
      <c r="AO7807"/>
      <c r="AP7807"/>
      <c r="AQ7807"/>
      <c r="AR7807"/>
      <c r="AS7807"/>
      <c r="AT7807"/>
      <c r="AU7807"/>
      <c r="AV7807"/>
    </row>
    <row r="7808" spans="41:48" x14ac:dyDescent="0.35">
      <c r="AO7808"/>
      <c r="AP7808"/>
      <c r="AQ7808"/>
      <c r="AR7808"/>
      <c r="AS7808"/>
      <c r="AT7808"/>
      <c r="AU7808"/>
      <c r="AV7808"/>
    </row>
    <row r="7809" spans="41:48" x14ac:dyDescent="0.35">
      <c r="AO7809"/>
      <c r="AP7809"/>
      <c r="AQ7809"/>
      <c r="AR7809"/>
      <c r="AS7809"/>
      <c r="AT7809"/>
      <c r="AU7809"/>
      <c r="AV7809"/>
    </row>
    <row r="7810" spans="41:48" x14ac:dyDescent="0.35">
      <c r="AO7810"/>
      <c r="AP7810"/>
      <c r="AQ7810"/>
      <c r="AR7810"/>
      <c r="AS7810"/>
      <c r="AT7810"/>
      <c r="AU7810"/>
      <c r="AV7810"/>
    </row>
    <row r="7811" spans="41:48" x14ac:dyDescent="0.35">
      <c r="AO7811"/>
      <c r="AP7811"/>
      <c r="AQ7811"/>
      <c r="AR7811"/>
      <c r="AS7811"/>
      <c r="AT7811"/>
      <c r="AU7811"/>
      <c r="AV7811"/>
    </row>
    <row r="7812" spans="41:48" x14ac:dyDescent="0.35">
      <c r="AO7812"/>
      <c r="AP7812"/>
      <c r="AQ7812"/>
      <c r="AR7812"/>
      <c r="AS7812"/>
      <c r="AT7812"/>
      <c r="AU7812"/>
      <c r="AV7812"/>
    </row>
    <row r="7813" spans="41:48" x14ac:dyDescent="0.35">
      <c r="AO7813"/>
      <c r="AP7813"/>
      <c r="AQ7813"/>
      <c r="AR7813"/>
      <c r="AS7813"/>
      <c r="AT7813"/>
      <c r="AU7813"/>
      <c r="AV7813"/>
    </row>
    <row r="7814" spans="41:48" x14ac:dyDescent="0.35">
      <c r="AO7814"/>
      <c r="AP7814"/>
      <c r="AQ7814"/>
      <c r="AR7814"/>
      <c r="AS7814"/>
      <c r="AT7814"/>
      <c r="AU7814"/>
      <c r="AV7814"/>
    </row>
    <row r="7815" spans="41:48" x14ac:dyDescent="0.35">
      <c r="AO7815"/>
      <c r="AP7815"/>
      <c r="AQ7815"/>
      <c r="AR7815"/>
      <c r="AS7815"/>
      <c r="AT7815"/>
      <c r="AU7815"/>
      <c r="AV7815"/>
    </row>
    <row r="7816" spans="41:48" x14ac:dyDescent="0.35">
      <c r="AO7816"/>
      <c r="AP7816"/>
      <c r="AQ7816"/>
      <c r="AR7816"/>
      <c r="AS7816"/>
      <c r="AT7816"/>
      <c r="AU7816"/>
      <c r="AV7816"/>
    </row>
    <row r="7817" spans="41:48" x14ac:dyDescent="0.35">
      <c r="AO7817"/>
      <c r="AP7817"/>
      <c r="AQ7817"/>
      <c r="AR7817"/>
      <c r="AS7817"/>
      <c r="AT7817"/>
      <c r="AU7817"/>
      <c r="AV7817"/>
    </row>
    <row r="7818" spans="41:48" x14ac:dyDescent="0.35">
      <c r="AO7818"/>
      <c r="AP7818"/>
      <c r="AQ7818"/>
      <c r="AR7818"/>
      <c r="AS7818"/>
      <c r="AT7818"/>
      <c r="AU7818"/>
      <c r="AV7818"/>
    </row>
    <row r="7819" spans="41:48" x14ac:dyDescent="0.35">
      <c r="AO7819"/>
      <c r="AP7819"/>
      <c r="AQ7819"/>
      <c r="AR7819"/>
      <c r="AS7819"/>
      <c r="AT7819"/>
      <c r="AU7819"/>
      <c r="AV7819"/>
    </row>
    <row r="7820" spans="41:48" x14ac:dyDescent="0.35">
      <c r="AO7820"/>
      <c r="AP7820"/>
      <c r="AQ7820"/>
      <c r="AR7820"/>
      <c r="AS7820"/>
      <c r="AT7820"/>
      <c r="AU7820"/>
      <c r="AV7820"/>
    </row>
    <row r="7821" spans="41:48" x14ac:dyDescent="0.35">
      <c r="AO7821"/>
      <c r="AP7821"/>
      <c r="AQ7821"/>
      <c r="AR7821"/>
      <c r="AS7821"/>
      <c r="AT7821"/>
      <c r="AU7821"/>
      <c r="AV7821"/>
    </row>
    <row r="7822" spans="41:48" x14ac:dyDescent="0.35">
      <c r="AO7822"/>
      <c r="AP7822"/>
      <c r="AQ7822"/>
      <c r="AR7822"/>
      <c r="AS7822"/>
      <c r="AT7822"/>
      <c r="AU7822"/>
      <c r="AV7822"/>
    </row>
    <row r="7823" spans="41:48" x14ac:dyDescent="0.35">
      <c r="AO7823"/>
      <c r="AP7823"/>
      <c r="AQ7823"/>
      <c r="AR7823"/>
      <c r="AS7823"/>
      <c r="AT7823"/>
      <c r="AU7823"/>
      <c r="AV7823"/>
    </row>
    <row r="7824" spans="41:48" x14ac:dyDescent="0.35">
      <c r="AO7824"/>
      <c r="AP7824"/>
      <c r="AQ7824"/>
      <c r="AR7824"/>
      <c r="AS7824"/>
      <c r="AT7824"/>
      <c r="AU7824"/>
      <c r="AV7824"/>
    </row>
    <row r="7825" spans="41:48" x14ac:dyDescent="0.35">
      <c r="AO7825"/>
      <c r="AP7825"/>
      <c r="AQ7825"/>
      <c r="AR7825"/>
      <c r="AS7825"/>
      <c r="AT7825"/>
      <c r="AU7825"/>
      <c r="AV7825"/>
    </row>
    <row r="7826" spans="41:48" x14ac:dyDescent="0.35">
      <c r="AO7826"/>
      <c r="AP7826"/>
      <c r="AQ7826"/>
      <c r="AR7826"/>
      <c r="AS7826"/>
      <c r="AT7826"/>
      <c r="AU7826"/>
      <c r="AV7826"/>
    </row>
    <row r="7827" spans="41:48" x14ac:dyDescent="0.35">
      <c r="AO7827"/>
      <c r="AP7827"/>
      <c r="AQ7827"/>
      <c r="AR7827"/>
      <c r="AS7827"/>
      <c r="AT7827"/>
      <c r="AU7827"/>
      <c r="AV7827"/>
    </row>
    <row r="7828" spans="41:48" x14ac:dyDescent="0.35">
      <c r="AO7828"/>
      <c r="AP7828"/>
      <c r="AQ7828"/>
      <c r="AR7828"/>
      <c r="AS7828"/>
      <c r="AT7828"/>
      <c r="AU7828"/>
      <c r="AV7828"/>
    </row>
    <row r="7829" spans="41:48" x14ac:dyDescent="0.35">
      <c r="AO7829"/>
      <c r="AP7829"/>
      <c r="AQ7829"/>
      <c r="AR7829"/>
      <c r="AS7829"/>
      <c r="AT7829"/>
      <c r="AU7829"/>
      <c r="AV7829"/>
    </row>
    <row r="7830" spans="41:48" x14ac:dyDescent="0.35">
      <c r="AO7830"/>
      <c r="AP7830"/>
      <c r="AQ7830"/>
      <c r="AR7830"/>
      <c r="AS7830"/>
      <c r="AT7830"/>
      <c r="AU7830"/>
      <c r="AV7830"/>
    </row>
    <row r="7831" spans="41:48" x14ac:dyDescent="0.35">
      <c r="AO7831"/>
      <c r="AP7831"/>
      <c r="AQ7831"/>
      <c r="AR7831"/>
      <c r="AS7831"/>
      <c r="AT7831"/>
      <c r="AU7831"/>
      <c r="AV7831"/>
    </row>
    <row r="7832" spans="41:48" x14ac:dyDescent="0.35">
      <c r="AO7832"/>
      <c r="AP7832"/>
      <c r="AQ7832"/>
      <c r="AR7832"/>
      <c r="AS7832"/>
      <c r="AT7832"/>
      <c r="AU7832"/>
      <c r="AV7832"/>
    </row>
    <row r="7833" spans="41:48" x14ac:dyDescent="0.35">
      <c r="AO7833"/>
      <c r="AP7833"/>
      <c r="AQ7833"/>
      <c r="AR7833"/>
      <c r="AS7833"/>
      <c r="AT7833"/>
      <c r="AU7833"/>
      <c r="AV7833"/>
    </row>
    <row r="7834" spans="41:48" x14ac:dyDescent="0.35">
      <c r="AO7834"/>
      <c r="AP7834"/>
      <c r="AQ7834"/>
      <c r="AR7834"/>
      <c r="AS7834"/>
      <c r="AT7834"/>
      <c r="AU7834"/>
      <c r="AV7834"/>
    </row>
    <row r="7835" spans="41:48" x14ac:dyDescent="0.35">
      <c r="AO7835"/>
      <c r="AP7835"/>
      <c r="AQ7835"/>
      <c r="AR7835"/>
      <c r="AS7835"/>
      <c r="AT7835"/>
      <c r="AU7835"/>
      <c r="AV7835"/>
    </row>
    <row r="7836" spans="41:48" x14ac:dyDescent="0.35">
      <c r="AO7836"/>
      <c r="AP7836"/>
      <c r="AQ7836"/>
      <c r="AR7836"/>
      <c r="AS7836"/>
      <c r="AT7836"/>
      <c r="AU7836"/>
      <c r="AV7836"/>
    </row>
    <row r="7837" spans="41:48" x14ac:dyDescent="0.35">
      <c r="AO7837"/>
      <c r="AP7837"/>
      <c r="AQ7837"/>
      <c r="AR7837"/>
      <c r="AS7837"/>
      <c r="AT7837"/>
      <c r="AU7837"/>
      <c r="AV7837"/>
    </row>
    <row r="7838" spans="41:48" x14ac:dyDescent="0.35">
      <c r="AO7838"/>
      <c r="AP7838"/>
      <c r="AQ7838"/>
      <c r="AR7838"/>
      <c r="AS7838"/>
      <c r="AT7838"/>
      <c r="AU7838"/>
      <c r="AV7838"/>
    </row>
    <row r="7839" spans="41:48" x14ac:dyDescent="0.35">
      <c r="AO7839"/>
      <c r="AP7839"/>
      <c r="AQ7839"/>
      <c r="AR7839"/>
      <c r="AS7839"/>
      <c r="AT7839"/>
      <c r="AU7839"/>
      <c r="AV7839"/>
    </row>
    <row r="7840" spans="41:48" x14ac:dyDescent="0.35">
      <c r="AO7840"/>
      <c r="AP7840"/>
      <c r="AQ7840"/>
      <c r="AR7840"/>
      <c r="AS7840"/>
      <c r="AT7840"/>
      <c r="AU7840"/>
      <c r="AV7840"/>
    </row>
    <row r="7841" spans="41:48" x14ac:dyDescent="0.35">
      <c r="AO7841"/>
      <c r="AP7841"/>
      <c r="AQ7841"/>
      <c r="AR7841"/>
      <c r="AS7841"/>
      <c r="AT7841"/>
      <c r="AU7841"/>
      <c r="AV7841"/>
    </row>
    <row r="7842" spans="41:48" x14ac:dyDescent="0.35">
      <c r="AO7842"/>
      <c r="AP7842"/>
      <c r="AQ7842"/>
      <c r="AR7842"/>
      <c r="AS7842"/>
      <c r="AT7842"/>
      <c r="AU7842"/>
      <c r="AV7842"/>
    </row>
    <row r="7843" spans="41:48" x14ac:dyDescent="0.35">
      <c r="AO7843"/>
      <c r="AP7843"/>
      <c r="AQ7843"/>
      <c r="AR7843"/>
      <c r="AS7843"/>
      <c r="AT7843"/>
      <c r="AU7843"/>
      <c r="AV7843"/>
    </row>
    <row r="7844" spans="41:48" x14ac:dyDescent="0.35">
      <c r="AO7844"/>
      <c r="AP7844"/>
      <c r="AQ7844"/>
      <c r="AR7844"/>
      <c r="AS7844"/>
      <c r="AT7844"/>
      <c r="AU7844"/>
      <c r="AV7844"/>
    </row>
    <row r="7845" spans="41:48" x14ac:dyDescent="0.35">
      <c r="AO7845"/>
      <c r="AP7845"/>
      <c r="AQ7845"/>
      <c r="AR7845"/>
      <c r="AS7845"/>
      <c r="AT7845"/>
      <c r="AU7845"/>
      <c r="AV7845"/>
    </row>
    <row r="7846" spans="41:48" x14ac:dyDescent="0.35">
      <c r="AO7846"/>
      <c r="AP7846"/>
      <c r="AQ7846"/>
      <c r="AR7846"/>
      <c r="AS7846"/>
      <c r="AT7846"/>
      <c r="AU7846"/>
      <c r="AV7846"/>
    </row>
    <row r="7847" spans="41:48" x14ac:dyDescent="0.35">
      <c r="AO7847"/>
      <c r="AP7847"/>
      <c r="AQ7847"/>
      <c r="AR7847"/>
      <c r="AS7847"/>
      <c r="AT7847"/>
      <c r="AU7847"/>
      <c r="AV7847"/>
    </row>
    <row r="7848" spans="41:48" x14ac:dyDescent="0.35">
      <c r="AO7848"/>
      <c r="AP7848"/>
      <c r="AQ7848"/>
      <c r="AR7848"/>
      <c r="AS7848"/>
      <c r="AT7848"/>
      <c r="AU7848"/>
      <c r="AV7848"/>
    </row>
    <row r="7849" spans="41:48" x14ac:dyDescent="0.35">
      <c r="AO7849"/>
      <c r="AP7849"/>
      <c r="AQ7849"/>
      <c r="AR7849"/>
      <c r="AS7849"/>
      <c r="AT7849"/>
      <c r="AU7849"/>
      <c r="AV7849"/>
    </row>
    <row r="7850" spans="41:48" x14ac:dyDescent="0.35">
      <c r="AO7850"/>
      <c r="AP7850"/>
      <c r="AQ7850"/>
      <c r="AR7850"/>
      <c r="AS7850"/>
      <c r="AT7850"/>
      <c r="AU7850"/>
      <c r="AV7850"/>
    </row>
    <row r="7851" spans="41:48" x14ac:dyDescent="0.35">
      <c r="AO7851"/>
      <c r="AP7851"/>
      <c r="AQ7851"/>
      <c r="AR7851"/>
      <c r="AS7851"/>
      <c r="AT7851"/>
      <c r="AU7851"/>
      <c r="AV7851"/>
    </row>
    <row r="7852" spans="41:48" x14ac:dyDescent="0.35">
      <c r="AO7852"/>
      <c r="AP7852"/>
      <c r="AQ7852"/>
      <c r="AR7852"/>
      <c r="AS7852"/>
      <c r="AT7852"/>
      <c r="AU7852"/>
      <c r="AV7852"/>
    </row>
    <row r="7853" spans="41:48" x14ac:dyDescent="0.35">
      <c r="AO7853"/>
      <c r="AP7853"/>
      <c r="AQ7853"/>
      <c r="AR7853"/>
      <c r="AS7853"/>
      <c r="AT7853"/>
      <c r="AU7853"/>
      <c r="AV7853"/>
    </row>
    <row r="7854" spans="41:48" x14ac:dyDescent="0.35">
      <c r="AO7854"/>
      <c r="AP7854"/>
      <c r="AQ7854"/>
      <c r="AR7854"/>
      <c r="AS7854"/>
      <c r="AT7854"/>
      <c r="AU7854"/>
      <c r="AV7854"/>
    </row>
    <row r="7855" spans="41:48" x14ac:dyDescent="0.35">
      <c r="AO7855"/>
      <c r="AP7855"/>
      <c r="AQ7855"/>
      <c r="AR7855"/>
      <c r="AS7855"/>
      <c r="AT7855"/>
      <c r="AU7855"/>
      <c r="AV7855"/>
    </row>
    <row r="7856" spans="41:48" x14ac:dyDescent="0.35">
      <c r="AO7856"/>
      <c r="AP7856"/>
      <c r="AQ7856"/>
      <c r="AR7856"/>
      <c r="AS7856"/>
      <c r="AT7856"/>
      <c r="AU7856"/>
      <c r="AV7856"/>
    </row>
    <row r="7857" spans="41:48" x14ac:dyDescent="0.35">
      <c r="AO7857"/>
      <c r="AP7857"/>
      <c r="AQ7857"/>
      <c r="AR7857"/>
      <c r="AS7857"/>
      <c r="AT7857"/>
      <c r="AU7857"/>
      <c r="AV7857"/>
    </row>
    <row r="7858" spans="41:48" x14ac:dyDescent="0.35">
      <c r="AO7858"/>
      <c r="AP7858"/>
      <c r="AQ7858"/>
      <c r="AR7858"/>
      <c r="AS7858"/>
      <c r="AT7858"/>
      <c r="AU7858"/>
      <c r="AV7858"/>
    </row>
    <row r="7859" spans="41:48" x14ac:dyDescent="0.35">
      <c r="AO7859"/>
      <c r="AP7859"/>
      <c r="AQ7859"/>
      <c r="AR7859"/>
      <c r="AS7859"/>
      <c r="AT7859"/>
      <c r="AU7859"/>
      <c r="AV7859"/>
    </row>
    <row r="7860" spans="41:48" x14ac:dyDescent="0.35">
      <c r="AO7860"/>
      <c r="AP7860"/>
      <c r="AQ7860"/>
      <c r="AR7860"/>
      <c r="AS7860"/>
      <c r="AT7860"/>
      <c r="AU7860"/>
      <c r="AV7860"/>
    </row>
    <row r="7861" spans="41:48" x14ac:dyDescent="0.35">
      <c r="AO7861"/>
      <c r="AP7861"/>
      <c r="AQ7861"/>
      <c r="AR7861"/>
      <c r="AS7861"/>
      <c r="AT7861"/>
      <c r="AU7861"/>
      <c r="AV7861"/>
    </row>
    <row r="7862" spans="41:48" x14ac:dyDescent="0.35">
      <c r="AO7862"/>
      <c r="AP7862"/>
      <c r="AQ7862"/>
      <c r="AR7862"/>
      <c r="AS7862"/>
      <c r="AT7862"/>
      <c r="AU7862"/>
      <c r="AV7862"/>
    </row>
    <row r="7863" spans="41:48" x14ac:dyDescent="0.35">
      <c r="AO7863"/>
      <c r="AP7863"/>
      <c r="AQ7863"/>
      <c r="AR7863"/>
      <c r="AS7863"/>
      <c r="AT7863"/>
      <c r="AU7863"/>
      <c r="AV7863"/>
    </row>
    <row r="7864" spans="41:48" x14ac:dyDescent="0.35">
      <c r="AO7864"/>
      <c r="AP7864"/>
      <c r="AQ7864"/>
      <c r="AR7864"/>
      <c r="AS7864"/>
      <c r="AT7864"/>
      <c r="AU7864"/>
      <c r="AV7864"/>
    </row>
    <row r="7865" spans="41:48" x14ac:dyDescent="0.35">
      <c r="AO7865"/>
      <c r="AP7865"/>
      <c r="AQ7865"/>
      <c r="AR7865"/>
      <c r="AS7865"/>
      <c r="AT7865"/>
      <c r="AU7865"/>
      <c r="AV7865"/>
    </row>
    <row r="7866" spans="41:48" x14ac:dyDescent="0.35">
      <c r="AO7866"/>
      <c r="AP7866"/>
      <c r="AQ7866"/>
      <c r="AR7866"/>
      <c r="AS7866"/>
      <c r="AT7866"/>
      <c r="AU7866"/>
      <c r="AV7866"/>
    </row>
    <row r="7867" spans="41:48" x14ac:dyDescent="0.35">
      <c r="AO7867"/>
      <c r="AP7867"/>
      <c r="AQ7867"/>
      <c r="AR7867"/>
      <c r="AS7867"/>
      <c r="AT7867"/>
      <c r="AU7867"/>
      <c r="AV7867"/>
    </row>
    <row r="7868" spans="41:48" x14ac:dyDescent="0.35">
      <c r="AO7868"/>
      <c r="AP7868"/>
      <c r="AQ7868"/>
      <c r="AR7868"/>
      <c r="AS7868"/>
      <c r="AT7868"/>
      <c r="AU7868"/>
      <c r="AV7868"/>
    </row>
    <row r="7869" spans="41:48" x14ac:dyDescent="0.35">
      <c r="AO7869"/>
      <c r="AP7869"/>
      <c r="AQ7869"/>
      <c r="AR7869"/>
      <c r="AS7869"/>
      <c r="AT7869"/>
      <c r="AU7869"/>
      <c r="AV7869"/>
    </row>
    <row r="7870" spans="41:48" x14ac:dyDescent="0.35">
      <c r="AO7870"/>
      <c r="AP7870"/>
      <c r="AQ7870"/>
      <c r="AR7870"/>
      <c r="AS7870"/>
      <c r="AT7870"/>
      <c r="AU7870"/>
      <c r="AV7870"/>
    </row>
    <row r="7871" spans="41:48" x14ac:dyDescent="0.35">
      <c r="AO7871"/>
      <c r="AP7871"/>
      <c r="AQ7871"/>
      <c r="AR7871"/>
      <c r="AS7871"/>
      <c r="AT7871"/>
      <c r="AU7871"/>
      <c r="AV7871"/>
    </row>
    <row r="7872" spans="41:48" x14ac:dyDescent="0.35">
      <c r="AO7872"/>
      <c r="AP7872"/>
      <c r="AQ7872"/>
      <c r="AR7872"/>
      <c r="AS7872"/>
      <c r="AT7872"/>
      <c r="AU7872"/>
      <c r="AV7872"/>
    </row>
    <row r="7873" spans="41:48" x14ac:dyDescent="0.35">
      <c r="AO7873"/>
      <c r="AP7873"/>
      <c r="AQ7873"/>
      <c r="AR7873"/>
      <c r="AS7873"/>
      <c r="AT7873"/>
      <c r="AU7873"/>
      <c r="AV7873"/>
    </row>
    <row r="7874" spans="41:48" x14ac:dyDescent="0.35">
      <c r="AO7874"/>
      <c r="AP7874"/>
      <c r="AQ7874"/>
      <c r="AR7874"/>
      <c r="AS7874"/>
      <c r="AT7874"/>
      <c r="AU7874"/>
      <c r="AV7874"/>
    </row>
    <row r="7875" spans="41:48" x14ac:dyDescent="0.35">
      <c r="AO7875"/>
      <c r="AP7875"/>
      <c r="AQ7875"/>
      <c r="AR7875"/>
      <c r="AS7875"/>
      <c r="AT7875"/>
      <c r="AU7875"/>
      <c r="AV7875"/>
    </row>
    <row r="7876" spans="41:48" x14ac:dyDescent="0.35">
      <c r="AO7876"/>
      <c r="AP7876"/>
      <c r="AQ7876"/>
      <c r="AR7876"/>
      <c r="AS7876"/>
      <c r="AT7876"/>
      <c r="AU7876"/>
      <c r="AV7876"/>
    </row>
    <row r="7877" spans="41:48" x14ac:dyDescent="0.35">
      <c r="AO7877"/>
      <c r="AP7877"/>
      <c r="AQ7877"/>
      <c r="AR7877"/>
      <c r="AS7877"/>
      <c r="AT7877"/>
      <c r="AU7877"/>
      <c r="AV7877"/>
    </row>
    <row r="7878" spans="41:48" x14ac:dyDescent="0.35">
      <c r="AO7878"/>
      <c r="AP7878"/>
      <c r="AQ7878"/>
      <c r="AR7878"/>
      <c r="AS7878"/>
      <c r="AT7878"/>
      <c r="AU7878"/>
      <c r="AV7878"/>
    </row>
    <row r="7879" spans="41:48" x14ac:dyDescent="0.35">
      <c r="AO7879"/>
      <c r="AP7879"/>
      <c r="AQ7879"/>
      <c r="AR7879"/>
      <c r="AS7879"/>
      <c r="AT7879"/>
      <c r="AU7879"/>
      <c r="AV7879"/>
    </row>
    <row r="7880" spans="41:48" x14ac:dyDescent="0.35">
      <c r="AO7880"/>
      <c r="AP7880"/>
      <c r="AQ7880"/>
      <c r="AR7880"/>
      <c r="AS7880"/>
      <c r="AT7880"/>
      <c r="AU7880"/>
      <c r="AV7880"/>
    </row>
    <row r="7881" spans="41:48" x14ac:dyDescent="0.35">
      <c r="AO7881"/>
      <c r="AP7881"/>
      <c r="AQ7881"/>
      <c r="AR7881"/>
      <c r="AS7881"/>
      <c r="AT7881"/>
      <c r="AU7881"/>
      <c r="AV7881"/>
    </row>
    <row r="7882" spans="41:48" x14ac:dyDescent="0.35">
      <c r="AO7882"/>
      <c r="AP7882"/>
      <c r="AQ7882"/>
      <c r="AR7882"/>
      <c r="AS7882"/>
      <c r="AT7882"/>
      <c r="AU7882"/>
      <c r="AV7882"/>
    </row>
    <row r="7883" spans="41:48" x14ac:dyDescent="0.35">
      <c r="AO7883"/>
      <c r="AP7883"/>
      <c r="AQ7883"/>
      <c r="AR7883"/>
      <c r="AS7883"/>
      <c r="AT7883"/>
      <c r="AU7883"/>
      <c r="AV7883"/>
    </row>
    <row r="7884" spans="41:48" x14ac:dyDescent="0.35">
      <c r="AO7884"/>
      <c r="AP7884"/>
      <c r="AQ7884"/>
      <c r="AR7884"/>
      <c r="AS7884"/>
      <c r="AT7884"/>
      <c r="AU7884"/>
      <c r="AV7884"/>
    </row>
    <row r="7885" spans="41:48" x14ac:dyDescent="0.35">
      <c r="AO7885"/>
      <c r="AP7885"/>
      <c r="AQ7885"/>
      <c r="AR7885"/>
      <c r="AS7885"/>
      <c r="AT7885"/>
      <c r="AU7885"/>
      <c r="AV7885"/>
    </row>
    <row r="7886" spans="41:48" x14ac:dyDescent="0.35">
      <c r="AO7886"/>
      <c r="AP7886"/>
      <c r="AQ7886"/>
      <c r="AR7886"/>
      <c r="AS7886"/>
      <c r="AT7886"/>
      <c r="AU7886"/>
      <c r="AV7886"/>
    </row>
    <row r="7887" spans="41:48" x14ac:dyDescent="0.35">
      <c r="AO7887"/>
      <c r="AP7887"/>
      <c r="AQ7887"/>
      <c r="AR7887"/>
      <c r="AS7887"/>
      <c r="AT7887"/>
      <c r="AU7887"/>
      <c r="AV7887"/>
    </row>
    <row r="7888" spans="41:48" x14ac:dyDescent="0.35">
      <c r="AO7888"/>
      <c r="AP7888"/>
      <c r="AQ7888"/>
      <c r="AR7888"/>
      <c r="AS7888"/>
      <c r="AT7888"/>
      <c r="AU7888"/>
      <c r="AV7888"/>
    </row>
    <row r="7889" spans="41:48" x14ac:dyDescent="0.35">
      <c r="AO7889"/>
      <c r="AP7889"/>
      <c r="AQ7889"/>
      <c r="AR7889"/>
      <c r="AS7889"/>
      <c r="AT7889"/>
      <c r="AU7889"/>
      <c r="AV7889"/>
    </row>
    <row r="7890" spans="41:48" x14ac:dyDescent="0.35">
      <c r="AO7890"/>
      <c r="AP7890"/>
      <c r="AQ7890"/>
      <c r="AR7890"/>
      <c r="AS7890"/>
      <c r="AT7890"/>
      <c r="AU7890"/>
      <c r="AV7890"/>
    </row>
    <row r="7891" spans="41:48" x14ac:dyDescent="0.35">
      <c r="AO7891"/>
      <c r="AP7891"/>
      <c r="AQ7891"/>
      <c r="AR7891"/>
      <c r="AS7891"/>
      <c r="AT7891"/>
      <c r="AU7891"/>
      <c r="AV7891"/>
    </row>
    <row r="7892" spans="41:48" x14ac:dyDescent="0.35">
      <c r="AO7892"/>
      <c r="AP7892"/>
      <c r="AQ7892"/>
      <c r="AR7892"/>
      <c r="AS7892"/>
      <c r="AT7892"/>
      <c r="AU7892"/>
      <c r="AV7892"/>
    </row>
    <row r="7893" spans="41:48" x14ac:dyDescent="0.35">
      <c r="AO7893"/>
      <c r="AP7893"/>
      <c r="AQ7893"/>
      <c r="AR7893"/>
      <c r="AS7893"/>
      <c r="AT7893"/>
      <c r="AU7893"/>
      <c r="AV7893"/>
    </row>
    <row r="7894" spans="41:48" x14ac:dyDescent="0.35">
      <c r="AO7894"/>
      <c r="AP7894"/>
      <c r="AQ7894"/>
      <c r="AR7894"/>
      <c r="AS7894"/>
      <c r="AT7894"/>
      <c r="AU7894"/>
      <c r="AV7894"/>
    </row>
    <row r="7895" spans="41:48" x14ac:dyDescent="0.35">
      <c r="AO7895"/>
      <c r="AP7895"/>
      <c r="AQ7895"/>
      <c r="AR7895"/>
      <c r="AS7895"/>
      <c r="AT7895"/>
      <c r="AU7895"/>
      <c r="AV7895"/>
    </row>
    <row r="7896" spans="41:48" x14ac:dyDescent="0.35">
      <c r="AO7896"/>
      <c r="AP7896"/>
      <c r="AQ7896"/>
      <c r="AR7896"/>
      <c r="AS7896"/>
      <c r="AT7896"/>
      <c r="AU7896"/>
      <c r="AV7896"/>
    </row>
    <row r="7897" spans="41:48" x14ac:dyDescent="0.35">
      <c r="AO7897"/>
      <c r="AP7897"/>
      <c r="AQ7897"/>
      <c r="AR7897"/>
      <c r="AS7897"/>
      <c r="AT7897"/>
      <c r="AU7897"/>
      <c r="AV7897"/>
    </row>
    <row r="7898" spans="41:48" x14ac:dyDescent="0.35">
      <c r="AO7898"/>
      <c r="AP7898"/>
      <c r="AQ7898"/>
      <c r="AR7898"/>
      <c r="AS7898"/>
      <c r="AT7898"/>
      <c r="AU7898"/>
      <c r="AV7898"/>
    </row>
    <row r="7899" spans="41:48" x14ac:dyDescent="0.35">
      <c r="AO7899"/>
      <c r="AP7899"/>
      <c r="AQ7899"/>
      <c r="AR7899"/>
      <c r="AS7899"/>
      <c r="AT7899"/>
      <c r="AU7899"/>
      <c r="AV7899"/>
    </row>
    <row r="7900" spans="41:48" x14ac:dyDescent="0.35">
      <c r="AO7900"/>
      <c r="AP7900"/>
      <c r="AQ7900"/>
      <c r="AR7900"/>
      <c r="AS7900"/>
      <c r="AT7900"/>
      <c r="AU7900"/>
      <c r="AV7900"/>
    </row>
    <row r="7901" spans="41:48" x14ac:dyDescent="0.35">
      <c r="AO7901"/>
      <c r="AP7901"/>
      <c r="AQ7901"/>
      <c r="AR7901"/>
      <c r="AS7901"/>
      <c r="AT7901"/>
      <c r="AU7901"/>
      <c r="AV7901"/>
    </row>
    <row r="7902" spans="41:48" x14ac:dyDescent="0.35">
      <c r="AO7902"/>
      <c r="AP7902"/>
      <c r="AQ7902"/>
      <c r="AR7902"/>
      <c r="AS7902"/>
      <c r="AT7902"/>
      <c r="AU7902"/>
      <c r="AV7902"/>
    </row>
    <row r="7903" spans="41:48" x14ac:dyDescent="0.35">
      <c r="AO7903"/>
      <c r="AP7903"/>
      <c r="AQ7903"/>
      <c r="AR7903"/>
      <c r="AS7903"/>
      <c r="AT7903"/>
      <c r="AU7903"/>
      <c r="AV7903"/>
    </row>
    <row r="7904" spans="41:48" x14ac:dyDescent="0.35">
      <c r="AO7904"/>
      <c r="AP7904"/>
      <c r="AQ7904"/>
      <c r="AR7904"/>
      <c r="AS7904"/>
      <c r="AT7904"/>
      <c r="AU7904"/>
      <c r="AV7904"/>
    </row>
    <row r="7905" spans="41:48" x14ac:dyDescent="0.35">
      <c r="AO7905"/>
      <c r="AP7905"/>
      <c r="AQ7905"/>
      <c r="AR7905"/>
      <c r="AS7905"/>
      <c r="AT7905"/>
      <c r="AU7905"/>
      <c r="AV7905"/>
    </row>
    <row r="7906" spans="41:48" x14ac:dyDescent="0.35">
      <c r="AO7906"/>
      <c r="AP7906"/>
      <c r="AQ7906"/>
      <c r="AR7906"/>
      <c r="AS7906"/>
      <c r="AT7906"/>
      <c r="AU7906"/>
      <c r="AV7906"/>
    </row>
    <row r="7907" spans="41:48" x14ac:dyDescent="0.35">
      <c r="AO7907"/>
      <c r="AP7907"/>
      <c r="AQ7907"/>
      <c r="AR7907"/>
      <c r="AS7907"/>
      <c r="AT7907"/>
      <c r="AU7907"/>
      <c r="AV7907"/>
    </row>
    <row r="7908" spans="41:48" x14ac:dyDescent="0.35">
      <c r="AO7908"/>
      <c r="AP7908"/>
      <c r="AQ7908"/>
      <c r="AR7908"/>
      <c r="AS7908"/>
      <c r="AT7908"/>
      <c r="AU7908"/>
      <c r="AV7908"/>
    </row>
    <row r="7909" spans="41:48" x14ac:dyDescent="0.35">
      <c r="AO7909"/>
      <c r="AP7909"/>
      <c r="AQ7909"/>
      <c r="AR7909"/>
      <c r="AS7909"/>
      <c r="AT7909"/>
      <c r="AU7909"/>
      <c r="AV7909"/>
    </row>
    <row r="7910" spans="41:48" x14ac:dyDescent="0.35">
      <c r="AO7910"/>
      <c r="AP7910"/>
      <c r="AQ7910"/>
      <c r="AR7910"/>
      <c r="AS7910"/>
      <c r="AT7910"/>
      <c r="AU7910"/>
      <c r="AV7910"/>
    </row>
    <row r="7911" spans="41:48" x14ac:dyDescent="0.35">
      <c r="AO7911"/>
      <c r="AP7911"/>
      <c r="AQ7911"/>
      <c r="AR7911"/>
      <c r="AS7911"/>
      <c r="AT7911"/>
      <c r="AU7911"/>
      <c r="AV7911"/>
    </row>
    <row r="7912" spans="41:48" x14ac:dyDescent="0.35">
      <c r="AO7912"/>
      <c r="AP7912"/>
      <c r="AQ7912"/>
      <c r="AR7912"/>
      <c r="AS7912"/>
      <c r="AT7912"/>
      <c r="AU7912"/>
      <c r="AV7912"/>
    </row>
    <row r="7913" spans="41:48" x14ac:dyDescent="0.35">
      <c r="AO7913"/>
      <c r="AP7913"/>
      <c r="AQ7913"/>
      <c r="AR7913"/>
      <c r="AS7913"/>
      <c r="AT7913"/>
      <c r="AU7913"/>
      <c r="AV7913"/>
    </row>
    <row r="7914" spans="41:48" x14ac:dyDescent="0.35">
      <c r="AO7914"/>
      <c r="AP7914"/>
      <c r="AQ7914"/>
      <c r="AR7914"/>
      <c r="AS7914"/>
      <c r="AT7914"/>
      <c r="AU7914"/>
      <c r="AV7914"/>
    </row>
    <row r="7915" spans="41:48" x14ac:dyDescent="0.35">
      <c r="AO7915"/>
      <c r="AP7915"/>
      <c r="AQ7915"/>
      <c r="AR7915"/>
      <c r="AS7915"/>
      <c r="AT7915"/>
      <c r="AU7915"/>
      <c r="AV7915"/>
    </row>
    <row r="7916" spans="41:48" x14ac:dyDescent="0.35">
      <c r="AO7916"/>
      <c r="AP7916"/>
      <c r="AQ7916"/>
      <c r="AR7916"/>
      <c r="AS7916"/>
      <c r="AT7916"/>
      <c r="AU7916"/>
      <c r="AV7916"/>
    </row>
    <row r="7917" spans="41:48" x14ac:dyDescent="0.35">
      <c r="AO7917"/>
      <c r="AP7917"/>
      <c r="AQ7917"/>
      <c r="AR7917"/>
      <c r="AS7917"/>
      <c r="AT7917"/>
      <c r="AU7917"/>
      <c r="AV7917"/>
    </row>
    <row r="7918" spans="41:48" x14ac:dyDescent="0.35">
      <c r="AO7918"/>
      <c r="AP7918"/>
      <c r="AQ7918"/>
      <c r="AR7918"/>
      <c r="AS7918"/>
      <c r="AT7918"/>
      <c r="AU7918"/>
      <c r="AV7918"/>
    </row>
    <row r="7919" spans="41:48" x14ac:dyDescent="0.35">
      <c r="AO7919"/>
      <c r="AP7919"/>
      <c r="AQ7919"/>
      <c r="AR7919"/>
      <c r="AS7919"/>
      <c r="AT7919"/>
      <c r="AU7919"/>
      <c r="AV7919"/>
    </row>
    <row r="7920" spans="41:48" x14ac:dyDescent="0.35">
      <c r="AO7920"/>
      <c r="AP7920"/>
      <c r="AQ7920"/>
      <c r="AR7920"/>
      <c r="AS7920"/>
      <c r="AT7920"/>
      <c r="AU7920"/>
      <c r="AV7920"/>
    </row>
    <row r="7921" spans="41:48" x14ac:dyDescent="0.35">
      <c r="AO7921"/>
      <c r="AP7921"/>
      <c r="AQ7921"/>
      <c r="AR7921"/>
      <c r="AS7921"/>
      <c r="AT7921"/>
      <c r="AU7921"/>
      <c r="AV7921"/>
    </row>
    <row r="7922" spans="41:48" x14ac:dyDescent="0.35">
      <c r="AO7922"/>
      <c r="AP7922"/>
      <c r="AQ7922"/>
      <c r="AR7922"/>
      <c r="AS7922"/>
      <c r="AT7922"/>
      <c r="AU7922"/>
      <c r="AV7922"/>
    </row>
    <row r="7923" spans="41:48" x14ac:dyDescent="0.35">
      <c r="AO7923"/>
      <c r="AP7923"/>
      <c r="AQ7923"/>
      <c r="AR7923"/>
      <c r="AS7923"/>
      <c r="AT7923"/>
      <c r="AU7923"/>
      <c r="AV7923"/>
    </row>
    <row r="7924" spans="41:48" x14ac:dyDescent="0.35">
      <c r="AO7924"/>
      <c r="AP7924"/>
      <c r="AQ7924"/>
      <c r="AR7924"/>
      <c r="AS7924"/>
      <c r="AT7924"/>
      <c r="AU7924"/>
      <c r="AV7924"/>
    </row>
    <row r="7925" spans="41:48" x14ac:dyDescent="0.35">
      <c r="AO7925"/>
      <c r="AP7925"/>
      <c r="AQ7925"/>
      <c r="AR7925"/>
      <c r="AS7925"/>
      <c r="AT7925"/>
      <c r="AU7925"/>
      <c r="AV7925"/>
    </row>
    <row r="7926" spans="41:48" x14ac:dyDescent="0.35">
      <c r="AO7926"/>
      <c r="AP7926"/>
      <c r="AQ7926"/>
      <c r="AR7926"/>
      <c r="AS7926"/>
      <c r="AT7926"/>
      <c r="AU7926"/>
      <c r="AV7926"/>
    </row>
    <row r="7927" spans="41:48" x14ac:dyDescent="0.35">
      <c r="AO7927"/>
      <c r="AP7927"/>
      <c r="AQ7927"/>
      <c r="AR7927"/>
      <c r="AS7927"/>
      <c r="AT7927"/>
      <c r="AU7927"/>
      <c r="AV7927"/>
    </row>
    <row r="7928" spans="41:48" x14ac:dyDescent="0.35">
      <c r="AO7928"/>
      <c r="AP7928"/>
      <c r="AQ7928"/>
      <c r="AR7928"/>
      <c r="AS7928"/>
      <c r="AT7928"/>
      <c r="AU7928"/>
      <c r="AV7928"/>
    </row>
    <row r="7929" spans="41:48" x14ac:dyDescent="0.35">
      <c r="AO7929"/>
      <c r="AP7929"/>
      <c r="AQ7929"/>
      <c r="AR7929"/>
      <c r="AS7929"/>
      <c r="AT7929"/>
      <c r="AU7929"/>
      <c r="AV7929"/>
    </row>
    <row r="7930" spans="41:48" x14ac:dyDescent="0.35">
      <c r="AO7930"/>
      <c r="AP7930"/>
      <c r="AQ7930"/>
      <c r="AR7930"/>
      <c r="AS7930"/>
      <c r="AT7930"/>
      <c r="AU7930"/>
      <c r="AV7930"/>
    </row>
    <row r="7931" spans="41:48" x14ac:dyDescent="0.35">
      <c r="AO7931"/>
      <c r="AP7931"/>
      <c r="AQ7931"/>
      <c r="AR7931"/>
      <c r="AS7931"/>
      <c r="AT7931"/>
      <c r="AU7931"/>
      <c r="AV7931"/>
    </row>
    <row r="7932" spans="41:48" x14ac:dyDescent="0.35">
      <c r="AO7932"/>
      <c r="AP7932"/>
      <c r="AQ7932"/>
      <c r="AR7932"/>
      <c r="AS7932"/>
      <c r="AT7932"/>
      <c r="AU7932"/>
      <c r="AV7932"/>
    </row>
    <row r="7933" spans="41:48" x14ac:dyDescent="0.35">
      <c r="AO7933"/>
      <c r="AP7933"/>
      <c r="AQ7933"/>
      <c r="AR7933"/>
      <c r="AS7933"/>
      <c r="AT7933"/>
      <c r="AU7933"/>
      <c r="AV7933"/>
    </row>
    <row r="7934" spans="41:48" x14ac:dyDescent="0.35">
      <c r="AO7934"/>
      <c r="AP7934"/>
      <c r="AQ7934"/>
      <c r="AR7934"/>
      <c r="AS7934"/>
      <c r="AT7934"/>
      <c r="AU7934"/>
      <c r="AV7934"/>
    </row>
    <row r="7935" spans="41:48" x14ac:dyDescent="0.35">
      <c r="AO7935"/>
      <c r="AP7935"/>
      <c r="AQ7935"/>
      <c r="AR7935"/>
      <c r="AS7935"/>
      <c r="AT7935"/>
      <c r="AU7935"/>
      <c r="AV7935"/>
    </row>
    <row r="7936" spans="41:48" x14ac:dyDescent="0.35">
      <c r="AO7936"/>
      <c r="AP7936"/>
      <c r="AQ7936"/>
      <c r="AR7936"/>
      <c r="AS7936"/>
      <c r="AT7936"/>
      <c r="AU7936"/>
      <c r="AV7936"/>
    </row>
    <row r="7937" spans="41:48" x14ac:dyDescent="0.35">
      <c r="AO7937"/>
      <c r="AP7937"/>
      <c r="AQ7937"/>
      <c r="AR7937"/>
      <c r="AS7937"/>
      <c r="AT7937"/>
      <c r="AU7937"/>
      <c r="AV7937"/>
    </row>
    <row r="7938" spans="41:48" x14ac:dyDescent="0.35">
      <c r="AO7938"/>
      <c r="AP7938"/>
      <c r="AQ7938"/>
      <c r="AR7938"/>
      <c r="AS7938"/>
      <c r="AT7938"/>
      <c r="AU7938"/>
      <c r="AV7938"/>
    </row>
    <row r="7939" spans="41:48" x14ac:dyDescent="0.35">
      <c r="AO7939"/>
      <c r="AP7939"/>
      <c r="AQ7939"/>
      <c r="AR7939"/>
      <c r="AS7939"/>
      <c r="AT7939"/>
      <c r="AU7939"/>
      <c r="AV7939"/>
    </row>
    <row r="7940" spans="41:48" x14ac:dyDescent="0.35">
      <c r="AO7940"/>
      <c r="AP7940"/>
      <c r="AQ7940"/>
      <c r="AR7940"/>
      <c r="AS7940"/>
      <c r="AT7940"/>
      <c r="AU7940"/>
      <c r="AV7940"/>
    </row>
    <row r="7941" spans="41:48" x14ac:dyDescent="0.35">
      <c r="AO7941"/>
      <c r="AP7941"/>
      <c r="AQ7941"/>
      <c r="AR7941"/>
      <c r="AS7941"/>
      <c r="AT7941"/>
      <c r="AU7941"/>
      <c r="AV7941"/>
    </row>
    <row r="7942" spans="41:48" x14ac:dyDescent="0.35">
      <c r="AO7942"/>
      <c r="AP7942"/>
      <c r="AQ7942"/>
      <c r="AR7942"/>
      <c r="AS7942"/>
      <c r="AT7942"/>
      <c r="AU7942"/>
      <c r="AV7942"/>
    </row>
    <row r="7943" spans="41:48" x14ac:dyDescent="0.35">
      <c r="AO7943"/>
      <c r="AP7943"/>
      <c r="AQ7943"/>
      <c r="AR7943"/>
      <c r="AS7943"/>
      <c r="AT7943"/>
      <c r="AU7943"/>
      <c r="AV7943"/>
    </row>
    <row r="7944" spans="41:48" x14ac:dyDescent="0.35">
      <c r="AO7944"/>
      <c r="AP7944"/>
      <c r="AQ7944"/>
      <c r="AR7944"/>
      <c r="AS7944"/>
      <c r="AT7944"/>
      <c r="AU7944"/>
      <c r="AV7944"/>
    </row>
    <row r="7945" spans="41:48" x14ac:dyDescent="0.35">
      <c r="AO7945"/>
      <c r="AP7945"/>
      <c r="AQ7945"/>
      <c r="AR7945"/>
      <c r="AS7945"/>
      <c r="AT7945"/>
      <c r="AU7945"/>
      <c r="AV7945"/>
    </row>
    <row r="7946" spans="41:48" x14ac:dyDescent="0.35">
      <c r="AO7946"/>
      <c r="AP7946"/>
      <c r="AQ7946"/>
      <c r="AR7946"/>
      <c r="AS7946"/>
      <c r="AT7946"/>
      <c r="AU7946"/>
      <c r="AV7946"/>
    </row>
    <row r="7947" spans="41:48" x14ac:dyDescent="0.35">
      <c r="AO7947"/>
      <c r="AP7947"/>
      <c r="AQ7947"/>
      <c r="AR7947"/>
      <c r="AS7947"/>
      <c r="AT7947"/>
      <c r="AU7947"/>
      <c r="AV7947"/>
    </row>
    <row r="7948" spans="41:48" x14ac:dyDescent="0.35">
      <c r="AO7948"/>
      <c r="AP7948"/>
      <c r="AQ7948"/>
      <c r="AR7948"/>
      <c r="AS7948"/>
      <c r="AT7948"/>
      <c r="AU7948"/>
      <c r="AV7948"/>
    </row>
    <row r="7949" spans="41:48" x14ac:dyDescent="0.35">
      <c r="AO7949"/>
      <c r="AP7949"/>
      <c r="AQ7949"/>
      <c r="AR7949"/>
      <c r="AS7949"/>
      <c r="AT7949"/>
      <c r="AU7949"/>
      <c r="AV7949"/>
    </row>
    <row r="7950" spans="41:48" x14ac:dyDescent="0.35">
      <c r="AO7950"/>
      <c r="AP7950"/>
      <c r="AQ7950"/>
      <c r="AR7950"/>
      <c r="AS7950"/>
      <c r="AT7950"/>
      <c r="AU7950"/>
      <c r="AV7950"/>
    </row>
    <row r="7951" spans="41:48" x14ac:dyDescent="0.35">
      <c r="AO7951"/>
      <c r="AP7951"/>
      <c r="AQ7951"/>
      <c r="AR7951"/>
      <c r="AS7951"/>
      <c r="AT7951"/>
      <c r="AU7951"/>
      <c r="AV7951"/>
    </row>
    <row r="7952" spans="41:48" x14ac:dyDescent="0.35">
      <c r="AO7952"/>
      <c r="AP7952"/>
      <c r="AQ7952"/>
      <c r="AR7952"/>
      <c r="AS7952"/>
      <c r="AT7952"/>
      <c r="AU7952"/>
      <c r="AV7952"/>
    </row>
    <row r="7953" spans="41:48" x14ac:dyDescent="0.35">
      <c r="AO7953"/>
      <c r="AP7953"/>
      <c r="AQ7953"/>
      <c r="AR7953"/>
      <c r="AS7953"/>
      <c r="AT7953"/>
      <c r="AU7953"/>
      <c r="AV7953"/>
    </row>
    <row r="7954" spans="41:48" x14ac:dyDescent="0.35">
      <c r="AO7954"/>
      <c r="AP7954"/>
      <c r="AQ7954"/>
      <c r="AR7954"/>
      <c r="AS7954"/>
      <c r="AT7954"/>
      <c r="AU7954"/>
      <c r="AV7954"/>
    </row>
    <row r="7955" spans="41:48" x14ac:dyDescent="0.35">
      <c r="AO7955"/>
      <c r="AP7955"/>
      <c r="AQ7955"/>
      <c r="AR7955"/>
      <c r="AS7955"/>
      <c r="AT7955"/>
      <c r="AU7955"/>
      <c r="AV7955"/>
    </row>
    <row r="7956" spans="41:48" x14ac:dyDescent="0.35">
      <c r="AO7956"/>
      <c r="AP7956"/>
      <c r="AQ7956"/>
      <c r="AR7956"/>
      <c r="AS7956"/>
      <c r="AT7956"/>
      <c r="AU7956"/>
      <c r="AV7956"/>
    </row>
    <row r="7957" spans="41:48" x14ac:dyDescent="0.35">
      <c r="AO7957"/>
      <c r="AP7957"/>
      <c r="AQ7957"/>
      <c r="AR7957"/>
      <c r="AS7957"/>
      <c r="AT7957"/>
      <c r="AU7957"/>
      <c r="AV7957"/>
    </row>
    <row r="7958" spans="41:48" x14ac:dyDescent="0.35">
      <c r="AO7958"/>
      <c r="AP7958"/>
      <c r="AQ7958"/>
      <c r="AR7958"/>
      <c r="AS7958"/>
      <c r="AT7958"/>
      <c r="AU7958"/>
      <c r="AV7958"/>
    </row>
    <row r="7959" spans="41:48" x14ac:dyDescent="0.35">
      <c r="AO7959"/>
      <c r="AP7959"/>
      <c r="AQ7959"/>
      <c r="AR7959"/>
      <c r="AS7959"/>
      <c r="AT7959"/>
      <c r="AU7959"/>
      <c r="AV7959"/>
    </row>
    <row r="7960" spans="41:48" x14ac:dyDescent="0.35">
      <c r="AO7960"/>
      <c r="AP7960"/>
      <c r="AQ7960"/>
      <c r="AR7960"/>
      <c r="AS7960"/>
      <c r="AT7960"/>
      <c r="AU7960"/>
      <c r="AV7960"/>
    </row>
    <row r="7961" spans="41:48" x14ac:dyDescent="0.35">
      <c r="AO7961"/>
      <c r="AP7961"/>
      <c r="AQ7961"/>
      <c r="AR7961"/>
      <c r="AS7961"/>
      <c r="AT7961"/>
      <c r="AU7961"/>
      <c r="AV7961"/>
    </row>
    <row r="7962" spans="41:48" x14ac:dyDescent="0.35">
      <c r="AO7962"/>
      <c r="AP7962"/>
      <c r="AQ7962"/>
      <c r="AR7962"/>
      <c r="AS7962"/>
      <c r="AT7962"/>
      <c r="AU7962"/>
      <c r="AV7962"/>
    </row>
    <row r="7963" spans="41:48" x14ac:dyDescent="0.35">
      <c r="AO7963"/>
      <c r="AP7963"/>
      <c r="AQ7963"/>
      <c r="AR7963"/>
      <c r="AS7963"/>
      <c r="AT7963"/>
      <c r="AU7963"/>
      <c r="AV7963"/>
    </row>
    <row r="7964" spans="41:48" x14ac:dyDescent="0.35">
      <c r="AO7964"/>
      <c r="AP7964"/>
      <c r="AQ7964"/>
      <c r="AR7964"/>
      <c r="AS7964"/>
      <c r="AT7964"/>
      <c r="AU7964"/>
      <c r="AV7964"/>
    </row>
    <row r="7965" spans="41:48" x14ac:dyDescent="0.35">
      <c r="AO7965"/>
      <c r="AP7965"/>
      <c r="AQ7965"/>
      <c r="AR7965"/>
      <c r="AS7965"/>
      <c r="AT7965"/>
      <c r="AU7965"/>
      <c r="AV7965"/>
    </row>
    <row r="7966" spans="41:48" x14ac:dyDescent="0.35">
      <c r="AO7966"/>
      <c r="AP7966"/>
      <c r="AQ7966"/>
      <c r="AR7966"/>
      <c r="AS7966"/>
      <c r="AT7966"/>
      <c r="AU7966"/>
      <c r="AV7966"/>
    </row>
    <row r="7967" spans="41:48" x14ac:dyDescent="0.35">
      <c r="AO7967"/>
      <c r="AP7967"/>
      <c r="AQ7967"/>
      <c r="AR7967"/>
      <c r="AS7967"/>
      <c r="AT7967"/>
      <c r="AU7967"/>
      <c r="AV7967"/>
    </row>
    <row r="7968" spans="41:48" x14ac:dyDescent="0.35">
      <c r="AO7968"/>
      <c r="AP7968"/>
      <c r="AQ7968"/>
      <c r="AR7968"/>
      <c r="AS7968"/>
      <c r="AT7968"/>
      <c r="AU7968"/>
      <c r="AV7968"/>
    </row>
    <row r="7969" spans="41:48" x14ac:dyDescent="0.35">
      <c r="AO7969"/>
      <c r="AP7969"/>
      <c r="AQ7969"/>
      <c r="AR7969"/>
      <c r="AS7969"/>
      <c r="AT7969"/>
      <c r="AU7969"/>
      <c r="AV7969"/>
    </row>
    <row r="7970" spans="41:48" x14ac:dyDescent="0.35">
      <c r="AO7970"/>
      <c r="AP7970"/>
      <c r="AQ7970"/>
      <c r="AR7970"/>
      <c r="AS7970"/>
      <c r="AT7970"/>
      <c r="AU7970"/>
      <c r="AV7970"/>
    </row>
    <row r="7971" spans="41:48" x14ac:dyDescent="0.35">
      <c r="AO7971"/>
      <c r="AP7971"/>
      <c r="AQ7971"/>
      <c r="AR7971"/>
      <c r="AS7971"/>
      <c r="AT7971"/>
      <c r="AU7971"/>
      <c r="AV7971"/>
    </row>
    <row r="7972" spans="41:48" x14ac:dyDescent="0.35">
      <c r="AO7972"/>
      <c r="AP7972"/>
      <c r="AQ7972"/>
      <c r="AR7972"/>
      <c r="AS7972"/>
      <c r="AT7972"/>
      <c r="AU7972"/>
      <c r="AV7972"/>
    </row>
    <row r="7973" spans="41:48" x14ac:dyDescent="0.35">
      <c r="AO7973"/>
      <c r="AP7973"/>
      <c r="AQ7973"/>
      <c r="AR7973"/>
      <c r="AS7973"/>
      <c r="AT7973"/>
      <c r="AU7973"/>
      <c r="AV7973"/>
    </row>
    <row r="7974" spans="41:48" x14ac:dyDescent="0.35">
      <c r="AO7974"/>
      <c r="AP7974"/>
      <c r="AQ7974"/>
      <c r="AR7974"/>
      <c r="AS7974"/>
      <c r="AT7974"/>
      <c r="AU7974"/>
      <c r="AV7974"/>
    </row>
    <row r="7975" spans="41:48" x14ac:dyDescent="0.35">
      <c r="AO7975"/>
      <c r="AP7975"/>
      <c r="AQ7975"/>
      <c r="AR7975"/>
      <c r="AS7975"/>
      <c r="AT7975"/>
      <c r="AU7975"/>
      <c r="AV7975"/>
    </row>
    <row r="7976" spans="41:48" x14ac:dyDescent="0.35">
      <c r="AO7976"/>
      <c r="AP7976"/>
      <c r="AQ7976"/>
      <c r="AR7976"/>
      <c r="AS7976"/>
      <c r="AT7976"/>
      <c r="AU7976"/>
      <c r="AV7976"/>
    </row>
    <row r="7977" spans="41:48" x14ac:dyDescent="0.35">
      <c r="AO7977"/>
      <c r="AP7977"/>
      <c r="AQ7977"/>
      <c r="AR7977"/>
      <c r="AS7977"/>
      <c r="AT7977"/>
      <c r="AU7977"/>
      <c r="AV7977"/>
    </row>
    <row r="7978" spans="41:48" x14ac:dyDescent="0.35">
      <c r="AO7978"/>
      <c r="AP7978"/>
      <c r="AQ7978"/>
      <c r="AR7978"/>
      <c r="AS7978"/>
      <c r="AT7978"/>
      <c r="AU7978"/>
      <c r="AV7978"/>
    </row>
    <row r="7979" spans="41:48" x14ac:dyDescent="0.35">
      <c r="AO7979"/>
      <c r="AP7979"/>
      <c r="AQ7979"/>
      <c r="AR7979"/>
      <c r="AS7979"/>
      <c r="AT7979"/>
      <c r="AU7979"/>
      <c r="AV7979"/>
    </row>
    <row r="7980" spans="41:48" x14ac:dyDescent="0.35">
      <c r="AO7980"/>
      <c r="AP7980"/>
      <c r="AQ7980"/>
      <c r="AR7980"/>
      <c r="AS7980"/>
      <c r="AT7980"/>
      <c r="AU7980"/>
      <c r="AV7980"/>
    </row>
    <row r="7981" spans="41:48" x14ac:dyDescent="0.35">
      <c r="AO7981"/>
      <c r="AP7981"/>
      <c r="AQ7981"/>
      <c r="AR7981"/>
      <c r="AS7981"/>
      <c r="AT7981"/>
      <c r="AU7981"/>
      <c r="AV7981"/>
    </row>
    <row r="7982" spans="41:48" x14ac:dyDescent="0.35">
      <c r="AO7982"/>
      <c r="AP7982"/>
      <c r="AQ7982"/>
      <c r="AR7982"/>
      <c r="AS7982"/>
      <c r="AT7982"/>
      <c r="AU7982"/>
      <c r="AV7982"/>
    </row>
    <row r="7983" spans="41:48" x14ac:dyDescent="0.35">
      <c r="AO7983"/>
      <c r="AP7983"/>
      <c r="AQ7983"/>
      <c r="AR7983"/>
      <c r="AS7983"/>
      <c r="AT7983"/>
      <c r="AU7983"/>
      <c r="AV7983"/>
    </row>
    <row r="7984" spans="41:48" x14ac:dyDescent="0.35">
      <c r="AO7984"/>
      <c r="AP7984"/>
      <c r="AQ7984"/>
      <c r="AR7984"/>
      <c r="AS7984"/>
      <c r="AT7984"/>
      <c r="AU7984"/>
      <c r="AV7984"/>
    </row>
    <row r="7985" spans="41:48" x14ac:dyDescent="0.35">
      <c r="AO7985"/>
      <c r="AP7985"/>
      <c r="AQ7985"/>
      <c r="AR7985"/>
      <c r="AS7985"/>
      <c r="AT7985"/>
      <c r="AU7985"/>
      <c r="AV7985"/>
    </row>
    <row r="7986" spans="41:48" x14ac:dyDescent="0.35">
      <c r="AO7986"/>
      <c r="AP7986"/>
      <c r="AQ7986"/>
      <c r="AR7986"/>
      <c r="AS7986"/>
      <c r="AT7986"/>
      <c r="AU7986"/>
      <c r="AV7986"/>
    </row>
    <row r="7987" spans="41:48" x14ac:dyDescent="0.35">
      <c r="AO7987"/>
      <c r="AP7987"/>
      <c r="AQ7987"/>
      <c r="AR7987"/>
      <c r="AS7987"/>
      <c r="AT7987"/>
      <c r="AU7987"/>
      <c r="AV7987"/>
    </row>
    <row r="7988" spans="41:48" x14ac:dyDescent="0.35">
      <c r="AO7988"/>
      <c r="AP7988"/>
      <c r="AQ7988"/>
      <c r="AR7988"/>
      <c r="AS7988"/>
      <c r="AT7988"/>
      <c r="AU7988"/>
      <c r="AV7988"/>
    </row>
    <row r="7989" spans="41:48" x14ac:dyDescent="0.35">
      <c r="AO7989"/>
      <c r="AP7989"/>
      <c r="AQ7989"/>
      <c r="AR7989"/>
      <c r="AS7989"/>
      <c r="AT7989"/>
      <c r="AU7989"/>
      <c r="AV7989"/>
    </row>
    <row r="7990" spans="41:48" x14ac:dyDescent="0.35">
      <c r="AO7990"/>
      <c r="AP7990"/>
      <c r="AQ7990"/>
      <c r="AR7990"/>
      <c r="AS7990"/>
      <c r="AT7990"/>
      <c r="AU7990"/>
      <c r="AV7990"/>
    </row>
    <row r="7991" spans="41:48" x14ac:dyDescent="0.35">
      <c r="AO7991"/>
      <c r="AP7991"/>
      <c r="AQ7991"/>
      <c r="AR7991"/>
      <c r="AS7991"/>
      <c r="AT7991"/>
      <c r="AU7991"/>
      <c r="AV7991"/>
    </row>
    <row r="7992" spans="41:48" x14ac:dyDescent="0.35">
      <c r="AO7992"/>
      <c r="AP7992"/>
      <c r="AQ7992"/>
      <c r="AR7992"/>
      <c r="AS7992"/>
      <c r="AT7992"/>
      <c r="AU7992"/>
      <c r="AV7992"/>
    </row>
    <row r="7993" spans="41:48" x14ac:dyDescent="0.35">
      <c r="AO7993"/>
      <c r="AP7993"/>
      <c r="AQ7993"/>
      <c r="AR7993"/>
      <c r="AS7993"/>
      <c r="AT7993"/>
      <c r="AU7993"/>
      <c r="AV7993"/>
    </row>
    <row r="7994" spans="41:48" x14ac:dyDescent="0.35">
      <c r="AO7994"/>
      <c r="AP7994"/>
      <c r="AQ7994"/>
      <c r="AR7994"/>
      <c r="AS7994"/>
      <c r="AT7994"/>
      <c r="AU7994"/>
      <c r="AV7994"/>
    </row>
    <row r="7995" spans="41:48" x14ac:dyDescent="0.35">
      <c r="AO7995"/>
      <c r="AP7995"/>
      <c r="AQ7995"/>
      <c r="AR7995"/>
      <c r="AS7995"/>
      <c r="AT7995"/>
      <c r="AU7995"/>
      <c r="AV7995"/>
    </row>
    <row r="7996" spans="41:48" x14ac:dyDescent="0.35">
      <c r="AO7996"/>
      <c r="AP7996"/>
      <c r="AQ7996"/>
      <c r="AR7996"/>
      <c r="AS7996"/>
      <c r="AT7996"/>
      <c r="AU7996"/>
      <c r="AV7996"/>
    </row>
    <row r="7997" spans="41:48" x14ac:dyDescent="0.35">
      <c r="AO7997"/>
      <c r="AP7997"/>
      <c r="AQ7997"/>
      <c r="AR7997"/>
      <c r="AS7997"/>
      <c r="AT7997"/>
      <c r="AU7997"/>
      <c r="AV7997"/>
    </row>
    <row r="7998" spans="41:48" x14ac:dyDescent="0.35">
      <c r="AO7998"/>
      <c r="AP7998"/>
      <c r="AQ7998"/>
      <c r="AR7998"/>
      <c r="AS7998"/>
      <c r="AT7998"/>
      <c r="AU7998"/>
      <c r="AV7998"/>
    </row>
    <row r="7999" spans="41:48" x14ac:dyDescent="0.35">
      <c r="AO7999"/>
      <c r="AP7999"/>
      <c r="AQ7999"/>
      <c r="AR7999"/>
      <c r="AS7999"/>
      <c r="AT7999"/>
      <c r="AU7999"/>
      <c r="AV7999"/>
    </row>
    <row r="8000" spans="41:48" x14ac:dyDescent="0.35">
      <c r="AO8000"/>
      <c r="AP8000"/>
      <c r="AQ8000"/>
      <c r="AR8000"/>
      <c r="AS8000"/>
      <c r="AT8000"/>
      <c r="AU8000"/>
      <c r="AV8000"/>
    </row>
    <row r="8001" spans="41:48" x14ac:dyDescent="0.35">
      <c r="AO8001"/>
      <c r="AP8001"/>
      <c r="AQ8001"/>
      <c r="AR8001"/>
      <c r="AS8001"/>
      <c r="AT8001"/>
      <c r="AU8001"/>
      <c r="AV8001"/>
    </row>
    <row r="8002" spans="41:48" x14ac:dyDescent="0.35">
      <c r="AO8002"/>
      <c r="AP8002"/>
      <c r="AQ8002"/>
      <c r="AR8002"/>
      <c r="AS8002"/>
      <c r="AT8002"/>
      <c r="AU8002"/>
      <c r="AV8002"/>
    </row>
    <row r="8003" spans="41:48" x14ac:dyDescent="0.35">
      <c r="AO8003"/>
      <c r="AP8003"/>
      <c r="AQ8003"/>
      <c r="AR8003"/>
      <c r="AS8003"/>
      <c r="AT8003"/>
      <c r="AU8003"/>
      <c r="AV8003"/>
    </row>
    <row r="8004" spans="41:48" x14ac:dyDescent="0.35">
      <c r="AO8004"/>
      <c r="AP8004"/>
      <c r="AQ8004"/>
      <c r="AR8004"/>
      <c r="AS8004"/>
      <c r="AT8004"/>
      <c r="AU8004"/>
      <c r="AV8004"/>
    </row>
    <row r="8005" spans="41:48" x14ac:dyDescent="0.35">
      <c r="AO8005"/>
      <c r="AP8005"/>
      <c r="AQ8005"/>
      <c r="AR8005"/>
      <c r="AS8005"/>
      <c r="AT8005"/>
      <c r="AU8005"/>
      <c r="AV8005"/>
    </row>
    <row r="8006" spans="41:48" x14ac:dyDescent="0.35">
      <c r="AO8006"/>
      <c r="AP8006"/>
      <c r="AQ8006"/>
      <c r="AR8006"/>
      <c r="AS8006"/>
      <c r="AT8006"/>
      <c r="AU8006"/>
      <c r="AV8006"/>
    </row>
    <row r="8007" spans="41:48" x14ac:dyDescent="0.35">
      <c r="AO8007"/>
      <c r="AP8007"/>
      <c r="AQ8007"/>
      <c r="AR8007"/>
      <c r="AS8007"/>
      <c r="AT8007"/>
      <c r="AU8007"/>
      <c r="AV8007"/>
    </row>
    <row r="8008" spans="41:48" x14ac:dyDescent="0.35">
      <c r="AO8008"/>
      <c r="AP8008"/>
      <c r="AQ8008"/>
      <c r="AR8008"/>
      <c r="AS8008"/>
      <c r="AT8008"/>
      <c r="AU8008"/>
      <c r="AV8008"/>
    </row>
    <row r="8009" spans="41:48" x14ac:dyDescent="0.35">
      <c r="AO8009"/>
      <c r="AP8009"/>
      <c r="AQ8009"/>
      <c r="AR8009"/>
      <c r="AS8009"/>
      <c r="AT8009"/>
      <c r="AU8009"/>
      <c r="AV8009"/>
    </row>
    <row r="8010" spans="41:48" x14ac:dyDescent="0.35">
      <c r="AO8010"/>
      <c r="AP8010"/>
      <c r="AQ8010"/>
      <c r="AR8010"/>
      <c r="AS8010"/>
      <c r="AT8010"/>
      <c r="AU8010"/>
      <c r="AV8010"/>
    </row>
    <row r="8011" spans="41:48" x14ac:dyDescent="0.35">
      <c r="AO8011"/>
      <c r="AP8011"/>
      <c r="AQ8011"/>
      <c r="AR8011"/>
      <c r="AS8011"/>
      <c r="AT8011"/>
      <c r="AU8011"/>
      <c r="AV8011"/>
    </row>
    <row r="8012" spans="41:48" x14ac:dyDescent="0.35">
      <c r="AO8012"/>
      <c r="AP8012"/>
      <c r="AQ8012"/>
      <c r="AR8012"/>
      <c r="AS8012"/>
      <c r="AT8012"/>
      <c r="AU8012"/>
      <c r="AV8012"/>
    </row>
    <row r="8013" spans="41:48" x14ac:dyDescent="0.35">
      <c r="AO8013"/>
      <c r="AP8013"/>
      <c r="AQ8013"/>
      <c r="AR8013"/>
      <c r="AS8013"/>
      <c r="AT8013"/>
      <c r="AU8013"/>
      <c r="AV8013"/>
    </row>
    <row r="8014" spans="41:48" x14ac:dyDescent="0.35">
      <c r="AO8014"/>
      <c r="AP8014"/>
      <c r="AQ8014"/>
      <c r="AR8014"/>
      <c r="AS8014"/>
      <c r="AT8014"/>
      <c r="AU8014"/>
      <c r="AV8014"/>
    </row>
    <row r="8015" spans="41:48" x14ac:dyDescent="0.35">
      <c r="AO8015"/>
      <c r="AP8015"/>
      <c r="AQ8015"/>
      <c r="AR8015"/>
      <c r="AS8015"/>
      <c r="AT8015"/>
      <c r="AU8015"/>
      <c r="AV8015"/>
    </row>
    <row r="8016" spans="41:48" x14ac:dyDescent="0.35">
      <c r="AO8016"/>
      <c r="AP8016"/>
      <c r="AQ8016"/>
      <c r="AR8016"/>
      <c r="AS8016"/>
      <c r="AT8016"/>
      <c r="AU8016"/>
      <c r="AV8016"/>
    </row>
    <row r="8017" spans="41:48" x14ac:dyDescent="0.35">
      <c r="AO8017"/>
      <c r="AP8017"/>
      <c r="AQ8017"/>
      <c r="AR8017"/>
      <c r="AS8017"/>
      <c r="AT8017"/>
      <c r="AU8017"/>
      <c r="AV8017"/>
    </row>
    <row r="8018" spans="41:48" x14ac:dyDescent="0.35">
      <c r="AO8018"/>
      <c r="AP8018"/>
      <c r="AQ8018"/>
      <c r="AR8018"/>
      <c r="AS8018"/>
      <c r="AT8018"/>
      <c r="AU8018"/>
      <c r="AV8018"/>
    </row>
    <row r="8019" spans="41:48" x14ac:dyDescent="0.35">
      <c r="AO8019"/>
      <c r="AP8019"/>
      <c r="AQ8019"/>
      <c r="AR8019"/>
      <c r="AS8019"/>
      <c r="AT8019"/>
      <c r="AU8019"/>
      <c r="AV8019"/>
    </row>
    <row r="8020" spans="41:48" x14ac:dyDescent="0.35">
      <c r="AO8020"/>
      <c r="AP8020"/>
      <c r="AQ8020"/>
      <c r="AR8020"/>
      <c r="AS8020"/>
      <c r="AT8020"/>
      <c r="AU8020"/>
      <c r="AV8020"/>
    </row>
    <row r="8021" spans="41:48" x14ac:dyDescent="0.35">
      <c r="AO8021"/>
      <c r="AP8021"/>
      <c r="AQ8021"/>
      <c r="AR8021"/>
      <c r="AS8021"/>
      <c r="AT8021"/>
      <c r="AU8021"/>
      <c r="AV8021"/>
    </row>
    <row r="8022" spans="41:48" x14ac:dyDescent="0.35">
      <c r="AO8022"/>
      <c r="AP8022"/>
      <c r="AQ8022"/>
      <c r="AR8022"/>
      <c r="AS8022"/>
      <c r="AT8022"/>
      <c r="AU8022"/>
      <c r="AV8022"/>
    </row>
    <row r="8023" spans="41:48" x14ac:dyDescent="0.35">
      <c r="AO8023"/>
      <c r="AP8023"/>
      <c r="AQ8023"/>
      <c r="AR8023"/>
      <c r="AS8023"/>
      <c r="AT8023"/>
      <c r="AU8023"/>
      <c r="AV8023"/>
    </row>
    <row r="8024" spans="41:48" x14ac:dyDescent="0.35">
      <c r="AO8024"/>
      <c r="AP8024"/>
      <c r="AQ8024"/>
      <c r="AR8024"/>
      <c r="AS8024"/>
      <c r="AT8024"/>
      <c r="AU8024"/>
      <c r="AV8024"/>
    </row>
    <row r="8025" spans="41:48" x14ac:dyDescent="0.35">
      <c r="AO8025"/>
      <c r="AP8025"/>
      <c r="AQ8025"/>
      <c r="AR8025"/>
      <c r="AS8025"/>
      <c r="AT8025"/>
      <c r="AU8025"/>
      <c r="AV8025"/>
    </row>
    <row r="8026" spans="41:48" x14ac:dyDescent="0.35">
      <c r="AO8026"/>
      <c r="AP8026"/>
      <c r="AQ8026"/>
      <c r="AR8026"/>
      <c r="AS8026"/>
      <c r="AT8026"/>
      <c r="AU8026"/>
      <c r="AV8026"/>
    </row>
    <row r="8027" spans="41:48" x14ac:dyDescent="0.35">
      <c r="AO8027"/>
      <c r="AP8027"/>
      <c r="AQ8027"/>
      <c r="AR8027"/>
      <c r="AS8027"/>
      <c r="AT8027"/>
      <c r="AU8027"/>
      <c r="AV8027"/>
    </row>
    <row r="8028" spans="41:48" x14ac:dyDescent="0.35">
      <c r="AO8028"/>
      <c r="AP8028"/>
      <c r="AQ8028"/>
      <c r="AR8028"/>
      <c r="AS8028"/>
      <c r="AT8028"/>
      <c r="AU8028"/>
      <c r="AV8028"/>
    </row>
    <row r="8029" spans="41:48" x14ac:dyDescent="0.35">
      <c r="AO8029"/>
      <c r="AP8029"/>
      <c r="AQ8029"/>
      <c r="AR8029"/>
      <c r="AS8029"/>
      <c r="AT8029"/>
      <c r="AU8029"/>
      <c r="AV8029"/>
    </row>
    <row r="8030" spans="41:48" x14ac:dyDescent="0.35">
      <c r="AO8030"/>
      <c r="AP8030"/>
      <c r="AQ8030"/>
      <c r="AR8030"/>
      <c r="AS8030"/>
      <c r="AT8030"/>
      <c r="AU8030"/>
      <c r="AV8030"/>
    </row>
    <row r="8031" spans="41:48" x14ac:dyDescent="0.35">
      <c r="AO8031"/>
      <c r="AP8031"/>
      <c r="AQ8031"/>
      <c r="AR8031"/>
      <c r="AS8031"/>
      <c r="AT8031"/>
      <c r="AU8031"/>
      <c r="AV8031"/>
    </row>
    <row r="8032" spans="41:48" x14ac:dyDescent="0.35">
      <c r="AO8032"/>
      <c r="AP8032"/>
      <c r="AQ8032"/>
      <c r="AR8032"/>
      <c r="AS8032"/>
      <c r="AT8032"/>
      <c r="AU8032"/>
      <c r="AV8032"/>
    </row>
    <row r="8033" spans="41:48" x14ac:dyDescent="0.35">
      <c r="AO8033"/>
      <c r="AP8033"/>
      <c r="AQ8033"/>
      <c r="AR8033"/>
      <c r="AS8033"/>
      <c r="AT8033"/>
      <c r="AU8033"/>
      <c r="AV8033"/>
    </row>
    <row r="8034" spans="41:48" x14ac:dyDescent="0.35">
      <c r="AO8034"/>
      <c r="AP8034"/>
      <c r="AQ8034"/>
      <c r="AR8034"/>
      <c r="AS8034"/>
      <c r="AT8034"/>
      <c r="AU8034"/>
      <c r="AV8034"/>
    </row>
    <row r="8035" spans="41:48" x14ac:dyDescent="0.35">
      <c r="AO8035"/>
      <c r="AP8035"/>
      <c r="AQ8035"/>
      <c r="AR8035"/>
      <c r="AS8035"/>
      <c r="AT8035"/>
      <c r="AU8035"/>
      <c r="AV8035"/>
    </row>
    <row r="8036" spans="41:48" x14ac:dyDescent="0.35">
      <c r="AO8036"/>
      <c r="AP8036"/>
      <c r="AQ8036"/>
      <c r="AR8036"/>
      <c r="AS8036"/>
      <c r="AT8036"/>
      <c r="AU8036"/>
      <c r="AV8036"/>
    </row>
    <row r="8037" spans="41:48" x14ac:dyDescent="0.35">
      <c r="AO8037"/>
      <c r="AP8037"/>
      <c r="AQ8037"/>
      <c r="AR8037"/>
      <c r="AS8037"/>
      <c r="AT8037"/>
      <c r="AU8037"/>
      <c r="AV8037"/>
    </row>
    <row r="8038" spans="41:48" x14ac:dyDescent="0.35">
      <c r="AO8038"/>
      <c r="AP8038"/>
      <c r="AQ8038"/>
      <c r="AR8038"/>
      <c r="AS8038"/>
      <c r="AT8038"/>
      <c r="AU8038"/>
      <c r="AV8038"/>
    </row>
    <row r="8039" spans="41:48" x14ac:dyDescent="0.35">
      <c r="AO8039"/>
      <c r="AP8039"/>
      <c r="AQ8039"/>
      <c r="AR8039"/>
      <c r="AS8039"/>
      <c r="AT8039"/>
      <c r="AU8039"/>
      <c r="AV8039"/>
    </row>
    <row r="8040" spans="41:48" x14ac:dyDescent="0.35">
      <c r="AO8040"/>
      <c r="AP8040"/>
      <c r="AQ8040"/>
      <c r="AR8040"/>
      <c r="AS8040"/>
      <c r="AT8040"/>
      <c r="AU8040"/>
      <c r="AV8040"/>
    </row>
    <row r="8041" spans="41:48" x14ac:dyDescent="0.35">
      <c r="AO8041"/>
      <c r="AP8041"/>
      <c r="AQ8041"/>
      <c r="AR8041"/>
      <c r="AS8041"/>
      <c r="AT8041"/>
      <c r="AU8041"/>
      <c r="AV8041"/>
    </row>
    <row r="8042" spans="41:48" x14ac:dyDescent="0.35">
      <c r="AO8042"/>
      <c r="AP8042"/>
      <c r="AQ8042"/>
      <c r="AR8042"/>
      <c r="AS8042"/>
      <c r="AT8042"/>
      <c r="AU8042"/>
      <c r="AV8042"/>
    </row>
    <row r="8043" spans="41:48" x14ac:dyDescent="0.35">
      <c r="AO8043"/>
      <c r="AP8043"/>
      <c r="AQ8043"/>
      <c r="AR8043"/>
      <c r="AS8043"/>
      <c r="AT8043"/>
      <c r="AU8043"/>
      <c r="AV8043"/>
    </row>
    <row r="8044" spans="41:48" x14ac:dyDescent="0.35">
      <c r="AO8044"/>
      <c r="AP8044"/>
      <c r="AQ8044"/>
      <c r="AR8044"/>
      <c r="AS8044"/>
      <c r="AT8044"/>
      <c r="AU8044"/>
      <c r="AV8044"/>
    </row>
    <row r="8045" spans="41:48" x14ac:dyDescent="0.35">
      <c r="AO8045"/>
      <c r="AP8045"/>
      <c r="AQ8045"/>
      <c r="AR8045"/>
      <c r="AS8045"/>
      <c r="AT8045"/>
      <c r="AU8045"/>
      <c r="AV8045"/>
    </row>
    <row r="8046" spans="41:48" x14ac:dyDescent="0.35">
      <c r="AO8046"/>
      <c r="AP8046"/>
      <c r="AQ8046"/>
      <c r="AR8046"/>
      <c r="AS8046"/>
      <c r="AT8046"/>
      <c r="AU8046"/>
      <c r="AV8046"/>
    </row>
    <row r="8047" spans="41:48" x14ac:dyDescent="0.35">
      <c r="AO8047"/>
      <c r="AP8047"/>
      <c r="AQ8047"/>
      <c r="AR8047"/>
      <c r="AS8047"/>
      <c r="AT8047"/>
      <c r="AU8047"/>
      <c r="AV8047"/>
    </row>
    <row r="8048" spans="41:48" x14ac:dyDescent="0.35">
      <c r="AO8048"/>
      <c r="AP8048"/>
      <c r="AQ8048"/>
      <c r="AR8048"/>
      <c r="AS8048"/>
      <c r="AT8048"/>
      <c r="AU8048"/>
      <c r="AV8048"/>
    </row>
    <row r="8049" spans="41:48" x14ac:dyDescent="0.35">
      <c r="AO8049"/>
      <c r="AP8049"/>
      <c r="AQ8049"/>
      <c r="AR8049"/>
      <c r="AS8049"/>
      <c r="AT8049"/>
      <c r="AU8049"/>
      <c r="AV8049"/>
    </row>
    <row r="8050" spans="41:48" x14ac:dyDescent="0.35">
      <c r="AO8050"/>
      <c r="AP8050"/>
      <c r="AQ8050"/>
      <c r="AR8050"/>
      <c r="AS8050"/>
      <c r="AT8050"/>
      <c r="AU8050"/>
      <c r="AV8050"/>
    </row>
    <row r="8051" spans="41:48" x14ac:dyDescent="0.35">
      <c r="AO8051"/>
      <c r="AP8051"/>
      <c r="AQ8051"/>
      <c r="AR8051"/>
      <c r="AS8051"/>
      <c r="AT8051"/>
      <c r="AU8051"/>
      <c r="AV8051"/>
    </row>
    <row r="8052" spans="41:48" x14ac:dyDescent="0.35">
      <c r="AO8052"/>
      <c r="AP8052"/>
      <c r="AQ8052"/>
      <c r="AR8052"/>
      <c r="AS8052"/>
      <c r="AT8052"/>
      <c r="AU8052"/>
      <c r="AV8052"/>
    </row>
    <row r="8053" spans="41:48" x14ac:dyDescent="0.35">
      <c r="AO8053"/>
      <c r="AP8053"/>
      <c r="AQ8053"/>
      <c r="AR8053"/>
      <c r="AS8053"/>
      <c r="AT8053"/>
      <c r="AU8053"/>
      <c r="AV8053"/>
    </row>
    <row r="8054" spans="41:48" x14ac:dyDescent="0.35">
      <c r="AO8054"/>
      <c r="AP8054"/>
      <c r="AQ8054"/>
      <c r="AR8054"/>
      <c r="AS8054"/>
      <c r="AT8054"/>
      <c r="AU8054"/>
      <c r="AV8054"/>
    </row>
    <row r="8055" spans="41:48" x14ac:dyDescent="0.35">
      <c r="AO8055"/>
      <c r="AP8055"/>
      <c r="AQ8055"/>
      <c r="AR8055"/>
      <c r="AS8055"/>
      <c r="AT8055"/>
      <c r="AU8055"/>
      <c r="AV8055"/>
    </row>
    <row r="8056" spans="41:48" x14ac:dyDescent="0.35">
      <c r="AO8056"/>
      <c r="AP8056"/>
      <c r="AQ8056"/>
      <c r="AR8056"/>
      <c r="AS8056"/>
      <c r="AT8056"/>
      <c r="AU8056"/>
      <c r="AV8056"/>
    </row>
    <row r="8057" spans="41:48" x14ac:dyDescent="0.35">
      <c r="AO8057"/>
      <c r="AP8057"/>
      <c r="AQ8057"/>
      <c r="AR8057"/>
      <c r="AS8057"/>
      <c r="AT8057"/>
      <c r="AU8057"/>
      <c r="AV8057"/>
    </row>
    <row r="8058" spans="41:48" x14ac:dyDescent="0.35">
      <c r="AO8058"/>
      <c r="AP8058"/>
      <c r="AQ8058"/>
      <c r="AR8058"/>
      <c r="AS8058"/>
      <c r="AT8058"/>
      <c r="AU8058"/>
      <c r="AV8058"/>
    </row>
    <row r="8059" spans="41:48" x14ac:dyDescent="0.35">
      <c r="AO8059"/>
      <c r="AP8059"/>
      <c r="AQ8059"/>
      <c r="AR8059"/>
      <c r="AS8059"/>
      <c r="AT8059"/>
      <c r="AU8059"/>
      <c r="AV8059"/>
    </row>
    <row r="8060" spans="41:48" x14ac:dyDescent="0.35">
      <c r="AO8060"/>
      <c r="AP8060"/>
      <c r="AQ8060"/>
      <c r="AR8060"/>
      <c r="AS8060"/>
      <c r="AT8060"/>
      <c r="AU8060"/>
      <c r="AV8060"/>
    </row>
    <row r="8061" spans="41:48" x14ac:dyDescent="0.35">
      <c r="AO8061"/>
      <c r="AP8061"/>
      <c r="AQ8061"/>
      <c r="AR8061"/>
      <c r="AS8061"/>
      <c r="AT8061"/>
      <c r="AU8061"/>
      <c r="AV8061"/>
    </row>
    <row r="8062" spans="41:48" x14ac:dyDescent="0.35">
      <c r="AO8062"/>
      <c r="AP8062"/>
      <c r="AQ8062"/>
      <c r="AR8062"/>
      <c r="AS8062"/>
      <c r="AT8062"/>
      <c r="AU8062"/>
      <c r="AV8062"/>
    </row>
    <row r="8063" spans="41:48" x14ac:dyDescent="0.35">
      <c r="AO8063"/>
      <c r="AP8063"/>
      <c r="AQ8063"/>
      <c r="AR8063"/>
      <c r="AS8063"/>
      <c r="AT8063"/>
      <c r="AU8063"/>
      <c r="AV8063"/>
    </row>
    <row r="8064" spans="41:48" x14ac:dyDescent="0.35">
      <c r="AO8064"/>
      <c r="AP8064"/>
      <c r="AQ8064"/>
      <c r="AR8064"/>
      <c r="AS8064"/>
      <c r="AT8064"/>
      <c r="AU8064"/>
      <c r="AV8064"/>
    </row>
    <row r="8065" spans="41:48" x14ac:dyDescent="0.35">
      <c r="AO8065"/>
      <c r="AP8065"/>
      <c r="AQ8065"/>
      <c r="AR8065"/>
      <c r="AS8065"/>
      <c r="AT8065"/>
      <c r="AU8065"/>
      <c r="AV8065"/>
    </row>
    <row r="8066" spans="41:48" x14ac:dyDescent="0.35">
      <c r="AO8066"/>
      <c r="AP8066"/>
      <c r="AQ8066"/>
      <c r="AR8066"/>
      <c r="AS8066"/>
      <c r="AT8066"/>
      <c r="AU8066"/>
      <c r="AV8066"/>
    </row>
    <row r="8067" spans="41:48" x14ac:dyDescent="0.35">
      <c r="AO8067"/>
      <c r="AP8067"/>
      <c r="AQ8067"/>
      <c r="AR8067"/>
      <c r="AS8067"/>
      <c r="AT8067"/>
      <c r="AU8067"/>
      <c r="AV8067"/>
    </row>
    <row r="8068" spans="41:48" x14ac:dyDescent="0.35">
      <c r="AO8068"/>
      <c r="AP8068"/>
      <c r="AQ8068"/>
      <c r="AR8068"/>
      <c r="AS8068"/>
      <c r="AT8068"/>
      <c r="AU8068"/>
      <c r="AV8068"/>
    </row>
    <row r="8069" spans="41:48" x14ac:dyDescent="0.35">
      <c r="AO8069"/>
      <c r="AP8069"/>
      <c r="AQ8069"/>
      <c r="AR8069"/>
      <c r="AS8069"/>
      <c r="AT8069"/>
      <c r="AU8069"/>
      <c r="AV8069"/>
    </row>
    <row r="8070" spans="41:48" x14ac:dyDescent="0.35">
      <c r="AO8070"/>
      <c r="AP8070"/>
      <c r="AQ8070"/>
      <c r="AR8070"/>
      <c r="AS8070"/>
      <c r="AT8070"/>
      <c r="AU8070"/>
      <c r="AV8070"/>
    </row>
    <row r="8071" spans="41:48" x14ac:dyDescent="0.35">
      <c r="AO8071"/>
      <c r="AP8071"/>
      <c r="AQ8071"/>
      <c r="AR8071"/>
      <c r="AS8071"/>
      <c r="AT8071"/>
      <c r="AU8071"/>
      <c r="AV8071"/>
    </row>
    <row r="8072" spans="41:48" x14ac:dyDescent="0.35">
      <c r="AO8072"/>
      <c r="AP8072"/>
      <c r="AQ8072"/>
      <c r="AR8072"/>
      <c r="AS8072"/>
      <c r="AT8072"/>
      <c r="AU8072"/>
      <c r="AV8072"/>
    </row>
    <row r="8073" spans="41:48" x14ac:dyDescent="0.35">
      <c r="AO8073"/>
      <c r="AP8073"/>
      <c r="AQ8073"/>
      <c r="AR8073"/>
      <c r="AS8073"/>
      <c r="AT8073"/>
      <c r="AU8073"/>
      <c r="AV8073"/>
    </row>
    <row r="8074" spans="41:48" x14ac:dyDescent="0.35">
      <c r="AO8074"/>
      <c r="AP8074"/>
      <c r="AQ8074"/>
      <c r="AR8074"/>
      <c r="AS8074"/>
      <c r="AT8074"/>
      <c r="AU8074"/>
      <c r="AV8074"/>
    </row>
    <row r="8075" spans="41:48" x14ac:dyDescent="0.35">
      <c r="AO8075"/>
      <c r="AP8075"/>
      <c r="AQ8075"/>
      <c r="AR8075"/>
      <c r="AS8075"/>
      <c r="AT8075"/>
      <c r="AU8075"/>
      <c r="AV8075"/>
    </row>
    <row r="8076" spans="41:48" x14ac:dyDescent="0.35">
      <c r="AO8076"/>
      <c r="AP8076"/>
      <c r="AQ8076"/>
      <c r="AR8076"/>
      <c r="AS8076"/>
      <c r="AT8076"/>
      <c r="AU8076"/>
      <c r="AV8076"/>
    </row>
    <row r="8077" spans="41:48" x14ac:dyDescent="0.35">
      <c r="AO8077"/>
      <c r="AP8077"/>
      <c r="AQ8077"/>
      <c r="AR8077"/>
      <c r="AS8077"/>
      <c r="AT8077"/>
      <c r="AU8077"/>
      <c r="AV8077"/>
    </row>
    <row r="8078" spans="41:48" x14ac:dyDescent="0.35">
      <c r="AO8078"/>
      <c r="AP8078"/>
      <c r="AQ8078"/>
      <c r="AR8078"/>
      <c r="AS8078"/>
      <c r="AT8078"/>
      <c r="AU8078"/>
      <c r="AV8078"/>
    </row>
    <row r="8079" spans="41:48" x14ac:dyDescent="0.35">
      <c r="AO8079"/>
      <c r="AP8079"/>
      <c r="AQ8079"/>
      <c r="AR8079"/>
      <c r="AS8079"/>
      <c r="AT8079"/>
      <c r="AU8079"/>
      <c r="AV8079"/>
    </row>
    <row r="8080" spans="41:48" x14ac:dyDescent="0.35">
      <c r="AO8080"/>
      <c r="AP8080"/>
      <c r="AQ8080"/>
      <c r="AR8080"/>
      <c r="AS8080"/>
      <c r="AT8080"/>
      <c r="AU8080"/>
      <c r="AV8080"/>
    </row>
    <row r="8081" spans="41:48" x14ac:dyDescent="0.35">
      <c r="AO8081"/>
      <c r="AP8081"/>
      <c r="AQ8081"/>
      <c r="AR8081"/>
      <c r="AS8081"/>
      <c r="AT8081"/>
      <c r="AU8081"/>
      <c r="AV8081"/>
    </row>
    <row r="8082" spans="41:48" x14ac:dyDescent="0.35">
      <c r="AO8082"/>
      <c r="AP8082"/>
      <c r="AQ8082"/>
      <c r="AR8082"/>
      <c r="AS8082"/>
      <c r="AT8082"/>
      <c r="AU8082"/>
      <c r="AV8082"/>
    </row>
    <row r="8083" spans="41:48" x14ac:dyDescent="0.35">
      <c r="AO8083"/>
      <c r="AP8083"/>
      <c r="AQ8083"/>
      <c r="AR8083"/>
      <c r="AS8083"/>
      <c r="AT8083"/>
      <c r="AU8083"/>
      <c r="AV8083"/>
    </row>
    <row r="8084" spans="41:48" x14ac:dyDescent="0.35">
      <c r="AO8084"/>
      <c r="AP8084"/>
      <c r="AQ8084"/>
      <c r="AR8084"/>
      <c r="AS8084"/>
      <c r="AT8084"/>
      <c r="AU8084"/>
      <c r="AV8084"/>
    </row>
    <row r="8085" spans="41:48" x14ac:dyDescent="0.35">
      <c r="AO8085"/>
      <c r="AP8085"/>
      <c r="AQ8085"/>
      <c r="AR8085"/>
      <c r="AS8085"/>
      <c r="AT8085"/>
      <c r="AU8085"/>
      <c r="AV8085"/>
    </row>
    <row r="8086" spans="41:48" x14ac:dyDescent="0.35">
      <c r="AO8086"/>
      <c r="AP8086"/>
      <c r="AQ8086"/>
      <c r="AR8086"/>
      <c r="AS8086"/>
      <c r="AT8086"/>
      <c r="AU8086"/>
      <c r="AV8086"/>
    </row>
    <row r="8087" spans="41:48" x14ac:dyDescent="0.35">
      <c r="AO8087"/>
      <c r="AP8087"/>
      <c r="AQ8087"/>
      <c r="AR8087"/>
      <c r="AS8087"/>
      <c r="AT8087"/>
      <c r="AU8087"/>
      <c r="AV8087"/>
    </row>
    <row r="8088" spans="41:48" x14ac:dyDescent="0.35">
      <c r="AO8088"/>
      <c r="AP8088"/>
      <c r="AQ8088"/>
      <c r="AR8088"/>
      <c r="AS8088"/>
      <c r="AT8088"/>
      <c r="AU8088"/>
      <c r="AV8088"/>
    </row>
    <row r="8089" spans="41:48" x14ac:dyDescent="0.35">
      <c r="AO8089"/>
      <c r="AP8089"/>
      <c r="AQ8089"/>
      <c r="AR8089"/>
      <c r="AS8089"/>
      <c r="AT8089"/>
      <c r="AU8089"/>
      <c r="AV8089"/>
    </row>
    <row r="8090" spans="41:48" x14ac:dyDescent="0.35">
      <c r="AO8090"/>
      <c r="AP8090"/>
      <c r="AQ8090"/>
      <c r="AR8090"/>
      <c r="AS8090"/>
      <c r="AT8090"/>
      <c r="AU8090"/>
      <c r="AV8090"/>
    </row>
    <row r="8091" spans="41:48" x14ac:dyDescent="0.35">
      <c r="AO8091"/>
      <c r="AP8091"/>
      <c r="AQ8091"/>
      <c r="AR8091"/>
      <c r="AS8091"/>
      <c r="AT8091"/>
      <c r="AU8091"/>
      <c r="AV8091"/>
    </row>
    <row r="8092" spans="41:48" x14ac:dyDescent="0.35">
      <c r="AO8092"/>
      <c r="AP8092"/>
      <c r="AQ8092"/>
      <c r="AR8092"/>
      <c r="AS8092"/>
      <c r="AT8092"/>
      <c r="AU8092"/>
      <c r="AV8092"/>
    </row>
    <row r="8093" spans="41:48" x14ac:dyDescent="0.35">
      <c r="AO8093"/>
      <c r="AP8093"/>
      <c r="AQ8093"/>
      <c r="AR8093"/>
      <c r="AS8093"/>
      <c r="AT8093"/>
      <c r="AU8093"/>
      <c r="AV8093"/>
    </row>
    <row r="8094" spans="41:48" x14ac:dyDescent="0.35">
      <c r="AO8094"/>
      <c r="AP8094"/>
      <c r="AQ8094"/>
      <c r="AR8094"/>
      <c r="AS8094"/>
      <c r="AT8094"/>
      <c r="AU8094"/>
      <c r="AV8094"/>
    </row>
    <row r="8095" spans="41:48" x14ac:dyDescent="0.35">
      <c r="AO8095"/>
      <c r="AP8095"/>
      <c r="AQ8095"/>
      <c r="AR8095"/>
      <c r="AS8095"/>
      <c r="AT8095"/>
      <c r="AU8095"/>
      <c r="AV8095"/>
    </row>
    <row r="8096" spans="41:48" x14ac:dyDescent="0.35">
      <c r="AO8096"/>
      <c r="AP8096"/>
      <c r="AQ8096"/>
      <c r="AR8096"/>
      <c r="AS8096"/>
      <c r="AT8096"/>
      <c r="AU8096"/>
      <c r="AV8096"/>
    </row>
    <row r="8097" spans="41:48" x14ac:dyDescent="0.35">
      <c r="AO8097"/>
      <c r="AP8097"/>
      <c r="AQ8097"/>
      <c r="AR8097"/>
      <c r="AS8097"/>
      <c r="AT8097"/>
      <c r="AU8097"/>
      <c r="AV8097"/>
    </row>
    <row r="8098" spans="41:48" x14ac:dyDescent="0.35">
      <c r="AO8098"/>
      <c r="AP8098"/>
      <c r="AQ8098"/>
      <c r="AR8098"/>
      <c r="AS8098"/>
      <c r="AT8098"/>
      <c r="AU8098"/>
      <c r="AV8098"/>
    </row>
    <row r="8099" spans="41:48" x14ac:dyDescent="0.35">
      <c r="AO8099"/>
      <c r="AP8099"/>
      <c r="AQ8099"/>
      <c r="AR8099"/>
      <c r="AS8099"/>
      <c r="AT8099"/>
      <c r="AU8099"/>
      <c r="AV8099"/>
    </row>
    <row r="8100" spans="41:48" x14ac:dyDescent="0.35">
      <c r="AO8100"/>
      <c r="AP8100"/>
      <c r="AQ8100"/>
      <c r="AR8100"/>
      <c r="AS8100"/>
      <c r="AT8100"/>
      <c r="AU8100"/>
      <c r="AV8100"/>
    </row>
    <row r="8101" spans="41:48" x14ac:dyDescent="0.35">
      <c r="AO8101"/>
      <c r="AP8101"/>
      <c r="AQ8101"/>
      <c r="AR8101"/>
      <c r="AS8101"/>
      <c r="AT8101"/>
      <c r="AU8101"/>
      <c r="AV8101"/>
    </row>
    <row r="8102" spans="41:48" x14ac:dyDescent="0.35">
      <c r="AO8102"/>
      <c r="AP8102"/>
      <c r="AQ8102"/>
      <c r="AR8102"/>
      <c r="AS8102"/>
      <c r="AT8102"/>
      <c r="AU8102"/>
      <c r="AV8102"/>
    </row>
    <row r="8103" spans="41:48" x14ac:dyDescent="0.35">
      <c r="AO8103"/>
      <c r="AP8103"/>
      <c r="AQ8103"/>
      <c r="AR8103"/>
      <c r="AS8103"/>
      <c r="AT8103"/>
      <c r="AU8103"/>
      <c r="AV8103"/>
    </row>
    <row r="8104" spans="41:48" x14ac:dyDescent="0.35">
      <c r="AO8104"/>
      <c r="AP8104"/>
      <c r="AQ8104"/>
      <c r="AR8104"/>
      <c r="AS8104"/>
      <c r="AT8104"/>
      <c r="AU8104"/>
      <c r="AV8104"/>
    </row>
    <row r="8105" spans="41:48" x14ac:dyDescent="0.35">
      <c r="AO8105"/>
      <c r="AP8105"/>
      <c r="AQ8105"/>
      <c r="AR8105"/>
      <c r="AS8105"/>
      <c r="AT8105"/>
      <c r="AU8105"/>
      <c r="AV8105"/>
    </row>
    <row r="8106" spans="41:48" x14ac:dyDescent="0.35">
      <c r="AO8106"/>
      <c r="AP8106"/>
      <c r="AQ8106"/>
      <c r="AR8106"/>
      <c r="AS8106"/>
      <c r="AT8106"/>
      <c r="AU8106"/>
      <c r="AV8106"/>
    </row>
    <row r="8107" spans="41:48" x14ac:dyDescent="0.35">
      <c r="AO8107"/>
      <c r="AP8107"/>
      <c r="AQ8107"/>
      <c r="AR8107"/>
      <c r="AS8107"/>
      <c r="AT8107"/>
      <c r="AU8107"/>
      <c r="AV8107"/>
    </row>
    <row r="8108" spans="41:48" x14ac:dyDescent="0.35">
      <c r="AO8108"/>
      <c r="AP8108"/>
      <c r="AQ8108"/>
      <c r="AR8108"/>
      <c r="AS8108"/>
      <c r="AT8108"/>
      <c r="AU8108"/>
      <c r="AV8108"/>
    </row>
    <row r="8109" spans="41:48" x14ac:dyDescent="0.35">
      <c r="AO8109"/>
      <c r="AP8109"/>
      <c r="AQ8109"/>
      <c r="AR8109"/>
      <c r="AS8109"/>
      <c r="AT8109"/>
      <c r="AU8109"/>
      <c r="AV8109"/>
    </row>
    <row r="8110" spans="41:48" x14ac:dyDescent="0.35">
      <c r="AO8110"/>
      <c r="AP8110"/>
      <c r="AQ8110"/>
      <c r="AR8110"/>
      <c r="AS8110"/>
      <c r="AT8110"/>
      <c r="AU8110"/>
      <c r="AV8110"/>
    </row>
    <row r="8111" spans="41:48" x14ac:dyDescent="0.35">
      <c r="AO8111"/>
      <c r="AP8111"/>
      <c r="AQ8111"/>
      <c r="AR8111"/>
      <c r="AS8111"/>
      <c r="AT8111"/>
      <c r="AU8111"/>
      <c r="AV8111"/>
    </row>
    <row r="8112" spans="41:48" x14ac:dyDescent="0.35">
      <c r="AO8112"/>
      <c r="AP8112"/>
      <c r="AQ8112"/>
      <c r="AR8112"/>
      <c r="AS8112"/>
      <c r="AT8112"/>
      <c r="AU8112"/>
      <c r="AV8112"/>
    </row>
    <row r="8113" spans="41:48" x14ac:dyDescent="0.35">
      <c r="AO8113"/>
      <c r="AP8113"/>
      <c r="AQ8113"/>
      <c r="AR8113"/>
      <c r="AS8113"/>
      <c r="AT8113"/>
      <c r="AU8113"/>
      <c r="AV8113"/>
    </row>
    <row r="8114" spans="41:48" x14ac:dyDescent="0.35">
      <c r="AO8114"/>
      <c r="AP8114"/>
      <c r="AQ8114"/>
      <c r="AR8114"/>
      <c r="AS8114"/>
      <c r="AT8114"/>
      <c r="AU8114"/>
      <c r="AV8114"/>
    </row>
    <row r="8115" spans="41:48" x14ac:dyDescent="0.35">
      <c r="AO8115"/>
      <c r="AP8115"/>
      <c r="AQ8115"/>
      <c r="AR8115"/>
      <c r="AS8115"/>
      <c r="AT8115"/>
      <c r="AU8115"/>
      <c r="AV8115"/>
    </row>
    <row r="8116" spans="41:48" x14ac:dyDescent="0.35">
      <c r="AO8116"/>
      <c r="AP8116"/>
      <c r="AQ8116"/>
      <c r="AR8116"/>
      <c r="AS8116"/>
      <c r="AT8116"/>
      <c r="AU8116"/>
      <c r="AV8116"/>
    </row>
    <row r="8117" spans="41:48" x14ac:dyDescent="0.35">
      <c r="AO8117"/>
      <c r="AP8117"/>
      <c r="AQ8117"/>
      <c r="AR8117"/>
      <c r="AS8117"/>
      <c r="AT8117"/>
      <c r="AU8117"/>
      <c r="AV8117"/>
    </row>
    <row r="8118" spans="41:48" x14ac:dyDescent="0.35">
      <c r="AO8118"/>
      <c r="AP8118"/>
      <c r="AQ8118"/>
      <c r="AR8118"/>
      <c r="AS8118"/>
      <c r="AT8118"/>
      <c r="AU8118"/>
      <c r="AV8118"/>
    </row>
    <row r="8119" spans="41:48" x14ac:dyDescent="0.35">
      <c r="AO8119"/>
      <c r="AP8119"/>
      <c r="AQ8119"/>
      <c r="AR8119"/>
      <c r="AS8119"/>
      <c r="AT8119"/>
      <c r="AU8119"/>
      <c r="AV8119"/>
    </row>
    <row r="8120" spans="41:48" x14ac:dyDescent="0.35">
      <c r="AO8120"/>
      <c r="AP8120"/>
      <c r="AQ8120"/>
      <c r="AR8120"/>
      <c r="AS8120"/>
      <c r="AT8120"/>
      <c r="AU8120"/>
      <c r="AV8120"/>
    </row>
    <row r="8121" spans="41:48" x14ac:dyDescent="0.35">
      <c r="AO8121"/>
      <c r="AP8121"/>
      <c r="AQ8121"/>
      <c r="AR8121"/>
      <c r="AS8121"/>
      <c r="AT8121"/>
      <c r="AU8121"/>
      <c r="AV8121"/>
    </row>
    <row r="8122" spans="41:48" x14ac:dyDescent="0.35">
      <c r="AO8122"/>
      <c r="AP8122"/>
      <c r="AQ8122"/>
      <c r="AR8122"/>
      <c r="AS8122"/>
      <c r="AT8122"/>
      <c r="AU8122"/>
      <c r="AV8122"/>
    </row>
    <row r="8123" spans="41:48" x14ac:dyDescent="0.35">
      <c r="AO8123"/>
      <c r="AP8123"/>
      <c r="AQ8123"/>
      <c r="AR8123"/>
      <c r="AS8123"/>
      <c r="AT8123"/>
      <c r="AU8123"/>
      <c r="AV8123"/>
    </row>
    <row r="8124" spans="41:48" x14ac:dyDescent="0.35">
      <c r="AO8124"/>
      <c r="AP8124"/>
      <c r="AQ8124"/>
      <c r="AR8124"/>
      <c r="AS8124"/>
      <c r="AT8124"/>
      <c r="AU8124"/>
      <c r="AV8124"/>
    </row>
    <row r="8125" spans="41:48" x14ac:dyDescent="0.35">
      <c r="AO8125"/>
      <c r="AP8125"/>
      <c r="AQ8125"/>
      <c r="AR8125"/>
      <c r="AS8125"/>
      <c r="AT8125"/>
      <c r="AU8125"/>
      <c r="AV8125"/>
    </row>
    <row r="8126" spans="41:48" x14ac:dyDescent="0.35">
      <c r="AO8126"/>
      <c r="AP8126"/>
      <c r="AQ8126"/>
      <c r="AR8126"/>
      <c r="AS8126"/>
      <c r="AT8126"/>
      <c r="AU8126"/>
      <c r="AV8126"/>
    </row>
    <row r="8127" spans="41:48" x14ac:dyDescent="0.35">
      <c r="AO8127"/>
      <c r="AP8127"/>
      <c r="AQ8127"/>
      <c r="AR8127"/>
      <c r="AS8127"/>
      <c r="AT8127"/>
      <c r="AU8127"/>
      <c r="AV8127"/>
    </row>
    <row r="8128" spans="41:48" x14ac:dyDescent="0.35">
      <c r="AO8128"/>
      <c r="AP8128"/>
      <c r="AQ8128"/>
      <c r="AR8128"/>
      <c r="AS8128"/>
      <c r="AT8128"/>
      <c r="AU8128"/>
      <c r="AV8128"/>
    </row>
    <row r="8129" spans="41:48" x14ac:dyDescent="0.35">
      <c r="AO8129"/>
      <c r="AP8129"/>
      <c r="AQ8129"/>
      <c r="AR8129"/>
      <c r="AS8129"/>
      <c r="AT8129"/>
      <c r="AU8129"/>
      <c r="AV8129"/>
    </row>
    <row r="8130" spans="41:48" x14ac:dyDescent="0.35">
      <c r="AO8130"/>
      <c r="AP8130"/>
      <c r="AQ8130"/>
      <c r="AR8130"/>
      <c r="AS8130"/>
      <c r="AT8130"/>
      <c r="AU8130"/>
      <c r="AV8130"/>
    </row>
    <row r="8131" spans="41:48" x14ac:dyDescent="0.35">
      <c r="AO8131"/>
      <c r="AP8131"/>
      <c r="AQ8131"/>
      <c r="AR8131"/>
      <c r="AS8131"/>
      <c r="AT8131"/>
      <c r="AU8131"/>
      <c r="AV8131"/>
    </row>
    <row r="8132" spans="41:48" x14ac:dyDescent="0.35">
      <c r="AO8132"/>
      <c r="AP8132"/>
      <c r="AQ8132"/>
      <c r="AR8132"/>
      <c r="AS8132"/>
      <c r="AT8132"/>
      <c r="AU8132"/>
      <c r="AV8132"/>
    </row>
    <row r="8133" spans="41:48" x14ac:dyDescent="0.35">
      <c r="AO8133"/>
      <c r="AP8133"/>
      <c r="AQ8133"/>
      <c r="AR8133"/>
      <c r="AS8133"/>
      <c r="AT8133"/>
      <c r="AU8133"/>
      <c r="AV8133"/>
    </row>
    <row r="8134" spans="41:48" x14ac:dyDescent="0.35">
      <c r="AO8134"/>
      <c r="AP8134"/>
      <c r="AQ8134"/>
      <c r="AR8134"/>
      <c r="AS8134"/>
      <c r="AT8134"/>
      <c r="AU8134"/>
      <c r="AV8134"/>
    </row>
    <row r="8135" spans="41:48" x14ac:dyDescent="0.35">
      <c r="AO8135"/>
      <c r="AP8135"/>
      <c r="AQ8135"/>
      <c r="AR8135"/>
      <c r="AS8135"/>
      <c r="AT8135"/>
      <c r="AU8135"/>
      <c r="AV8135"/>
    </row>
    <row r="8136" spans="41:48" x14ac:dyDescent="0.35">
      <c r="AO8136"/>
      <c r="AP8136"/>
      <c r="AQ8136"/>
      <c r="AR8136"/>
      <c r="AS8136"/>
      <c r="AT8136"/>
      <c r="AU8136"/>
      <c r="AV8136"/>
    </row>
    <row r="8137" spans="41:48" x14ac:dyDescent="0.35">
      <c r="AO8137"/>
      <c r="AP8137"/>
      <c r="AQ8137"/>
      <c r="AR8137"/>
      <c r="AS8137"/>
      <c r="AT8137"/>
      <c r="AU8137"/>
      <c r="AV8137"/>
    </row>
    <row r="8138" spans="41:48" x14ac:dyDescent="0.35">
      <c r="AO8138"/>
      <c r="AP8138"/>
      <c r="AQ8138"/>
      <c r="AR8138"/>
      <c r="AS8138"/>
      <c r="AT8138"/>
      <c r="AU8138"/>
      <c r="AV8138"/>
    </row>
    <row r="8139" spans="41:48" x14ac:dyDescent="0.35">
      <c r="AO8139"/>
      <c r="AP8139"/>
      <c r="AQ8139"/>
      <c r="AR8139"/>
      <c r="AS8139"/>
      <c r="AT8139"/>
      <c r="AU8139"/>
      <c r="AV8139"/>
    </row>
    <row r="8140" spans="41:48" x14ac:dyDescent="0.35">
      <c r="AO8140"/>
      <c r="AP8140"/>
      <c r="AQ8140"/>
      <c r="AR8140"/>
      <c r="AS8140"/>
      <c r="AT8140"/>
      <c r="AU8140"/>
      <c r="AV8140"/>
    </row>
    <row r="8141" spans="41:48" x14ac:dyDescent="0.35">
      <c r="AO8141"/>
      <c r="AP8141"/>
      <c r="AQ8141"/>
      <c r="AR8141"/>
      <c r="AS8141"/>
      <c r="AT8141"/>
      <c r="AU8141"/>
      <c r="AV8141"/>
    </row>
    <row r="8142" spans="41:48" x14ac:dyDescent="0.35">
      <c r="AO8142"/>
      <c r="AP8142"/>
      <c r="AQ8142"/>
      <c r="AR8142"/>
      <c r="AS8142"/>
      <c r="AT8142"/>
      <c r="AU8142"/>
      <c r="AV8142"/>
    </row>
    <row r="8143" spans="41:48" x14ac:dyDescent="0.35">
      <c r="AO8143"/>
      <c r="AP8143"/>
      <c r="AQ8143"/>
      <c r="AR8143"/>
      <c r="AS8143"/>
      <c r="AT8143"/>
      <c r="AU8143"/>
      <c r="AV8143"/>
    </row>
    <row r="8144" spans="41:48" x14ac:dyDescent="0.35">
      <c r="AO8144"/>
      <c r="AP8144"/>
      <c r="AQ8144"/>
      <c r="AR8144"/>
      <c r="AS8144"/>
      <c r="AT8144"/>
      <c r="AU8144"/>
      <c r="AV8144"/>
    </row>
    <row r="8145" spans="41:48" x14ac:dyDescent="0.35">
      <c r="AO8145"/>
      <c r="AP8145"/>
      <c r="AQ8145"/>
      <c r="AR8145"/>
      <c r="AS8145"/>
      <c r="AT8145"/>
      <c r="AU8145"/>
      <c r="AV8145"/>
    </row>
    <row r="8146" spans="41:48" x14ac:dyDescent="0.35">
      <c r="AO8146"/>
      <c r="AP8146"/>
      <c r="AQ8146"/>
      <c r="AR8146"/>
      <c r="AS8146"/>
      <c r="AT8146"/>
      <c r="AU8146"/>
      <c r="AV8146"/>
    </row>
    <row r="8147" spans="41:48" x14ac:dyDescent="0.35">
      <c r="AO8147"/>
      <c r="AP8147"/>
      <c r="AQ8147"/>
      <c r="AR8147"/>
      <c r="AS8147"/>
      <c r="AT8147"/>
      <c r="AU8147"/>
      <c r="AV8147"/>
    </row>
    <row r="8148" spans="41:48" x14ac:dyDescent="0.35">
      <c r="AO8148"/>
      <c r="AP8148"/>
      <c r="AQ8148"/>
      <c r="AR8148"/>
      <c r="AS8148"/>
      <c r="AT8148"/>
      <c r="AU8148"/>
      <c r="AV8148"/>
    </row>
    <row r="8149" spans="41:48" x14ac:dyDescent="0.35">
      <c r="AO8149"/>
      <c r="AP8149"/>
      <c r="AQ8149"/>
      <c r="AR8149"/>
      <c r="AS8149"/>
      <c r="AT8149"/>
      <c r="AU8149"/>
      <c r="AV8149"/>
    </row>
    <row r="8150" spans="41:48" x14ac:dyDescent="0.35">
      <c r="AO8150"/>
      <c r="AP8150"/>
      <c r="AQ8150"/>
      <c r="AR8150"/>
      <c r="AS8150"/>
      <c r="AT8150"/>
      <c r="AU8150"/>
      <c r="AV8150"/>
    </row>
    <row r="8151" spans="41:48" x14ac:dyDescent="0.35">
      <c r="AO8151"/>
      <c r="AP8151"/>
      <c r="AQ8151"/>
      <c r="AR8151"/>
      <c r="AS8151"/>
      <c r="AT8151"/>
      <c r="AU8151"/>
      <c r="AV8151"/>
    </row>
    <row r="8152" spans="41:48" x14ac:dyDescent="0.35">
      <c r="AO8152"/>
      <c r="AP8152"/>
      <c r="AQ8152"/>
      <c r="AR8152"/>
      <c r="AS8152"/>
      <c r="AT8152"/>
      <c r="AU8152"/>
      <c r="AV8152"/>
    </row>
    <row r="8153" spans="41:48" x14ac:dyDescent="0.35">
      <c r="AO8153"/>
      <c r="AP8153"/>
      <c r="AQ8153"/>
      <c r="AR8153"/>
      <c r="AS8153"/>
      <c r="AT8153"/>
      <c r="AU8153"/>
      <c r="AV8153"/>
    </row>
    <row r="8154" spans="41:48" x14ac:dyDescent="0.35">
      <c r="AO8154"/>
      <c r="AP8154"/>
      <c r="AQ8154"/>
      <c r="AR8154"/>
      <c r="AS8154"/>
      <c r="AT8154"/>
      <c r="AU8154"/>
      <c r="AV8154"/>
    </row>
    <row r="8155" spans="41:48" x14ac:dyDescent="0.35">
      <c r="AO8155"/>
      <c r="AP8155"/>
      <c r="AQ8155"/>
      <c r="AR8155"/>
      <c r="AS8155"/>
      <c r="AT8155"/>
      <c r="AU8155"/>
      <c r="AV8155"/>
    </row>
    <row r="8156" spans="41:48" x14ac:dyDescent="0.35">
      <c r="AO8156"/>
      <c r="AP8156"/>
      <c r="AQ8156"/>
      <c r="AR8156"/>
      <c r="AS8156"/>
      <c r="AT8156"/>
      <c r="AU8156"/>
      <c r="AV8156"/>
    </row>
    <row r="8157" spans="41:48" x14ac:dyDescent="0.35">
      <c r="AO8157"/>
      <c r="AP8157"/>
      <c r="AQ8157"/>
      <c r="AR8157"/>
      <c r="AS8157"/>
      <c r="AT8157"/>
      <c r="AU8157"/>
      <c r="AV8157"/>
    </row>
    <row r="8158" spans="41:48" x14ac:dyDescent="0.35">
      <c r="AO8158"/>
      <c r="AP8158"/>
      <c r="AQ8158"/>
      <c r="AR8158"/>
      <c r="AS8158"/>
      <c r="AT8158"/>
      <c r="AU8158"/>
      <c r="AV8158"/>
    </row>
    <row r="8159" spans="41:48" x14ac:dyDescent="0.35">
      <c r="AO8159"/>
      <c r="AP8159"/>
      <c r="AQ8159"/>
      <c r="AR8159"/>
      <c r="AS8159"/>
      <c r="AT8159"/>
      <c r="AU8159"/>
      <c r="AV8159"/>
    </row>
    <row r="8160" spans="41:48" x14ac:dyDescent="0.35">
      <c r="AO8160"/>
      <c r="AP8160"/>
      <c r="AQ8160"/>
      <c r="AR8160"/>
      <c r="AS8160"/>
      <c r="AT8160"/>
      <c r="AU8160"/>
      <c r="AV8160"/>
    </row>
    <row r="8161" spans="41:48" x14ac:dyDescent="0.35">
      <c r="AO8161"/>
      <c r="AP8161"/>
      <c r="AQ8161"/>
      <c r="AR8161"/>
      <c r="AS8161"/>
      <c r="AT8161"/>
      <c r="AU8161"/>
      <c r="AV8161"/>
    </row>
    <row r="8162" spans="41:48" x14ac:dyDescent="0.35">
      <c r="AO8162"/>
      <c r="AP8162"/>
      <c r="AQ8162"/>
      <c r="AR8162"/>
      <c r="AS8162"/>
      <c r="AT8162"/>
      <c r="AU8162"/>
      <c r="AV8162"/>
    </row>
    <row r="8163" spans="41:48" x14ac:dyDescent="0.35">
      <c r="AO8163"/>
      <c r="AP8163"/>
      <c r="AQ8163"/>
      <c r="AR8163"/>
      <c r="AS8163"/>
      <c r="AT8163"/>
      <c r="AU8163"/>
      <c r="AV8163"/>
    </row>
    <row r="8164" spans="41:48" x14ac:dyDescent="0.35">
      <c r="AO8164"/>
      <c r="AP8164"/>
      <c r="AQ8164"/>
      <c r="AR8164"/>
      <c r="AS8164"/>
      <c r="AT8164"/>
      <c r="AU8164"/>
      <c r="AV8164"/>
    </row>
    <row r="8165" spans="41:48" x14ac:dyDescent="0.35">
      <c r="AO8165"/>
      <c r="AP8165"/>
      <c r="AQ8165"/>
      <c r="AR8165"/>
      <c r="AS8165"/>
      <c r="AT8165"/>
      <c r="AU8165"/>
      <c r="AV8165"/>
    </row>
    <row r="8166" spans="41:48" x14ac:dyDescent="0.35">
      <c r="AO8166"/>
      <c r="AP8166"/>
      <c r="AQ8166"/>
      <c r="AR8166"/>
      <c r="AS8166"/>
      <c r="AT8166"/>
      <c r="AU8166"/>
      <c r="AV8166"/>
    </row>
    <row r="8167" spans="41:48" x14ac:dyDescent="0.35">
      <c r="AO8167"/>
      <c r="AP8167"/>
      <c r="AQ8167"/>
      <c r="AR8167"/>
      <c r="AS8167"/>
      <c r="AT8167"/>
      <c r="AU8167"/>
      <c r="AV8167"/>
    </row>
    <row r="8168" spans="41:48" x14ac:dyDescent="0.35">
      <c r="AO8168"/>
      <c r="AP8168"/>
      <c r="AQ8168"/>
      <c r="AR8168"/>
      <c r="AS8168"/>
      <c r="AT8168"/>
      <c r="AU8168"/>
      <c r="AV8168"/>
    </row>
    <row r="8169" spans="41:48" x14ac:dyDescent="0.35">
      <c r="AO8169"/>
      <c r="AP8169"/>
      <c r="AQ8169"/>
      <c r="AR8169"/>
      <c r="AS8169"/>
      <c r="AT8169"/>
      <c r="AU8169"/>
      <c r="AV8169"/>
    </row>
    <row r="8170" spans="41:48" x14ac:dyDescent="0.35">
      <c r="AO8170"/>
      <c r="AP8170"/>
      <c r="AQ8170"/>
      <c r="AR8170"/>
      <c r="AS8170"/>
      <c r="AT8170"/>
      <c r="AU8170"/>
      <c r="AV8170"/>
    </row>
    <row r="8171" spans="41:48" x14ac:dyDescent="0.35">
      <c r="AO8171"/>
      <c r="AP8171"/>
      <c r="AQ8171"/>
      <c r="AR8171"/>
      <c r="AS8171"/>
      <c r="AT8171"/>
      <c r="AU8171"/>
      <c r="AV8171"/>
    </row>
    <row r="8172" spans="41:48" x14ac:dyDescent="0.35">
      <c r="AO8172"/>
      <c r="AP8172"/>
      <c r="AQ8172"/>
      <c r="AR8172"/>
      <c r="AS8172"/>
      <c r="AT8172"/>
      <c r="AU8172"/>
      <c r="AV8172"/>
    </row>
    <row r="8173" spans="41:48" x14ac:dyDescent="0.35">
      <c r="AO8173"/>
      <c r="AP8173"/>
      <c r="AQ8173"/>
      <c r="AR8173"/>
      <c r="AS8173"/>
      <c r="AT8173"/>
      <c r="AU8173"/>
      <c r="AV8173"/>
    </row>
    <row r="8174" spans="41:48" x14ac:dyDescent="0.35">
      <c r="AO8174"/>
      <c r="AP8174"/>
      <c r="AQ8174"/>
      <c r="AR8174"/>
      <c r="AS8174"/>
      <c r="AT8174"/>
      <c r="AU8174"/>
      <c r="AV8174"/>
    </row>
    <row r="8175" spans="41:48" x14ac:dyDescent="0.35">
      <c r="AO8175"/>
      <c r="AP8175"/>
      <c r="AQ8175"/>
      <c r="AR8175"/>
      <c r="AS8175"/>
      <c r="AT8175"/>
      <c r="AU8175"/>
      <c r="AV8175"/>
    </row>
    <row r="8176" spans="41:48" x14ac:dyDescent="0.35">
      <c r="AO8176"/>
      <c r="AP8176"/>
      <c r="AQ8176"/>
      <c r="AR8176"/>
      <c r="AS8176"/>
      <c r="AT8176"/>
      <c r="AU8176"/>
      <c r="AV8176"/>
    </row>
    <row r="8177" spans="41:48" x14ac:dyDescent="0.35">
      <c r="AO8177"/>
      <c r="AP8177"/>
      <c r="AQ8177"/>
      <c r="AR8177"/>
      <c r="AS8177"/>
      <c r="AT8177"/>
      <c r="AU8177"/>
      <c r="AV8177"/>
    </row>
    <row r="8178" spans="41:48" x14ac:dyDescent="0.35">
      <c r="AO8178"/>
      <c r="AP8178"/>
      <c r="AQ8178"/>
      <c r="AR8178"/>
      <c r="AS8178"/>
      <c r="AT8178"/>
      <c r="AU8178"/>
      <c r="AV8178"/>
    </row>
    <row r="8179" spans="41:48" x14ac:dyDescent="0.35">
      <c r="AO8179"/>
      <c r="AP8179"/>
      <c r="AQ8179"/>
      <c r="AR8179"/>
      <c r="AS8179"/>
      <c r="AT8179"/>
      <c r="AU8179"/>
      <c r="AV8179"/>
    </row>
    <row r="8180" spans="41:48" x14ac:dyDescent="0.35">
      <c r="AO8180"/>
      <c r="AP8180"/>
      <c r="AQ8180"/>
      <c r="AR8180"/>
      <c r="AS8180"/>
      <c r="AT8180"/>
      <c r="AU8180"/>
      <c r="AV8180"/>
    </row>
    <row r="8181" spans="41:48" x14ac:dyDescent="0.35">
      <c r="AO8181"/>
      <c r="AP8181"/>
      <c r="AQ8181"/>
      <c r="AR8181"/>
      <c r="AS8181"/>
      <c r="AT8181"/>
      <c r="AU8181"/>
      <c r="AV8181"/>
    </row>
    <row r="8182" spans="41:48" x14ac:dyDescent="0.35">
      <c r="AO8182"/>
      <c r="AP8182"/>
      <c r="AQ8182"/>
      <c r="AR8182"/>
      <c r="AS8182"/>
      <c r="AT8182"/>
      <c r="AU8182"/>
      <c r="AV8182"/>
    </row>
    <row r="8183" spans="41:48" x14ac:dyDescent="0.35">
      <c r="AO8183"/>
      <c r="AP8183"/>
      <c r="AQ8183"/>
      <c r="AR8183"/>
      <c r="AS8183"/>
      <c r="AT8183"/>
      <c r="AU8183"/>
      <c r="AV8183"/>
    </row>
    <row r="8184" spans="41:48" x14ac:dyDescent="0.35">
      <c r="AO8184"/>
      <c r="AP8184"/>
      <c r="AQ8184"/>
      <c r="AR8184"/>
      <c r="AS8184"/>
      <c r="AT8184"/>
      <c r="AU8184"/>
      <c r="AV8184"/>
    </row>
    <row r="8185" spans="41:48" x14ac:dyDescent="0.35">
      <c r="AO8185"/>
      <c r="AP8185"/>
      <c r="AQ8185"/>
      <c r="AR8185"/>
      <c r="AS8185"/>
      <c r="AT8185"/>
      <c r="AU8185"/>
      <c r="AV8185"/>
    </row>
    <row r="8186" spans="41:48" x14ac:dyDescent="0.35">
      <c r="AO8186"/>
      <c r="AP8186"/>
      <c r="AQ8186"/>
      <c r="AR8186"/>
      <c r="AS8186"/>
      <c r="AT8186"/>
      <c r="AU8186"/>
      <c r="AV8186"/>
    </row>
    <row r="8187" spans="41:48" x14ac:dyDescent="0.35">
      <c r="AO8187"/>
      <c r="AP8187"/>
      <c r="AQ8187"/>
      <c r="AR8187"/>
      <c r="AS8187"/>
      <c r="AT8187"/>
      <c r="AU8187"/>
      <c r="AV8187"/>
    </row>
    <row r="8188" spans="41:48" x14ac:dyDescent="0.35">
      <c r="AO8188"/>
      <c r="AP8188"/>
      <c r="AQ8188"/>
      <c r="AR8188"/>
      <c r="AS8188"/>
      <c r="AT8188"/>
      <c r="AU8188"/>
      <c r="AV8188"/>
    </row>
    <row r="8189" spans="41:48" x14ac:dyDescent="0.35">
      <c r="AO8189"/>
      <c r="AP8189"/>
      <c r="AQ8189"/>
      <c r="AR8189"/>
      <c r="AS8189"/>
      <c r="AT8189"/>
      <c r="AU8189"/>
      <c r="AV8189"/>
    </row>
    <row r="8190" spans="41:48" x14ac:dyDescent="0.35">
      <c r="AO8190"/>
      <c r="AP8190"/>
      <c r="AQ8190"/>
      <c r="AR8190"/>
      <c r="AS8190"/>
      <c r="AT8190"/>
      <c r="AU8190"/>
      <c r="AV8190"/>
    </row>
    <row r="8191" spans="41:48" x14ac:dyDescent="0.35">
      <c r="AO8191"/>
      <c r="AP8191"/>
      <c r="AQ8191"/>
      <c r="AR8191"/>
      <c r="AS8191"/>
      <c r="AT8191"/>
      <c r="AU8191"/>
      <c r="AV8191"/>
    </row>
    <row r="8192" spans="41:48" x14ac:dyDescent="0.35">
      <c r="AO8192"/>
      <c r="AP8192"/>
      <c r="AQ8192"/>
      <c r="AR8192"/>
      <c r="AS8192"/>
      <c r="AT8192"/>
      <c r="AU8192"/>
      <c r="AV8192"/>
    </row>
    <row r="8193" spans="41:48" x14ac:dyDescent="0.35">
      <c r="AO8193"/>
      <c r="AP8193"/>
      <c r="AQ8193"/>
      <c r="AR8193"/>
      <c r="AS8193"/>
      <c r="AT8193"/>
      <c r="AU8193"/>
      <c r="AV8193"/>
    </row>
    <row r="8194" spans="41:48" x14ac:dyDescent="0.35">
      <c r="AO8194"/>
      <c r="AP8194"/>
      <c r="AQ8194"/>
      <c r="AR8194"/>
      <c r="AS8194"/>
      <c r="AT8194"/>
      <c r="AU8194"/>
      <c r="AV8194"/>
    </row>
    <row r="8195" spans="41:48" x14ac:dyDescent="0.35">
      <c r="AO8195"/>
      <c r="AP8195"/>
      <c r="AQ8195"/>
      <c r="AR8195"/>
      <c r="AS8195"/>
      <c r="AT8195"/>
      <c r="AU8195"/>
      <c r="AV8195"/>
    </row>
    <row r="8196" spans="41:48" x14ac:dyDescent="0.35">
      <c r="AO8196"/>
      <c r="AP8196"/>
      <c r="AQ8196"/>
      <c r="AR8196"/>
      <c r="AS8196"/>
      <c r="AT8196"/>
      <c r="AU8196"/>
      <c r="AV8196"/>
    </row>
    <row r="8197" spans="41:48" x14ac:dyDescent="0.35">
      <c r="AO8197"/>
      <c r="AP8197"/>
      <c r="AQ8197"/>
      <c r="AR8197"/>
      <c r="AS8197"/>
      <c r="AT8197"/>
      <c r="AU8197"/>
      <c r="AV8197"/>
    </row>
    <row r="8198" spans="41:48" x14ac:dyDescent="0.35">
      <c r="AO8198"/>
      <c r="AP8198"/>
      <c r="AQ8198"/>
      <c r="AR8198"/>
      <c r="AS8198"/>
      <c r="AT8198"/>
      <c r="AU8198"/>
      <c r="AV8198"/>
    </row>
    <row r="8199" spans="41:48" x14ac:dyDescent="0.35">
      <c r="AO8199"/>
      <c r="AP8199"/>
      <c r="AQ8199"/>
      <c r="AR8199"/>
      <c r="AS8199"/>
      <c r="AT8199"/>
      <c r="AU8199"/>
      <c r="AV8199"/>
    </row>
    <row r="8200" spans="41:48" x14ac:dyDescent="0.35">
      <c r="AO8200"/>
      <c r="AP8200"/>
      <c r="AQ8200"/>
      <c r="AR8200"/>
      <c r="AS8200"/>
      <c r="AT8200"/>
      <c r="AU8200"/>
      <c r="AV8200"/>
    </row>
    <row r="8201" spans="41:48" x14ac:dyDescent="0.35">
      <c r="AO8201"/>
      <c r="AP8201"/>
      <c r="AQ8201"/>
      <c r="AR8201"/>
      <c r="AS8201"/>
      <c r="AT8201"/>
      <c r="AU8201"/>
      <c r="AV8201"/>
    </row>
    <row r="8202" spans="41:48" x14ac:dyDescent="0.35">
      <c r="AO8202"/>
      <c r="AP8202"/>
      <c r="AQ8202"/>
      <c r="AR8202"/>
      <c r="AS8202"/>
      <c r="AT8202"/>
      <c r="AU8202"/>
      <c r="AV8202"/>
    </row>
    <row r="8203" spans="41:48" x14ac:dyDescent="0.35">
      <c r="AO8203"/>
      <c r="AP8203"/>
      <c r="AQ8203"/>
      <c r="AR8203"/>
      <c r="AS8203"/>
      <c r="AT8203"/>
      <c r="AU8203"/>
      <c r="AV8203"/>
    </row>
    <row r="8204" spans="41:48" x14ac:dyDescent="0.35">
      <c r="AO8204"/>
      <c r="AP8204"/>
      <c r="AQ8204"/>
      <c r="AR8204"/>
      <c r="AS8204"/>
      <c r="AT8204"/>
      <c r="AU8204"/>
      <c r="AV8204"/>
    </row>
    <row r="8205" spans="41:48" x14ac:dyDescent="0.35">
      <c r="AO8205"/>
      <c r="AP8205"/>
      <c r="AQ8205"/>
      <c r="AR8205"/>
      <c r="AS8205"/>
      <c r="AT8205"/>
      <c r="AU8205"/>
      <c r="AV8205"/>
    </row>
    <row r="8206" spans="41:48" x14ac:dyDescent="0.35">
      <c r="AO8206"/>
      <c r="AP8206"/>
      <c r="AQ8206"/>
      <c r="AR8206"/>
      <c r="AS8206"/>
      <c r="AT8206"/>
      <c r="AU8206"/>
      <c r="AV8206"/>
    </row>
    <row r="8207" spans="41:48" x14ac:dyDescent="0.35">
      <c r="AO8207"/>
      <c r="AP8207"/>
      <c r="AQ8207"/>
      <c r="AR8207"/>
      <c r="AS8207"/>
      <c r="AT8207"/>
      <c r="AU8207"/>
      <c r="AV8207"/>
    </row>
    <row r="8208" spans="41:48" x14ac:dyDescent="0.35">
      <c r="AO8208"/>
      <c r="AP8208"/>
      <c r="AQ8208"/>
      <c r="AR8208"/>
      <c r="AS8208"/>
      <c r="AT8208"/>
      <c r="AU8208"/>
      <c r="AV8208"/>
    </row>
    <row r="8209" spans="41:48" x14ac:dyDescent="0.35">
      <c r="AO8209"/>
      <c r="AP8209"/>
      <c r="AQ8209"/>
      <c r="AR8209"/>
      <c r="AS8209"/>
      <c r="AT8209"/>
      <c r="AU8209"/>
      <c r="AV8209"/>
    </row>
    <row r="8210" spans="41:48" x14ac:dyDescent="0.35">
      <c r="AO8210"/>
      <c r="AP8210"/>
      <c r="AQ8210"/>
      <c r="AR8210"/>
      <c r="AS8210"/>
      <c r="AT8210"/>
      <c r="AU8210"/>
      <c r="AV8210"/>
    </row>
    <row r="8211" spans="41:48" x14ac:dyDescent="0.35">
      <c r="AO8211"/>
      <c r="AP8211"/>
      <c r="AQ8211"/>
      <c r="AR8211"/>
      <c r="AS8211"/>
      <c r="AT8211"/>
      <c r="AU8211"/>
      <c r="AV8211"/>
    </row>
    <row r="8212" spans="41:48" x14ac:dyDescent="0.35">
      <c r="AO8212"/>
      <c r="AP8212"/>
      <c r="AQ8212"/>
      <c r="AR8212"/>
      <c r="AS8212"/>
      <c r="AT8212"/>
      <c r="AU8212"/>
      <c r="AV8212"/>
    </row>
    <row r="8213" spans="41:48" x14ac:dyDescent="0.35">
      <c r="AO8213"/>
      <c r="AP8213"/>
      <c r="AQ8213"/>
      <c r="AR8213"/>
      <c r="AS8213"/>
      <c r="AT8213"/>
      <c r="AU8213"/>
      <c r="AV8213"/>
    </row>
    <row r="8214" spans="41:48" x14ac:dyDescent="0.35">
      <c r="AO8214"/>
      <c r="AP8214"/>
      <c r="AQ8214"/>
      <c r="AR8214"/>
      <c r="AS8214"/>
      <c r="AT8214"/>
      <c r="AU8214"/>
      <c r="AV8214"/>
    </row>
    <row r="8215" spans="41:48" x14ac:dyDescent="0.35">
      <c r="AO8215"/>
      <c r="AP8215"/>
      <c r="AQ8215"/>
      <c r="AR8215"/>
      <c r="AS8215"/>
      <c r="AT8215"/>
      <c r="AU8215"/>
      <c r="AV8215"/>
    </row>
    <row r="8216" spans="41:48" x14ac:dyDescent="0.35">
      <c r="AO8216"/>
      <c r="AP8216"/>
      <c r="AQ8216"/>
      <c r="AR8216"/>
      <c r="AS8216"/>
      <c r="AT8216"/>
      <c r="AU8216"/>
      <c r="AV8216"/>
    </row>
    <row r="8217" spans="41:48" x14ac:dyDescent="0.35">
      <c r="AO8217"/>
      <c r="AP8217"/>
      <c r="AQ8217"/>
      <c r="AR8217"/>
      <c r="AS8217"/>
      <c r="AT8217"/>
      <c r="AU8217"/>
      <c r="AV8217"/>
    </row>
    <row r="8218" spans="41:48" x14ac:dyDescent="0.35">
      <c r="AO8218"/>
      <c r="AP8218"/>
      <c r="AQ8218"/>
      <c r="AR8218"/>
      <c r="AS8218"/>
      <c r="AT8218"/>
      <c r="AU8218"/>
      <c r="AV8218"/>
    </row>
    <row r="8219" spans="41:48" x14ac:dyDescent="0.35">
      <c r="AO8219"/>
      <c r="AP8219"/>
      <c r="AQ8219"/>
      <c r="AR8219"/>
      <c r="AS8219"/>
      <c r="AT8219"/>
      <c r="AU8219"/>
      <c r="AV8219"/>
    </row>
    <row r="8220" spans="41:48" x14ac:dyDescent="0.35">
      <c r="AO8220"/>
      <c r="AP8220"/>
      <c r="AQ8220"/>
      <c r="AR8220"/>
      <c r="AS8220"/>
      <c r="AT8220"/>
      <c r="AU8220"/>
      <c r="AV8220"/>
    </row>
    <row r="8221" spans="41:48" x14ac:dyDescent="0.35">
      <c r="AO8221"/>
      <c r="AP8221"/>
      <c r="AQ8221"/>
      <c r="AR8221"/>
      <c r="AS8221"/>
      <c r="AT8221"/>
      <c r="AU8221"/>
      <c r="AV8221"/>
    </row>
    <row r="8222" spans="41:48" x14ac:dyDescent="0.35">
      <c r="AO8222"/>
      <c r="AP8222"/>
      <c r="AQ8222"/>
      <c r="AR8222"/>
      <c r="AS8222"/>
      <c r="AT8222"/>
      <c r="AU8222"/>
      <c r="AV8222"/>
    </row>
    <row r="8223" spans="41:48" x14ac:dyDescent="0.35">
      <c r="AO8223"/>
      <c r="AP8223"/>
      <c r="AQ8223"/>
      <c r="AR8223"/>
      <c r="AS8223"/>
      <c r="AT8223"/>
      <c r="AU8223"/>
      <c r="AV8223"/>
    </row>
    <row r="8224" spans="41:48" x14ac:dyDescent="0.35">
      <c r="AO8224"/>
      <c r="AP8224"/>
      <c r="AQ8224"/>
      <c r="AR8224"/>
      <c r="AS8224"/>
      <c r="AT8224"/>
      <c r="AU8224"/>
      <c r="AV8224"/>
    </row>
    <row r="8225" spans="41:48" x14ac:dyDescent="0.35">
      <c r="AO8225"/>
      <c r="AP8225"/>
      <c r="AQ8225"/>
      <c r="AR8225"/>
      <c r="AS8225"/>
      <c r="AT8225"/>
      <c r="AU8225"/>
      <c r="AV8225"/>
    </row>
    <row r="8226" spans="41:48" x14ac:dyDescent="0.35">
      <c r="AO8226"/>
      <c r="AP8226"/>
      <c r="AQ8226"/>
      <c r="AR8226"/>
      <c r="AS8226"/>
      <c r="AT8226"/>
      <c r="AU8226"/>
      <c r="AV8226"/>
    </row>
    <row r="8227" spans="41:48" x14ac:dyDescent="0.35">
      <c r="AO8227"/>
      <c r="AP8227"/>
      <c r="AQ8227"/>
      <c r="AR8227"/>
      <c r="AS8227"/>
      <c r="AT8227"/>
      <c r="AU8227"/>
      <c r="AV8227"/>
    </row>
    <row r="8228" spans="41:48" x14ac:dyDescent="0.35">
      <c r="AO8228"/>
      <c r="AP8228"/>
      <c r="AQ8228"/>
      <c r="AR8228"/>
      <c r="AS8228"/>
      <c r="AT8228"/>
      <c r="AU8228"/>
      <c r="AV8228"/>
    </row>
    <row r="8229" spans="41:48" x14ac:dyDescent="0.35">
      <c r="AO8229"/>
      <c r="AP8229"/>
      <c r="AQ8229"/>
      <c r="AR8229"/>
      <c r="AS8229"/>
      <c r="AT8229"/>
      <c r="AU8229"/>
      <c r="AV8229"/>
    </row>
    <row r="8230" spans="41:48" x14ac:dyDescent="0.35">
      <c r="AO8230"/>
      <c r="AP8230"/>
      <c r="AQ8230"/>
      <c r="AR8230"/>
      <c r="AS8230"/>
      <c r="AT8230"/>
      <c r="AU8230"/>
      <c r="AV8230"/>
    </row>
    <row r="8231" spans="41:48" x14ac:dyDescent="0.35">
      <c r="AO8231"/>
      <c r="AP8231"/>
      <c r="AQ8231"/>
      <c r="AR8231"/>
      <c r="AS8231"/>
      <c r="AT8231"/>
      <c r="AU8231"/>
      <c r="AV8231"/>
    </row>
    <row r="8232" spans="41:48" x14ac:dyDescent="0.35">
      <c r="AO8232"/>
      <c r="AP8232"/>
      <c r="AQ8232"/>
      <c r="AR8232"/>
      <c r="AS8232"/>
      <c r="AT8232"/>
      <c r="AU8232"/>
      <c r="AV8232"/>
    </row>
    <row r="8233" spans="41:48" x14ac:dyDescent="0.35">
      <c r="AO8233"/>
      <c r="AP8233"/>
      <c r="AQ8233"/>
      <c r="AR8233"/>
      <c r="AS8233"/>
      <c r="AT8233"/>
      <c r="AU8233"/>
      <c r="AV8233"/>
    </row>
    <row r="8234" spans="41:48" x14ac:dyDescent="0.35">
      <c r="AO8234"/>
      <c r="AP8234"/>
      <c r="AQ8234"/>
      <c r="AR8234"/>
      <c r="AS8234"/>
      <c r="AT8234"/>
      <c r="AU8234"/>
      <c r="AV8234"/>
    </row>
    <row r="8235" spans="41:48" x14ac:dyDescent="0.35">
      <c r="AO8235"/>
      <c r="AP8235"/>
      <c r="AQ8235"/>
      <c r="AR8235"/>
      <c r="AS8235"/>
      <c r="AT8235"/>
      <c r="AU8235"/>
      <c r="AV8235"/>
    </row>
    <row r="8236" spans="41:48" x14ac:dyDescent="0.35">
      <c r="AO8236"/>
      <c r="AP8236"/>
      <c r="AQ8236"/>
      <c r="AR8236"/>
      <c r="AS8236"/>
      <c r="AT8236"/>
      <c r="AU8236"/>
      <c r="AV8236"/>
    </row>
    <row r="8237" spans="41:48" x14ac:dyDescent="0.35">
      <c r="AO8237"/>
      <c r="AP8237"/>
      <c r="AQ8237"/>
      <c r="AR8237"/>
      <c r="AS8237"/>
      <c r="AT8237"/>
      <c r="AU8237"/>
      <c r="AV8237"/>
    </row>
    <row r="8238" spans="41:48" x14ac:dyDescent="0.35">
      <c r="AO8238"/>
      <c r="AP8238"/>
      <c r="AQ8238"/>
      <c r="AR8238"/>
      <c r="AS8238"/>
      <c r="AT8238"/>
      <c r="AU8238"/>
      <c r="AV8238"/>
    </row>
    <row r="8239" spans="41:48" x14ac:dyDescent="0.35">
      <c r="AO8239"/>
      <c r="AP8239"/>
      <c r="AQ8239"/>
      <c r="AR8239"/>
      <c r="AS8239"/>
      <c r="AT8239"/>
      <c r="AU8239"/>
      <c r="AV8239"/>
    </row>
    <row r="8240" spans="41:48" x14ac:dyDescent="0.35">
      <c r="AO8240"/>
      <c r="AP8240"/>
      <c r="AQ8240"/>
      <c r="AR8240"/>
      <c r="AS8240"/>
      <c r="AT8240"/>
      <c r="AU8240"/>
      <c r="AV8240"/>
    </row>
    <row r="8241" spans="41:48" x14ac:dyDescent="0.35">
      <c r="AO8241"/>
      <c r="AP8241"/>
      <c r="AQ8241"/>
      <c r="AR8241"/>
      <c r="AS8241"/>
      <c r="AT8241"/>
      <c r="AU8241"/>
      <c r="AV8241"/>
    </row>
    <row r="8242" spans="41:48" x14ac:dyDescent="0.35">
      <c r="AO8242"/>
      <c r="AP8242"/>
      <c r="AQ8242"/>
      <c r="AR8242"/>
      <c r="AS8242"/>
      <c r="AT8242"/>
      <c r="AU8242"/>
      <c r="AV8242"/>
    </row>
    <row r="8243" spans="41:48" x14ac:dyDescent="0.35">
      <c r="AO8243"/>
      <c r="AP8243"/>
      <c r="AQ8243"/>
      <c r="AR8243"/>
      <c r="AS8243"/>
      <c r="AT8243"/>
      <c r="AU8243"/>
      <c r="AV8243"/>
    </row>
    <row r="8244" spans="41:48" x14ac:dyDescent="0.35">
      <c r="AO8244"/>
      <c r="AP8244"/>
      <c r="AQ8244"/>
      <c r="AR8244"/>
      <c r="AS8244"/>
      <c r="AT8244"/>
      <c r="AU8244"/>
      <c r="AV8244"/>
    </row>
    <row r="8245" spans="41:48" x14ac:dyDescent="0.35">
      <c r="AO8245"/>
      <c r="AP8245"/>
      <c r="AQ8245"/>
      <c r="AR8245"/>
      <c r="AS8245"/>
      <c r="AT8245"/>
      <c r="AU8245"/>
      <c r="AV8245"/>
    </row>
    <row r="8246" spans="41:48" x14ac:dyDescent="0.35">
      <c r="AO8246"/>
      <c r="AP8246"/>
      <c r="AQ8246"/>
      <c r="AR8246"/>
      <c r="AS8246"/>
      <c r="AT8246"/>
      <c r="AU8246"/>
      <c r="AV8246"/>
    </row>
    <row r="8247" spans="41:48" x14ac:dyDescent="0.35">
      <c r="AO8247"/>
      <c r="AP8247"/>
      <c r="AQ8247"/>
      <c r="AR8247"/>
      <c r="AS8247"/>
      <c r="AT8247"/>
      <c r="AU8247"/>
      <c r="AV8247"/>
    </row>
    <row r="8248" spans="41:48" x14ac:dyDescent="0.35">
      <c r="AO8248"/>
      <c r="AP8248"/>
      <c r="AQ8248"/>
      <c r="AR8248"/>
      <c r="AS8248"/>
      <c r="AT8248"/>
      <c r="AU8248"/>
      <c r="AV8248"/>
    </row>
    <row r="8249" spans="41:48" x14ac:dyDescent="0.35">
      <c r="AO8249"/>
      <c r="AP8249"/>
      <c r="AQ8249"/>
      <c r="AR8249"/>
      <c r="AS8249"/>
      <c r="AT8249"/>
      <c r="AU8249"/>
      <c r="AV8249"/>
    </row>
    <row r="8250" spans="41:48" x14ac:dyDescent="0.35">
      <c r="AO8250"/>
      <c r="AP8250"/>
      <c r="AQ8250"/>
      <c r="AR8250"/>
      <c r="AS8250"/>
      <c r="AT8250"/>
      <c r="AU8250"/>
      <c r="AV8250"/>
    </row>
    <row r="8251" spans="41:48" x14ac:dyDescent="0.35">
      <c r="AO8251"/>
      <c r="AP8251"/>
      <c r="AQ8251"/>
      <c r="AR8251"/>
      <c r="AS8251"/>
      <c r="AT8251"/>
      <c r="AU8251"/>
      <c r="AV8251"/>
    </row>
    <row r="8252" spans="41:48" x14ac:dyDescent="0.35">
      <c r="AO8252"/>
      <c r="AP8252"/>
      <c r="AQ8252"/>
      <c r="AR8252"/>
      <c r="AS8252"/>
      <c r="AT8252"/>
      <c r="AU8252"/>
      <c r="AV8252"/>
    </row>
    <row r="8253" spans="41:48" x14ac:dyDescent="0.35">
      <c r="AO8253"/>
      <c r="AP8253"/>
      <c r="AQ8253"/>
      <c r="AR8253"/>
      <c r="AS8253"/>
      <c r="AT8253"/>
      <c r="AU8253"/>
      <c r="AV8253"/>
    </row>
    <row r="8254" spans="41:48" x14ac:dyDescent="0.35">
      <c r="AO8254"/>
      <c r="AP8254"/>
      <c r="AQ8254"/>
      <c r="AR8254"/>
      <c r="AS8254"/>
      <c r="AT8254"/>
      <c r="AU8254"/>
      <c r="AV8254"/>
    </row>
    <row r="8255" spans="41:48" x14ac:dyDescent="0.35">
      <c r="AO8255"/>
      <c r="AP8255"/>
      <c r="AQ8255"/>
      <c r="AR8255"/>
      <c r="AS8255"/>
      <c r="AT8255"/>
      <c r="AU8255"/>
      <c r="AV8255"/>
    </row>
    <row r="8256" spans="41:48" x14ac:dyDescent="0.35">
      <c r="AO8256"/>
      <c r="AP8256"/>
      <c r="AQ8256"/>
      <c r="AR8256"/>
      <c r="AS8256"/>
      <c r="AT8256"/>
      <c r="AU8256"/>
      <c r="AV8256"/>
    </row>
    <row r="8257" spans="41:48" x14ac:dyDescent="0.35">
      <c r="AO8257"/>
      <c r="AP8257"/>
      <c r="AQ8257"/>
      <c r="AR8257"/>
      <c r="AS8257"/>
      <c r="AT8257"/>
      <c r="AU8257"/>
      <c r="AV8257"/>
    </row>
    <row r="8258" spans="41:48" x14ac:dyDescent="0.35">
      <c r="AO8258"/>
      <c r="AP8258"/>
      <c r="AQ8258"/>
      <c r="AR8258"/>
      <c r="AS8258"/>
      <c r="AT8258"/>
      <c r="AU8258"/>
      <c r="AV8258"/>
    </row>
    <row r="8259" spans="41:48" x14ac:dyDescent="0.35">
      <c r="AO8259"/>
      <c r="AP8259"/>
      <c r="AQ8259"/>
      <c r="AR8259"/>
      <c r="AS8259"/>
      <c r="AT8259"/>
      <c r="AU8259"/>
      <c r="AV8259"/>
    </row>
    <row r="8260" spans="41:48" x14ac:dyDescent="0.35">
      <c r="AO8260"/>
      <c r="AP8260"/>
      <c r="AQ8260"/>
      <c r="AR8260"/>
      <c r="AS8260"/>
      <c r="AT8260"/>
      <c r="AU8260"/>
      <c r="AV8260"/>
    </row>
    <row r="8261" spans="41:48" x14ac:dyDescent="0.35">
      <c r="AO8261"/>
      <c r="AP8261"/>
      <c r="AQ8261"/>
      <c r="AR8261"/>
      <c r="AS8261"/>
      <c r="AT8261"/>
      <c r="AU8261"/>
      <c r="AV8261"/>
    </row>
    <row r="8262" spans="41:48" x14ac:dyDescent="0.35">
      <c r="AO8262"/>
      <c r="AP8262"/>
      <c r="AQ8262"/>
      <c r="AR8262"/>
      <c r="AS8262"/>
      <c r="AT8262"/>
      <c r="AU8262"/>
      <c r="AV8262"/>
    </row>
    <row r="8263" spans="41:48" x14ac:dyDescent="0.35">
      <c r="AO8263"/>
      <c r="AP8263"/>
      <c r="AQ8263"/>
      <c r="AR8263"/>
      <c r="AS8263"/>
      <c r="AT8263"/>
      <c r="AU8263"/>
      <c r="AV8263"/>
    </row>
    <row r="8264" spans="41:48" x14ac:dyDescent="0.35">
      <c r="AO8264"/>
      <c r="AP8264"/>
      <c r="AQ8264"/>
      <c r="AR8264"/>
      <c r="AS8264"/>
      <c r="AT8264"/>
      <c r="AU8264"/>
      <c r="AV8264"/>
    </row>
    <row r="8265" spans="41:48" x14ac:dyDescent="0.35">
      <c r="AO8265"/>
      <c r="AP8265"/>
      <c r="AQ8265"/>
      <c r="AR8265"/>
      <c r="AS8265"/>
      <c r="AT8265"/>
      <c r="AU8265"/>
      <c r="AV8265"/>
    </row>
    <row r="8266" spans="41:48" x14ac:dyDescent="0.35">
      <c r="AO8266"/>
      <c r="AP8266"/>
      <c r="AQ8266"/>
      <c r="AR8266"/>
      <c r="AS8266"/>
      <c r="AT8266"/>
      <c r="AU8266"/>
      <c r="AV8266"/>
    </row>
    <row r="8267" spans="41:48" x14ac:dyDescent="0.35">
      <c r="AO8267"/>
      <c r="AP8267"/>
      <c r="AQ8267"/>
      <c r="AR8267"/>
      <c r="AS8267"/>
      <c r="AT8267"/>
      <c r="AU8267"/>
      <c r="AV8267"/>
    </row>
    <row r="8268" spans="41:48" x14ac:dyDescent="0.35">
      <c r="AO8268"/>
      <c r="AP8268"/>
      <c r="AQ8268"/>
      <c r="AR8268"/>
      <c r="AS8268"/>
      <c r="AT8268"/>
      <c r="AU8268"/>
      <c r="AV8268"/>
    </row>
    <row r="8269" spans="41:48" x14ac:dyDescent="0.35">
      <c r="AO8269"/>
      <c r="AP8269"/>
      <c r="AQ8269"/>
      <c r="AR8269"/>
      <c r="AS8269"/>
      <c r="AT8269"/>
      <c r="AU8269"/>
      <c r="AV8269"/>
    </row>
    <row r="8270" spans="41:48" x14ac:dyDescent="0.35">
      <c r="AO8270"/>
      <c r="AP8270"/>
      <c r="AQ8270"/>
      <c r="AR8270"/>
      <c r="AS8270"/>
      <c r="AT8270"/>
      <c r="AU8270"/>
      <c r="AV8270"/>
    </row>
    <row r="8271" spans="41:48" x14ac:dyDescent="0.35">
      <c r="AO8271"/>
      <c r="AP8271"/>
      <c r="AQ8271"/>
      <c r="AR8271"/>
      <c r="AS8271"/>
      <c r="AT8271"/>
      <c r="AU8271"/>
      <c r="AV8271"/>
    </row>
    <row r="8272" spans="41:48" x14ac:dyDescent="0.35">
      <c r="AO8272"/>
      <c r="AP8272"/>
      <c r="AQ8272"/>
      <c r="AR8272"/>
      <c r="AS8272"/>
      <c r="AT8272"/>
      <c r="AU8272"/>
      <c r="AV8272"/>
    </row>
    <row r="8273" spans="41:48" x14ac:dyDescent="0.35">
      <c r="AO8273"/>
      <c r="AP8273"/>
      <c r="AQ8273"/>
      <c r="AR8273"/>
      <c r="AS8273"/>
      <c r="AT8273"/>
      <c r="AU8273"/>
      <c r="AV8273"/>
    </row>
    <row r="8274" spans="41:48" x14ac:dyDescent="0.35">
      <c r="AO8274"/>
      <c r="AP8274"/>
      <c r="AQ8274"/>
      <c r="AR8274"/>
      <c r="AS8274"/>
      <c r="AT8274"/>
      <c r="AU8274"/>
      <c r="AV8274"/>
    </row>
    <row r="8275" spans="41:48" x14ac:dyDescent="0.35">
      <c r="AO8275"/>
      <c r="AP8275"/>
      <c r="AQ8275"/>
      <c r="AR8275"/>
      <c r="AS8275"/>
      <c r="AT8275"/>
      <c r="AU8275"/>
      <c r="AV8275"/>
    </row>
    <row r="8276" spans="41:48" x14ac:dyDescent="0.35">
      <c r="AO8276"/>
      <c r="AP8276"/>
      <c r="AQ8276"/>
      <c r="AR8276"/>
      <c r="AS8276"/>
      <c r="AT8276"/>
      <c r="AU8276"/>
      <c r="AV8276"/>
    </row>
    <row r="8277" spans="41:48" x14ac:dyDescent="0.35">
      <c r="AO8277"/>
      <c r="AP8277"/>
      <c r="AQ8277"/>
      <c r="AR8277"/>
      <c r="AS8277"/>
      <c r="AT8277"/>
      <c r="AU8277"/>
      <c r="AV8277"/>
    </row>
    <row r="8278" spans="41:48" x14ac:dyDescent="0.35">
      <c r="AO8278"/>
      <c r="AP8278"/>
      <c r="AQ8278"/>
      <c r="AR8278"/>
      <c r="AS8278"/>
      <c r="AT8278"/>
      <c r="AU8278"/>
      <c r="AV8278"/>
    </row>
    <row r="8279" spans="41:48" x14ac:dyDescent="0.35">
      <c r="AO8279"/>
      <c r="AP8279"/>
      <c r="AQ8279"/>
      <c r="AR8279"/>
      <c r="AS8279"/>
      <c r="AT8279"/>
      <c r="AU8279"/>
      <c r="AV8279"/>
    </row>
    <row r="8280" spans="41:48" x14ac:dyDescent="0.35">
      <c r="AO8280"/>
      <c r="AP8280"/>
      <c r="AQ8280"/>
      <c r="AR8280"/>
      <c r="AS8280"/>
      <c r="AT8280"/>
      <c r="AU8280"/>
      <c r="AV8280"/>
    </row>
    <row r="8281" spans="41:48" x14ac:dyDescent="0.35">
      <c r="AO8281"/>
      <c r="AP8281"/>
      <c r="AQ8281"/>
      <c r="AR8281"/>
      <c r="AS8281"/>
      <c r="AT8281"/>
      <c r="AU8281"/>
      <c r="AV8281"/>
    </row>
    <row r="8282" spans="41:48" x14ac:dyDescent="0.35">
      <c r="AO8282"/>
      <c r="AP8282"/>
      <c r="AQ8282"/>
      <c r="AR8282"/>
      <c r="AS8282"/>
      <c r="AT8282"/>
      <c r="AU8282"/>
      <c r="AV8282"/>
    </row>
    <row r="8283" spans="41:48" x14ac:dyDescent="0.35">
      <c r="AO8283"/>
      <c r="AP8283"/>
      <c r="AQ8283"/>
      <c r="AR8283"/>
      <c r="AS8283"/>
      <c r="AT8283"/>
      <c r="AU8283"/>
      <c r="AV8283"/>
    </row>
    <row r="8284" spans="41:48" x14ac:dyDescent="0.35">
      <c r="AO8284"/>
      <c r="AP8284"/>
      <c r="AQ8284"/>
      <c r="AR8284"/>
      <c r="AS8284"/>
      <c r="AT8284"/>
      <c r="AU8284"/>
      <c r="AV8284"/>
    </row>
    <row r="8285" spans="41:48" x14ac:dyDescent="0.35">
      <c r="AO8285"/>
      <c r="AP8285"/>
      <c r="AQ8285"/>
      <c r="AR8285"/>
      <c r="AS8285"/>
      <c r="AT8285"/>
      <c r="AU8285"/>
      <c r="AV8285"/>
    </row>
    <row r="8286" spans="41:48" x14ac:dyDescent="0.35">
      <c r="AO8286"/>
      <c r="AP8286"/>
      <c r="AQ8286"/>
      <c r="AR8286"/>
      <c r="AS8286"/>
      <c r="AT8286"/>
      <c r="AU8286"/>
      <c r="AV8286"/>
    </row>
    <row r="8287" spans="41:48" x14ac:dyDescent="0.35">
      <c r="AO8287"/>
      <c r="AP8287"/>
      <c r="AQ8287"/>
      <c r="AR8287"/>
      <c r="AS8287"/>
      <c r="AT8287"/>
      <c r="AU8287"/>
      <c r="AV8287"/>
    </row>
    <row r="8288" spans="41:48" x14ac:dyDescent="0.35">
      <c r="AO8288"/>
      <c r="AP8288"/>
      <c r="AQ8288"/>
      <c r="AR8288"/>
      <c r="AS8288"/>
      <c r="AT8288"/>
      <c r="AU8288"/>
      <c r="AV8288"/>
    </row>
    <row r="8289" spans="41:48" x14ac:dyDescent="0.35">
      <c r="AO8289"/>
      <c r="AP8289"/>
      <c r="AQ8289"/>
      <c r="AR8289"/>
      <c r="AS8289"/>
      <c r="AT8289"/>
      <c r="AU8289"/>
      <c r="AV8289"/>
    </row>
    <row r="8290" spans="41:48" x14ac:dyDescent="0.35">
      <c r="AO8290"/>
      <c r="AP8290"/>
      <c r="AQ8290"/>
      <c r="AR8290"/>
      <c r="AS8290"/>
      <c r="AT8290"/>
      <c r="AU8290"/>
      <c r="AV8290"/>
    </row>
    <row r="8291" spans="41:48" x14ac:dyDescent="0.35">
      <c r="AO8291"/>
      <c r="AP8291"/>
      <c r="AQ8291"/>
      <c r="AR8291"/>
      <c r="AS8291"/>
      <c r="AT8291"/>
      <c r="AU8291"/>
      <c r="AV8291"/>
    </row>
    <row r="8292" spans="41:48" x14ac:dyDescent="0.35">
      <c r="AO8292"/>
      <c r="AP8292"/>
      <c r="AQ8292"/>
      <c r="AR8292"/>
      <c r="AS8292"/>
      <c r="AT8292"/>
      <c r="AU8292"/>
      <c r="AV8292"/>
    </row>
    <row r="8293" spans="41:48" x14ac:dyDescent="0.35">
      <c r="AO8293"/>
      <c r="AP8293"/>
      <c r="AQ8293"/>
      <c r="AR8293"/>
      <c r="AS8293"/>
      <c r="AT8293"/>
      <c r="AU8293"/>
      <c r="AV8293"/>
    </row>
    <row r="8294" spans="41:48" x14ac:dyDescent="0.35">
      <c r="AO8294"/>
      <c r="AP8294"/>
      <c r="AQ8294"/>
      <c r="AR8294"/>
      <c r="AS8294"/>
      <c r="AT8294"/>
      <c r="AU8294"/>
      <c r="AV8294"/>
    </row>
    <row r="8295" spans="41:48" x14ac:dyDescent="0.35">
      <c r="AO8295"/>
      <c r="AP8295"/>
      <c r="AQ8295"/>
      <c r="AR8295"/>
      <c r="AS8295"/>
      <c r="AT8295"/>
      <c r="AU8295"/>
      <c r="AV8295"/>
    </row>
    <row r="8296" spans="41:48" x14ac:dyDescent="0.35">
      <c r="AO8296"/>
      <c r="AP8296"/>
      <c r="AQ8296"/>
      <c r="AR8296"/>
      <c r="AS8296"/>
      <c r="AT8296"/>
      <c r="AU8296"/>
      <c r="AV8296"/>
    </row>
    <row r="8297" spans="41:48" x14ac:dyDescent="0.35">
      <c r="AO8297"/>
      <c r="AP8297"/>
      <c r="AQ8297"/>
      <c r="AR8297"/>
      <c r="AS8297"/>
      <c r="AT8297"/>
      <c r="AU8297"/>
      <c r="AV8297"/>
    </row>
    <row r="8298" spans="41:48" x14ac:dyDescent="0.35">
      <c r="AO8298"/>
      <c r="AP8298"/>
      <c r="AQ8298"/>
      <c r="AR8298"/>
      <c r="AS8298"/>
      <c r="AT8298"/>
      <c r="AU8298"/>
      <c r="AV8298"/>
    </row>
    <row r="8299" spans="41:48" x14ac:dyDescent="0.35">
      <c r="AO8299"/>
      <c r="AP8299"/>
      <c r="AQ8299"/>
      <c r="AR8299"/>
      <c r="AS8299"/>
      <c r="AT8299"/>
      <c r="AU8299"/>
      <c r="AV8299"/>
    </row>
    <row r="8300" spans="41:48" x14ac:dyDescent="0.35">
      <c r="AO8300"/>
      <c r="AP8300"/>
      <c r="AQ8300"/>
      <c r="AR8300"/>
      <c r="AS8300"/>
      <c r="AT8300"/>
      <c r="AU8300"/>
      <c r="AV8300"/>
    </row>
    <row r="8301" spans="41:48" x14ac:dyDescent="0.35">
      <c r="AO8301"/>
      <c r="AP8301"/>
      <c r="AQ8301"/>
      <c r="AR8301"/>
      <c r="AS8301"/>
      <c r="AT8301"/>
      <c r="AU8301"/>
      <c r="AV8301"/>
    </row>
    <row r="8302" spans="41:48" x14ac:dyDescent="0.35">
      <c r="AO8302"/>
      <c r="AP8302"/>
      <c r="AQ8302"/>
      <c r="AR8302"/>
      <c r="AS8302"/>
      <c r="AT8302"/>
      <c r="AU8302"/>
      <c r="AV8302"/>
    </row>
    <row r="8303" spans="41:48" x14ac:dyDescent="0.35">
      <c r="AO8303"/>
      <c r="AP8303"/>
      <c r="AQ8303"/>
      <c r="AR8303"/>
      <c r="AS8303"/>
      <c r="AT8303"/>
      <c r="AU8303"/>
      <c r="AV8303"/>
    </row>
    <row r="8304" spans="41:48" x14ac:dyDescent="0.35">
      <c r="AO8304"/>
      <c r="AP8304"/>
      <c r="AQ8304"/>
      <c r="AR8304"/>
      <c r="AS8304"/>
      <c r="AT8304"/>
      <c r="AU8304"/>
      <c r="AV8304"/>
    </row>
    <row r="8305" spans="41:48" x14ac:dyDescent="0.35">
      <c r="AO8305"/>
      <c r="AP8305"/>
      <c r="AQ8305"/>
      <c r="AR8305"/>
      <c r="AS8305"/>
      <c r="AT8305"/>
      <c r="AU8305"/>
      <c r="AV8305"/>
    </row>
    <row r="8306" spans="41:48" x14ac:dyDescent="0.35">
      <c r="AO8306"/>
      <c r="AP8306"/>
      <c r="AQ8306"/>
      <c r="AR8306"/>
      <c r="AS8306"/>
      <c r="AT8306"/>
      <c r="AU8306"/>
      <c r="AV8306"/>
    </row>
    <row r="8307" spans="41:48" x14ac:dyDescent="0.35">
      <c r="AO8307"/>
      <c r="AP8307"/>
      <c r="AQ8307"/>
      <c r="AR8307"/>
      <c r="AS8307"/>
      <c r="AT8307"/>
      <c r="AU8307"/>
      <c r="AV8307"/>
    </row>
    <row r="8308" spans="41:48" x14ac:dyDescent="0.35">
      <c r="AO8308"/>
      <c r="AP8308"/>
      <c r="AQ8308"/>
      <c r="AR8308"/>
      <c r="AS8308"/>
      <c r="AT8308"/>
      <c r="AU8308"/>
      <c r="AV8308"/>
    </row>
    <row r="8309" spans="41:48" x14ac:dyDescent="0.35">
      <c r="AO8309"/>
      <c r="AP8309"/>
      <c r="AQ8309"/>
      <c r="AR8309"/>
      <c r="AS8309"/>
      <c r="AT8309"/>
      <c r="AU8309"/>
      <c r="AV8309"/>
    </row>
    <row r="8310" spans="41:48" x14ac:dyDescent="0.35">
      <c r="AO8310"/>
      <c r="AP8310"/>
      <c r="AQ8310"/>
      <c r="AR8310"/>
      <c r="AS8310"/>
      <c r="AT8310"/>
      <c r="AU8310"/>
      <c r="AV8310"/>
    </row>
    <row r="8311" spans="41:48" x14ac:dyDescent="0.35">
      <c r="AO8311"/>
      <c r="AP8311"/>
      <c r="AQ8311"/>
      <c r="AR8311"/>
      <c r="AS8311"/>
      <c r="AT8311"/>
      <c r="AU8311"/>
      <c r="AV8311"/>
    </row>
    <row r="8312" spans="41:48" x14ac:dyDescent="0.35">
      <c r="AO8312"/>
      <c r="AP8312"/>
      <c r="AQ8312"/>
      <c r="AR8312"/>
      <c r="AS8312"/>
      <c r="AT8312"/>
      <c r="AU8312"/>
      <c r="AV8312"/>
    </row>
    <row r="8313" spans="41:48" x14ac:dyDescent="0.35">
      <c r="AO8313"/>
      <c r="AP8313"/>
      <c r="AQ8313"/>
      <c r="AR8313"/>
      <c r="AS8313"/>
      <c r="AT8313"/>
      <c r="AU8313"/>
      <c r="AV8313"/>
    </row>
    <row r="8314" spans="41:48" x14ac:dyDescent="0.35">
      <c r="AO8314"/>
      <c r="AP8314"/>
      <c r="AQ8314"/>
      <c r="AR8314"/>
      <c r="AS8314"/>
      <c r="AT8314"/>
      <c r="AU8314"/>
      <c r="AV8314"/>
    </row>
    <row r="8315" spans="41:48" x14ac:dyDescent="0.35">
      <c r="AO8315"/>
      <c r="AP8315"/>
      <c r="AQ8315"/>
      <c r="AR8315"/>
      <c r="AS8315"/>
      <c r="AT8315"/>
      <c r="AU8315"/>
      <c r="AV8315"/>
    </row>
    <row r="8316" spans="41:48" x14ac:dyDescent="0.35">
      <c r="AO8316"/>
      <c r="AP8316"/>
      <c r="AQ8316"/>
      <c r="AR8316"/>
      <c r="AS8316"/>
      <c r="AT8316"/>
      <c r="AU8316"/>
      <c r="AV8316"/>
    </row>
    <row r="8317" spans="41:48" x14ac:dyDescent="0.35">
      <c r="AO8317"/>
      <c r="AP8317"/>
      <c r="AQ8317"/>
      <c r="AR8317"/>
      <c r="AS8317"/>
      <c r="AT8317"/>
      <c r="AU8317"/>
      <c r="AV8317"/>
    </row>
    <row r="8318" spans="41:48" x14ac:dyDescent="0.35">
      <c r="AO8318"/>
      <c r="AP8318"/>
      <c r="AQ8318"/>
      <c r="AR8318"/>
      <c r="AS8318"/>
      <c r="AT8318"/>
      <c r="AU8318"/>
      <c r="AV8318"/>
    </row>
    <row r="8319" spans="41:48" x14ac:dyDescent="0.35">
      <c r="AO8319"/>
      <c r="AP8319"/>
      <c r="AQ8319"/>
      <c r="AR8319"/>
      <c r="AS8319"/>
      <c r="AT8319"/>
      <c r="AU8319"/>
      <c r="AV8319"/>
    </row>
    <row r="8320" spans="41:48" x14ac:dyDescent="0.35">
      <c r="AO8320"/>
      <c r="AP8320"/>
      <c r="AQ8320"/>
      <c r="AR8320"/>
      <c r="AS8320"/>
      <c r="AT8320"/>
      <c r="AU8320"/>
      <c r="AV8320"/>
    </row>
    <row r="8321" spans="41:48" x14ac:dyDescent="0.35">
      <c r="AO8321"/>
      <c r="AP8321"/>
      <c r="AQ8321"/>
      <c r="AR8321"/>
      <c r="AS8321"/>
      <c r="AT8321"/>
      <c r="AU8321"/>
      <c r="AV8321"/>
    </row>
    <row r="8322" spans="41:48" x14ac:dyDescent="0.35">
      <c r="AO8322"/>
      <c r="AP8322"/>
      <c r="AQ8322"/>
      <c r="AR8322"/>
      <c r="AS8322"/>
      <c r="AT8322"/>
      <c r="AU8322"/>
      <c r="AV8322"/>
    </row>
    <row r="8323" spans="41:48" x14ac:dyDescent="0.35">
      <c r="AO8323"/>
      <c r="AP8323"/>
      <c r="AQ8323"/>
      <c r="AR8323"/>
      <c r="AS8323"/>
      <c r="AT8323"/>
      <c r="AU8323"/>
      <c r="AV8323"/>
    </row>
    <row r="8324" spans="41:48" x14ac:dyDescent="0.35">
      <c r="AO8324"/>
      <c r="AP8324"/>
      <c r="AQ8324"/>
      <c r="AR8324"/>
      <c r="AS8324"/>
      <c r="AT8324"/>
      <c r="AU8324"/>
      <c r="AV8324"/>
    </row>
    <row r="8325" spans="41:48" x14ac:dyDescent="0.35">
      <c r="AO8325"/>
      <c r="AP8325"/>
      <c r="AQ8325"/>
      <c r="AR8325"/>
      <c r="AS8325"/>
      <c r="AT8325"/>
      <c r="AU8325"/>
      <c r="AV8325"/>
    </row>
    <row r="8326" spans="41:48" x14ac:dyDescent="0.35">
      <c r="AO8326"/>
      <c r="AP8326"/>
      <c r="AQ8326"/>
      <c r="AR8326"/>
      <c r="AS8326"/>
      <c r="AT8326"/>
      <c r="AU8326"/>
      <c r="AV8326"/>
    </row>
    <row r="8327" spans="41:48" x14ac:dyDescent="0.35">
      <c r="AO8327"/>
      <c r="AP8327"/>
      <c r="AQ8327"/>
      <c r="AR8327"/>
      <c r="AS8327"/>
      <c r="AT8327"/>
      <c r="AU8327"/>
      <c r="AV8327"/>
    </row>
    <row r="8328" spans="41:48" x14ac:dyDescent="0.35">
      <c r="AO8328"/>
      <c r="AP8328"/>
      <c r="AQ8328"/>
      <c r="AR8328"/>
      <c r="AS8328"/>
      <c r="AT8328"/>
      <c r="AU8328"/>
      <c r="AV8328"/>
    </row>
    <row r="8329" spans="41:48" x14ac:dyDescent="0.35">
      <c r="AO8329"/>
      <c r="AP8329"/>
      <c r="AQ8329"/>
      <c r="AR8329"/>
      <c r="AS8329"/>
      <c r="AT8329"/>
      <c r="AU8329"/>
      <c r="AV8329"/>
    </row>
    <row r="8330" spans="41:48" x14ac:dyDescent="0.35">
      <c r="AO8330"/>
      <c r="AP8330"/>
      <c r="AQ8330"/>
      <c r="AR8330"/>
      <c r="AS8330"/>
      <c r="AT8330"/>
      <c r="AU8330"/>
      <c r="AV8330"/>
    </row>
    <row r="8331" spans="41:48" x14ac:dyDescent="0.35">
      <c r="AO8331"/>
      <c r="AP8331"/>
      <c r="AQ8331"/>
      <c r="AR8331"/>
      <c r="AS8331"/>
      <c r="AT8331"/>
      <c r="AU8331"/>
      <c r="AV8331"/>
    </row>
    <row r="8332" spans="41:48" x14ac:dyDescent="0.35">
      <c r="AO8332"/>
      <c r="AP8332"/>
      <c r="AQ8332"/>
      <c r="AR8332"/>
      <c r="AS8332"/>
      <c r="AT8332"/>
      <c r="AU8332"/>
      <c r="AV8332"/>
    </row>
    <row r="8333" spans="41:48" x14ac:dyDescent="0.35">
      <c r="AO8333"/>
      <c r="AP8333"/>
      <c r="AQ8333"/>
      <c r="AR8333"/>
      <c r="AS8333"/>
      <c r="AT8333"/>
      <c r="AU8333"/>
      <c r="AV8333"/>
    </row>
    <row r="8334" spans="41:48" x14ac:dyDescent="0.35">
      <c r="AO8334"/>
      <c r="AP8334"/>
      <c r="AQ8334"/>
      <c r="AR8334"/>
      <c r="AS8334"/>
      <c r="AT8334"/>
      <c r="AU8334"/>
      <c r="AV8334"/>
    </row>
    <row r="8335" spans="41:48" x14ac:dyDescent="0.35">
      <c r="AO8335"/>
      <c r="AP8335"/>
      <c r="AQ8335"/>
      <c r="AR8335"/>
      <c r="AS8335"/>
      <c r="AT8335"/>
      <c r="AU8335"/>
      <c r="AV8335"/>
    </row>
    <row r="8336" spans="41:48" x14ac:dyDescent="0.35">
      <c r="AO8336"/>
      <c r="AP8336"/>
      <c r="AQ8336"/>
      <c r="AR8336"/>
      <c r="AS8336"/>
      <c r="AT8336"/>
      <c r="AU8336"/>
      <c r="AV8336"/>
    </row>
    <row r="8337" spans="41:48" x14ac:dyDescent="0.35">
      <c r="AO8337"/>
      <c r="AP8337"/>
      <c r="AQ8337"/>
      <c r="AR8337"/>
      <c r="AS8337"/>
      <c r="AT8337"/>
      <c r="AU8337"/>
      <c r="AV8337"/>
    </row>
    <row r="8338" spans="41:48" x14ac:dyDescent="0.35">
      <c r="AO8338"/>
      <c r="AP8338"/>
      <c r="AQ8338"/>
      <c r="AR8338"/>
      <c r="AS8338"/>
      <c r="AT8338"/>
      <c r="AU8338"/>
      <c r="AV8338"/>
    </row>
    <row r="8339" spans="41:48" x14ac:dyDescent="0.35">
      <c r="AO8339"/>
      <c r="AP8339"/>
      <c r="AQ8339"/>
      <c r="AR8339"/>
      <c r="AS8339"/>
      <c r="AT8339"/>
      <c r="AU8339"/>
      <c r="AV8339"/>
    </row>
    <row r="8340" spans="41:48" x14ac:dyDescent="0.35">
      <c r="AO8340"/>
      <c r="AP8340"/>
      <c r="AQ8340"/>
      <c r="AR8340"/>
      <c r="AS8340"/>
      <c r="AT8340"/>
      <c r="AU8340"/>
      <c r="AV8340"/>
    </row>
    <row r="8341" spans="41:48" x14ac:dyDescent="0.35">
      <c r="AO8341"/>
      <c r="AP8341"/>
      <c r="AQ8341"/>
      <c r="AR8341"/>
      <c r="AS8341"/>
      <c r="AT8341"/>
      <c r="AU8341"/>
      <c r="AV8341"/>
    </row>
    <row r="8342" spans="41:48" x14ac:dyDescent="0.35">
      <c r="AO8342"/>
      <c r="AP8342"/>
      <c r="AQ8342"/>
      <c r="AR8342"/>
      <c r="AS8342"/>
      <c r="AT8342"/>
      <c r="AU8342"/>
      <c r="AV8342"/>
    </row>
    <row r="8343" spans="41:48" x14ac:dyDescent="0.35">
      <c r="AO8343"/>
      <c r="AP8343"/>
      <c r="AQ8343"/>
      <c r="AR8343"/>
      <c r="AS8343"/>
      <c r="AT8343"/>
      <c r="AU8343"/>
      <c r="AV8343"/>
    </row>
    <row r="8344" spans="41:48" x14ac:dyDescent="0.35">
      <c r="AO8344"/>
      <c r="AP8344"/>
      <c r="AQ8344"/>
      <c r="AR8344"/>
      <c r="AS8344"/>
      <c r="AT8344"/>
      <c r="AU8344"/>
      <c r="AV8344"/>
    </row>
    <row r="8345" spans="41:48" x14ac:dyDescent="0.35">
      <c r="AO8345"/>
      <c r="AP8345"/>
      <c r="AQ8345"/>
      <c r="AR8345"/>
      <c r="AS8345"/>
      <c r="AT8345"/>
      <c r="AU8345"/>
      <c r="AV8345"/>
    </row>
    <row r="8346" spans="41:48" x14ac:dyDescent="0.35">
      <c r="AO8346"/>
      <c r="AP8346"/>
      <c r="AQ8346"/>
      <c r="AR8346"/>
      <c r="AS8346"/>
      <c r="AT8346"/>
      <c r="AU8346"/>
      <c r="AV8346"/>
    </row>
    <row r="8347" spans="41:48" x14ac:dyDescent="0.35">
      <c r="AO8347"/>
      <c r="AP8347"/>
      <c r="AQ8347"/>
      <c r="AR8347"/>
      <c r="AS8347"/>
      <c r="AT8347"/>
      <c r="AU8347"/>
      <c r="AV8347"/>
    </row>
    <row r="8348" spans="41:48" x14ac:dyDescent="0.35">
      <c r="AO8348"/>
      <c r="AP8348"/>
      <c r="AQ8348"/>
      <c r="AR8348"/>
      <c r="AS8348"/>
      <c r="AT8348"/>
      <c r="AU8348"/>
      <c r="AV8348"/>
    </row>
    <row r="8349" spans="41:48" x14ac:dyDescent="0.35">
      <c r="AO8349"/>
      <c r="AP8349"/>
      <c r="AQ8349"/>
      <c r="AR8349"/>
      <c r="AS8349"/>
      <c r="AT8349"/>
      <c r="AU8349"/>
      <c r="AV8349"/>
    </row>
    <row r="8350" spans="41:48" x14ac:dyDescent="0.35">
      <c r="AO8350"/>
      <c r="AP8350"/>
      <c r="AQ8350"/>
      <c r="AR8350"/>
      <c r="AS8350"/>
      <c r="AT8350"/>
      <c r="AU8350"/>
      <c r="AV8350"/>
    </row>
    <row r="8351" spans="41:48" x14ac:dyDescent="0.35">
      <c r="AO8351"/>
      <c r="AP8351"/>
      <c r="AQ8351"/>
      <c r="AR8351"/>
      <c r="AS8351"/>
      <c r="AT8351"/>
      <c r="AU8351"/>
      <c r="AV8351"/>
    </row>
    <row r="8352" spans="41:48" x14ac:dyDescent="0.35">
      <c r="AO8352"/>
      <c r="AP8352"/>
      <c r="AQ8352"/>
      <c r="AR8352"/>
      <c r="AS8352"/>
      <c r="AT8352"/>
      <c r="AU8352"/>
      <c r="AV8352"/>
    </row>
    <row r="8353" spans="41:48" x14ac:dyDescent="0.35">
      <c r="AO8353"/>
      <c r="AP8353"/>
      <c r="AQ8353"/>
      <c r="AR8353"/>
      <c r="AS8353"/>
      <c r="AT8353"/>
      <c r="AU8353"/>
      <c r="AV8353"/>
    </row>
    <row r="8354" spans="41:48" x14ac:dyDescent="0.35">
      <c r="AO8354"/>
      <c r="AP8354"/>
      <c r="AQ8354"/>
      <c r="AR8354"/>
      <c r="AS8354"/>
      <c r="AT8354"/>
      <c r="AU8354"/>
      <c r="AV8354"/>
    </row>
    <row r="8355" spans="41:48" x14ac:dyDescent="0.35">
      <c r="AO8355"/>
      <c r="AP8355"/>
      <c r="AQ8355"/>
      <c r="AR8355"/>
      <c r="AS8355"/>
      <c r="AT8355"/>
      <c r="AU8355"/>
      <c r="AV8355"/>
    </row>
    <row r="8356" spans="41:48" x14ac:dyDescent="0.35">
      <c r="AO8356"/>
      <c r="AP8356"/>
      <c r="AQ8356"/>
      <c r="AR8356"/>
      <c r="AS8356"/>
      <c r="AT8356"/>
      <c r="AU8356"/>
      <c r="AV8356"/>
    </row>
    <row r="8357" spans="41:48" x14ac:dyDescent="0.35">
      <c r="AO8357"/>
      <c r="AP8357"/>
      <c r="AQ8357"/>
      <c r="AR8357"/>
      <c r="AS8357"/>
      <c r="AT8357"/>
      <c r="AU8357"/>
      <c r="AV8357"/>
    </row>
    <row r="8358" spans="41:48" x14ac:dyDescent="0.35">
      <c r="AO8358"/>
      <c r="AP8358"/>
      <c r="AQ8358"/>
      <c r="AR8358"/>
      <c r="AS8358"/>
      <c r="AT8358"/>
      <c r="AU8358"/>
      <c r="AV8358"/>
    </row>
    <row r="8359" spans="41:48" x14ac:dyDescent="0.35">
      <c r="AO8359"/>
      <c r="AP8359"/>
      <c r="AQ8359"/>
      <c r="AR8359"/>
      <c r="AS8359"/>
      <c r="AT8359"/>
      <c r="AU8359"/>
      <c r="AV8359"/>
    </row>
    <row r="8360" spans="41:48" x14ac:dyDescent="0.35">
      <c r="AO8360"/>
      <c r="AP8360"/>
      <c r="AQ8360"/>
      <c r="AR8360"/>
      <c r="AS8360"/>
      <c r="AT8360"/>
      <c r="AU8360"/>
      <c r="AV8360"/>
    </row>
    <row r="8361" spans="41:48" x14ac:dyDescent="0.35">
      <c r="AO8361"/>
      <c r="AP8361"/>
      <c r="AQ8361"/>
      <c r="AR8361"/>
      <c r="AS8361"/>
      <c r="AT8361"/>
      <c r="AU8361"/>
      <c r="AV8361"/>
    </row>
    <row r="8362" spans="41:48" x14ac:dyDescent="0.35">
      <c r="AO8362"/>
      <c r="AP8362"/>
      <c r="AQ8362"/>
      <c r="AR8362"/>
      <c r="AS8362"/>
      <c r="AT8362"/>
      <c r="AU8362"/>
      <c r="AV8362"/>
    </row>
    <row r="8363" spans="41:48" x14ac:dyDescent="0.35">
      <c r="AO8363"/>
      <c r="AP8363"/>
      <c r="AQ8363"/>
      <c r="AR8363"/>
      <c r="AS8363"/>
      <c r="AT8363"/>
      <c r="AU8363"/>
      <c r="AV8363"/>
    </row>
    <row r="8364" spans="41:48" x14ac:dyDescent="0.35">
      <c r="AO8364"/>
      <c r="AP8364"/>
      <c r="AQ8364"/>
      <c r="AR8364"/>
      <c r="AS8364"/>
      <c r="AT8364"/>
      <c r="AU8364"/>
      <c r="AV8364"/>
    </row>
    <row r="8365" spans="41:48" x14ac:dyDescent="0.35">
      <c r="AO8365"/>
      <c r="AP8365"/>
      <c r="AQ8365"/>
      <c r="AR8365"/>
      <c r="AS8365"/>
      <c r="AT8365"/>
      <c r="AU8365"/>
      <c r="AV8365"/>
    </row>
    <row r="8366" spans="41:48" x14ac:dyDescent="0.35">
      <c r="AO8366"/>
      <c r="AP8366"/>
      <c r="AQ8366"/>
      <c r="AR8366"/>
      <c r="AS8366"/>
      <c r="AT8366"/>
      <c r="AU8366"/>
      <c r="AV8366"/>
    </row>
    <row r="8367" spans="41:48" x14ac:dyDescent="0.35">
      <c r="AO8367"/>
      <c r="AP8367"/>
      <c r="AQ8367"/>
      <c r="AR8367"/>
      <c r="AS8367"/>
      <c r="AT8367"/>
      <c r="AU8367"/>
      <c r="AV8367"/>
    </row>
    <row r="8368" spans="41:48" x14ac:dyDescent="0.35">
      <c r="AO8368"/>
      <c r="AP8368"/>
      <c r="AQ8368"/>
      <c r="AR8368"/>
      <c r="AS8368"/>
      <c r="AT8368"/>
      <c r="AU8368"/>
      <c r="AV8368"/>
    </row>
    <row r="8369" spans="41:48" x14ac:dyDescent="0.35">
      <c r="AO8369"/>
      <c r="AP8369"/>
      <c r="AQ8369"/>
      <c r="AR8369"/>
      <c r="AS8369"/>
      <c r="AT8369"/>
      <c r="AU8369"/>
      <c r="AV8369"/>
    </row>
    <row r="8370" spans="41:48" x14ac:dyDescent="0.35">
      <c r="AO8370"/>
      <c r="AP8370"/>
      <c r="AQ8370"/>
      <c r="AR8370"/>
      <c r="AS8370"/>
      <c r="AT8370"/>
      <c r="AU8370"/>
      <c r="AV8370"/>
    </row>
    <row r="8371" spans="41:48" x14ac:dyDescent="0.35">
      <c r="AO8371"/>
      <c r="AP8371"/>
      <c r="AQ8371"/>
      <c r="AR8371"/>
      <c r="AS8371"/>
      <c r="AT8371"/>
      <c r="AU8371"/>
      <c r="AV8371"/>
    </row>
    <row r="8372" spans="41:48" x14ac:dyDescent="0.35">
      <c r="AO8372"/>
      <c r="AP8372"/>
      <c r="AQ8372"/>
      <c r="AR8372"/>
      <c r="AS8372"/>
      <c r="AT8372"/>
      <c r="AU8372"/>
      <c r="AV8372"/>
    </row>
    <row r="8373" spans="41:48" x14ac:dyDescent="0.35">
      <c r="AO8373"/>
      <c r="AP8373"/>
      <c r="AQ8373"/>
      <c r="AR8373"/>
      <c r="AS8373"/>
      <c r="AT8373"/>
      <c r="AU8373"/>
      <c r="AV8373"/>
    </row>
    <row r="8374" spans="41:48" x14ac:dyDescent="0.35">
      <c r="AO8374"/>
      <c r="AP8374"/>
      <c r="AQ8374"/>
      <c r="AR8374"/>
      <c r="AS8374"/>
      <c r="AT8374"/>
      <c r="AU8374"/>
      <c r="AV8374"/>
    </row>
    <row r="8375" spans="41:48" x14ac:dyDescent="0.35">
      <c r="AO8375"/>
      <c r="AP8375"/>
      <c r="AQ8375"/>
      <c r="AR8375"/>
      <c r="AS8375"/>
      <c r="AT8375"/>
      <c r="AU8375"/>
      <c r="AV8375"/>
    </row>
    <row r="8376" spans="41:48" x14ac:dyDescent="0.35">
      <c r="AO8376"/>
      <c r="AP8376"/>
      <c r="AQ8376"/>
      <c r="AR8376"/>
      <c r="AS8376"/>
      <c r="AT8376"/>
      <c r="AU8376"/>
      <c r="AV8376"/>
    </row>
    <row r="8377" spans="41:48" x14ac:dyDescent="0.35">
      <c r="AO8377"/>
      <c r="AP8377"/>
      <c r="AQ8377"/>
      <c r="AR8377"/>
      <c r="AS8377"/>
      <c r="AT8377"/>
      <c r="AU8377"/>
      <c r="AV8377"/>
    </row>
    <row r="8378" spans="41:48" x14ac:dyDescent="0.35">
      <c r="AO8378"/>
      <c r="AP8378"/>
      <c r="AQ8378"/>
      <c r="AR8378"/>
      <c r="AS8378"/>
      <c r="AT8378"/>
      <c r="AU8378"/>
      <c r="AV8378"/>
    </row>
    <row r="8379" spans="41:48" x14ac:dyDescent="0.35">
      <c r="AO8379"/>
      <c r="AP8379"/>
      <c r="AQ8379"/>
      <c r="AR8379"/>
      <c r="AS8379"/>
      <c r="AT8379"/>
      <c r="AU8379"/>
      <c r="AV8379"/>
    </row>
    <row r="8380" spans="41:48" x14ac:dyDescent="0.35">
      <c r="AO8380"/>
      <c r="AP8380"/>
      <c r="AQ8380"/>
      <c r="AR8380"/>
      <c r="AS8380"/>
      <c r="AT8380"/>
      <c r="AU8380"/>
      <c r="AV8380"/>
    </row>
    <row r="8381" spans="41:48" x14ac:dyDescent="0.35">
      <c r="AO8381"/>
      <c r="AP8381"/>
      <c r="AQ8381"/>
      <c r="AR8381"/>
      <c r="AS8381"/>
      <c r="AT8381"/>
      <c r="AU8381"/>
      <c r="AV8381"/>
    </row>
    <row r="8382" spans="41:48" x14ac:dyDescent="0.35">
      <c r="AO8382"/>
      <c r="AP8382"/>
      <c r="AQ8382"/>
      <c r="AR8382"/>
      <c r="AS8382"/>
      <c r="AT8382"/>
      <c r="AU8382"/>
      <c r="AV8382"/>
    </row>
    <row r="8383" spans="41:48" x14ac:dyDescent="0.35">
      <c r="AO8383"/>
      <c r="AP8383"/>
      <c r="AQ8383"/>
      <c r="AR8383"/>
      <c r="AS8383"/>
      <c r="AT8383"/>
      <c r="AU8383"/>
      <c r="AV8383"/>
    </row>
    <row r="8384" spans="41:48" x14ac:dyDescent="0.35">
      <c r="AO8384"/>
      <c r="AP8384"/>
      <c r="AQ8384"/>
      <c r="AR8384"/>
      <c r="AS8384"/>
      <c r="AT8384"/>
      <c r="AU8384"/>
      <c r="AV8384"/>
    </row>
    <row r="8385" spans="41:48" x14ac:dyDescent="0.35">
      <c r="AO8385"/>
      <c r="AP8385"/>
      <c r="AQ8385"/>
      <c r="AR8385"/>
      <c r="AS8385"/>
      <c r="AT8385"/>
      <c r="AU8385"/>
      <c r="AV8385"/>
    </row>
    <row r="8386" spans="41:48" x14ac:dyDescent="0.35">
      <c r="AO8386"/>
      <c r="AP8386"/>
      <c r="AQ8386"/>
      <c r="AR8386"/>
      <c r="AS8386"/>
      <c r="AT8386"/>
      <c r="AU8386"/>
      <c r="AV8386"/>
    </row>
    <row r="8387" spans="41:48" x14ac:dyDescent="0.35">
      <c r="AO8387"/>
      <c r="AP8387"/>
      <c r="AQ8387"/>
      <c r="AR8387"/>
      <c r="AS8387"/>
      <c r="AT8387"/>
      <c r="AU8387"/>
      <c r="AV8387"/>
    </row>
    <row r="8388" spans="41:48" x14ac:dyDescent="0.35">
      <c r="AO8388"/>
      <c r="AP8388"/>
      <c r="AQ8388"/>
      <c r="AR8388"/>
      <c r="AS8388"/>
      <c r="AT8388"/>
      <c r="AU8388"/>
      <c r="AV8388"/>
    </row>
    <row r="8389" spans="41:48" x14ac:dyDescent="0.35">
      <c r="AO8389"/>
      <c r="AP8389"/>
      <c r="AQ8389"/>
      <c r="AR8389"/>
      <c r="AS8389"/>
      <c r="AT8389"/>
      <c r="AU8389"/>
      <c r="AV8389"/>
    </row>
    <row r="8390" spans="41:48" x14ac:dyDescent="0.35">
      <c r="AO8390"/>
      <c r="AP8390"/>
      <c r="AQ8390"/>
      <c r="AR8390"/>
      <c r="AS8390"/>
      <c r="AT8390"/>
      <c r="AU8390"/>
      <c r="AV8390"/>
    </row>
    <row r="8391" spans="41:48" x14ac:dyDescent="0.35">
      <c r="AO8391"/>
      <c r="AP8391"/>
      <c r="AQ8391"/>
      <c r="AR8391"/>
      <c r="AS8391"/>
      <c r="AT8391"/>
      <c r="AU8391"/>
      <c r="AV8391"/>
    </row>
    <row r="8392" spans="41:48" x14ac:dyDescent="0.35">
      <c r="AO8392"/>
      <c r="AP8392"/>
      <c r="AQ8392"/>
      <c r="AR8392"/>
      <c r="AS8392"/>
      <c r="AT8392"/>
      <c r="AU8392"/>
      <c r="AV8392"/>
    </row>
    <row r="8393" spans="41:48" x14ac:dyDescent="0.35">
      <c r="AO8393"/>
      <c r="AP8393"/>
      <c r="AQ8393"/>
      <c r="AR8393"/>
      <c r="AS8393"/>
      <c r="AT8393"/>
      <c r="AU8393"/>
      <c r="AV8393"/>
    </row>
    <row r="8394" spans="41:48" x14ac:dyDescent="0.35">
      <c r="AO8394"/>
      <c r="AP8394"/>
      <c r="AQ8394"/>
      <c r="AR8394"/>
      <c r="AS8394"/>
      <c r="AT8394"/>
      <c r="AU8394"/>
      <c r="AV8394"/>
    </row>
    <row r="8395" spans="41:48" x14ac:dyDescent="0.35">
      <c r="AO8395"/>
      <c r="AP8395"/>
      <c r="AQ8395"/>
      <c r="AR8395"/>
      <c r="AS8395"/>
      <c r="AT8395"/>
      <c r="AU8395"/>
      <c r="AV8395"/>
    </row>
    <row r="8396" spans="41:48" x14ac:dyDescent="0.35">
      <c r="AO8396"/>
      <c r="AP8396"/>
      <c r="AQ8396"/>
      <c r="AR8396"/>
      <c r="AS8396"/>
      <c r="AT8396"/>
      <c r="AU8396"/>
      <c r="AV8396"/>
    </row>
    <row r="8397" spans="41:48" x14ac:dyDescent="0.35">
      <c r="AO8397"/>
      <c r="AP8397"/>
      <c r="AQ8397"/>
      <c r="AR8397"/>
      <c r="AS8397"/>
      <c r="AT8397"/>
      <c r="AU8397"/>
      <c r="AV8397"/>
    </row>
    <row r="8398" spans="41:48" x14ac:dyDescent="0.35">
      <c r="AO8398"/>
      <c r="AP8398"/>
      <c r="AQ8398"/>
      <c r="AR8398"/>
      <c r="AS8398"/>
      <c r="AT8398"/>
      <c r="AU8398"/>
      <c r="AV8398"/>
    </row>
    <row r="8399" spans="41:48" x14ac:dyDescent="0.35">
      <c r="AO8399"/>
      <c r="AP8399"/>
      <c r="AQ8399"/>
      <c r="AR8399"/>
      <c r="AS8399"/>
      <c r="AT8399"/>
      <c r="AU8399"/>
      <c r="AV8399"/>
    </row>
    <row r="8400" spans="41:48" x14ac:dyDescent="0.35">
      <c r="AO8400"/>
      <c r="AP8400"/>
      <c r="AQ8400"/>
      <c r="AR8400"/>
      <c r="AS8400"/>
      <c r="AT8400"/>
      <c r="AU8400"/>
      <c r="AV8400"/>
    </row>
    <row r="8401" spans="41:48" x14ac:dyDescent="0.35">
      <c r="AO8401"/>
      <c r="AP8401"/>
      <c r="AQ8401"/>
      <c r="AR8401"/>
      <c r="AS8401"/>
      <c r="AT8401"/>
      <c r="AU8401"/>
      <c r="AV8401"/>
    </row>
    <row r="8402" spans="41:48" x14ac:dyDescent="0.35">
      <c r="AO8402"/>
      <c r="AP8402"/>
      <c r="AQ8402"/>
      <c r="AR8402"/>
      <c r="AS8402"/>
      <c r="AT8402"/>
      <c r="AU8402"/>
      <c r="AV8402"/>
    </row>
    <row r="8403" spans="41:48" x14ac:dyDescent="0.35">
      <c r="AO8403"/>
      <c r="AP8403"/>
      <c r="AQ8403"/>
      <c r="AR8403"/>
      <c r="AS8403"/>
      <c r="AT8403"/>
      <c r="AU8403"/>
      <c r="AV8403"/>
    </row>
    <row r="8404" spans="41:48" x14ac:dyDescent="0.35">
      <c r="AO8404"/>
      <c r="AP8404"/>
      <c r="AQ8404"/>
      <c r="AR8404"/>
      <c r="AS8404"/>
      <c r="AT8404"/>
      <c r="AU8404"/>
      <c r="AV8404"/>
    </row>
    <row r="8405" spans="41:48" x14ac:dyDescent="0.35">
      <c r="AO8405"/>
      <c r="AP8405"/>
      <c r="AQ8405"/>
      <c r="AR8405"/>
      <c r="AS8405"/>
      <c r="AT8405"/>
      <c r="AU8405"/>
      <c r="AV8405"/>
    </row>
    <row r="8406" spans="41:48" x14ac:dyDescent="0.35">
      <c r="AO8406"/>
      <c r="AP8406"/>
      <c r="AQ8406"/>
      <c r="AR8406"/>
      <c r="AS8406"/>
      <c r="AT8406"/>
      <c r="AU8406"/>
      <c r="AV8406"/>
    </row>
    <row r="8407" spans="41:48" x14ac:dyDescent="0.35">
      <c r="AO8407"/>
      <c r="AP8407"/>
      <c r="AQ8407"/>
      <c r="AR8407"/>
      <c r="AS8407"/>
      <c r="AT8407"/>
      <c r="AU8407"/>
      <c r="AV8407"/>
    </row>
    <row r="8408" spans="41:48" x14ac:dyDescent="0.35">
      <c r="AO8408"/>
      <c r="AP8408"/>
      <c r="AQ8408"/>
      <c r="AR8408"/>
      <c r="AS8408"/>
      <c r="AT8408"/>
      <c r="AU8408"/>
      <c r="AV8408"/>
    </row>
    <row r="8409" spans="41:48" x14ac:dyDescent="0.35">
      <c r="AO8409"/>
      <c r="AP8409"/>
      <c r="AQ8409"/>
      <c r="AR8409"/>
      <c r="AS8409"/>
      <c r="AT8409"/>
      <c r="AU8409"/>
      <c r="AV8409"/>
    </row>
    <row r="8410" spans="41:48" x14ac:dyDescent="0.35">
      <c r="AO8410"/>
      <c r="AP8410"/>
      <c r="AQ8410"/>
      <c r="AR8410"/>
      <c r="AS8410"/>
      <c r="AT8410"/>
      <c r="AU8410"/>
      <c r="AV8410"/>
    </row>
    <row r="8411" spans="41:48" x14ac:dyDescent="0.35">
      <c r="AO8411"/>
      <c r="AP8411"/>
      <c r="AQ8411"/>
      <c r="AR8411"/>
      <c r="AS8411"/>
      <c r="AT8411"/>
      <c r="AU8411"/>
      <c r="AV8411"/>
    </row>
    <row r="8412" spans="41:48" x14ac:dyDescent="0.35">
      <c r="AO8412"/>
      <c r="AP8412"/>
      <c r="AQ8412"/>
      <c r="AR8412"/>
      <c r="AS8412"/>
      <c r="AT8412"/>
      <c r="AU8412"/>
      <c r="AV8412"/>
    </row>
    <row r="8413" spans="41:48" x14ac:dyDescent="0.35">
      <c r="AO8413"/>
      <c r="AP8413"/>
      <c r="AQ8413"/>
      <c r="AR8413"/>
      <c r="AS8413"/>
      <c r="AT8413"/>
      <c r="AU8413"/>
      <c r="AV8413"/>
    </row>
    <row r="8414" spans="41:48" x14ac:dyDescent="0.35">
      <c r="AO8414"/>
      <c r="AP8414"/>
      <c r="AQ8414"/>
      <c r="AR8414"/>
      <c r="AS8414"/>
      <c r="AT8414"/>
      <c r="AU8414"/>
      <c r="AV8414"/>
    </row>
    <row r="8415" spans="41:48" x14ac:dyDescent="0.35">
      <c r="AO8415"/>
      <c r="AP8415"/>
      <c r="AQ8415"/>
      <c r="AR8415"/>
      <c r="AS8415"/>
      <c r="AT8415"/>
      <c r="AU8415"/>
      <c r="AV8415"/>
    </row>
    <row r="8416" spans="41:48" x14ac:dyDescent="0.35">
      <c r="AO8416"/>
      <c r="AP8416"/>
      <c r="AQ8416"/>
      <c r="AR8416"/>
      <c r="AS8416"/>
      <c r="AT8416"/>
      <c r="AU8416"/>
      <c r="AV8416"/>
    </row>
    <row r="8417" spans="41:48" x14ac:dyDescent="0.35">
      <c r="AO8417"/>
      <c r="AP8417"/>
      <c r="AQ8417"/>
      <c r="AR8417"/>
      <c r="AS8417"/>
      <c r="AT8417"/>
      <c r="AU8417"/>
      <c r="AV8417"/>
    </row>
    <row r="8418" spans="41:48" x14ac:dyDescent="0.35">
      <c r="AO8418"/>
      <c r="AP8418"/>
      <c r="AQ8418"/>
      <c r="AR8418"/>
      <c r="AS8418"/>
      <c r="AT8418"/>
      <c r="AU8418"/>
      <c r="AV8418"/>
    </row>
    <row r="8419" spans="41:48" x14ac:dyDescent="0.35">
      <c r="AO8419"/>
      <c r="AP8419"/>
      <c r="AQ8419"/>
      <c r="AR8419"/>
      <c r="AS8419"/>
      <c r="AT8419"/>
      <c r="AU8419"/>
      <c r="AV8419"/>
    </row>
    <row r="8420" spans="41:48" x14ac:dyDescent="0.35">
      <c r="AO8420"/>
      <c r="AP8420"/>
      <c r="AQ8420"/>
      <c r="AR8420"/>
      <c r="AS8420"/>
      <c r="AT8420"/>
      <c r="AU8420"/>
      <c r="AV8420"/>
    </row>
    <row r="8421" spans="41:48" x14ac:dyDescent="0.35">
      <c r="AO8421"/>
      <c r="AP8421"/>
      <c r="AQ8421"/>
      <c r="AR8421"/>
      <c r="AS8421"/>
      <c r="AT8421"/>
      <c r="AU8421"/>
      <c r="AV8421"/>
    </row>
    <row r="8422" spans="41:48" x14ac:dyDescent="0.35">
      <c r="AO8422"/>
      <c r="AP8422"/>
      <c r="AQ8422"/>
      <c r="AR8422"/>
      <c r="AS8422"/>
      <c r="AT8422"/>
      <c r="AU8422"/>
      <c r="AV8422"/>
    </row>
    <row r="8423" spans="41:48" x14ac:dyDescent="0.35">
      <c r="AO8423"/>
      <c r="AP8423"/>
      <c r="AQ8423"/>
      <c r="AR8423"/>
      <c r="AS8423"/>
      <c r="AT8423"/>
      <c r="AU8423"/>
      <c r="AV8423"/>
    </row>
    <row r="8424" spans="41:48" x14ac:dyDescent="0.35">
      <c r="AO8424"/>
      <c r="AP8424"/>
      <c r="AQ8424"/>
      <c r="AR8424"/>
      <c r="AS8424"/>
      <c r="AT8424"/>
      <c r="AU8424"/>
      <c r="AV8424"/>
    </row>
    <row r="8425" spans="41:48" x14ac:dyDescent="0.35">
      <c r="AO8425"/>
      <c r="AP8425"/>
      <c r="AQ8425"/>
      <c r="AR8425"/>
      <c r="AS8425"/>
      <c r="AT8425"/>
      <c r="AU8425"/>
      <c r="AV8425"/>
    </row>
    <row r="8426" spans="41:48" x14ac:dyDescent="0.35">
      <c r="AO8426"/>
      <c r="AP8426"/>
      <c r="AQ8426"/>
      <c r="AR8426"/>
      <c r="AS8426"/>
      <c r="AT8426"/>
      <c r="AU8426"/>
      <c r="AV8426"/>
    </row>
    <row r="8427" spans="41:48" x14ac:dyDescent="0.35">
      <c r="AO8427"/>
      <c r="AP8427"/>
      <c r="AQ8427"/>
      <c r="AR8427"/>
      <c r="AS8427"/>
      <c r="AT8427"/>
      <c r="AU8427"/>
      <c r="AV8427"/>
    </row>
    <row r="8428" spans="41:48" x14ac:dyDescent="0.35">
      <c r="AO8428"/>
      <c r="AP8428"/>
      <c r="AQ8428"/>
      <c r="AR8428"/>
      <c r="AS8428"/>
      <c r="AT8428"/>
      <c r="AU8428"/>
      <c r="AV8428"/>
    </row>
    <row r="8429" spans="41:48" x14ac:dyDescent="0.35">
      <c r="AO8429"/>
      <c r="AP8429"/>
      <c r="AQ8429"/>
      <c r="AR8429"/>
      <c r="AS8429"/>
      <c r="AT8429"/>
      <c r="AU8429"/>
      <c r="AV8429"/>
    </row>
    <row r="8430" spans="41:48" x14ac:dyDescent="0.35">
      <c r="AO8430"/>
      <c r="AP8430"/>
      <c r="AQ8430"/>
      <c r="AR8430"/>
      <c r="AS8430"/>
      <c r="AT8430"/>
      <c r="AU8430"/>
      <c r="AV8430"/>
    </row>
    <row r="8431" spans="41:48" x14ac:dyDescent="0.35">
      <c r="AO8431"/>
      <c r="AP8431"/>
      <c r="AQ8431"/>
      <c r="AR8431"/>
      <c r="AS8431"/>
      <c r="AT8431"/>
      <c r="AU8431"/>
      <c r="AV8431"/>
    </row>
    <row r="8432" spans="41:48" x14ac:dyDescent="0.35">
      <c r="AO8432"/>
      <c r="AP8432"/>
      <c r="AQ8432"/>
      <c r="AR8432"/>
      <c r="AS8432"/>
      <c r="AT8432"/>
      <c r="AU8432"/>
      <c r="AV8432"/>
    </row>
    <row r="8433" spans="41:48" x14ac:dyDescent="0.35">
      <c r="AO8433"/>
      <c r="AP8433"/>
      <c r="AQ8433"/>
      <c r="AR8433"/>
      <c r="AS8433"/>
      <c r="AT8433"/>
      <c r="AU8433"/>
      <c r="AV8433"/>
    </row>
    <row r="8434" spans="41:48" x14ac:dyDescent="0.35">
      <c r="AO8434"/>
      <c r="AP8434"/>
      <c r="AQ8434"/>
      <c r="AR8434"/>
      <c r="AS8434"/>
      <c r="AT8434"/>
      <c r="AU8434"/>
      <c r="AV8434"/>
    </row>
    <row r="8435" spans="41:48" x14ac:dyDescent="0.35">
      <c r="AO8435"/>
      <c r="AP8435"/>
      <c r="AQ8435"/>
      <c r="AR8435"/>
      <c r="AS8435"/>
      <c r="AT8435"/>
      <c r="AU8435"/>
      <c r="AV8435"/>
    </row>
    <row r="8436" spans="41:48" x14ac:dyDescent="0.35">
      <c r="AO8436"/>
      <c r="AP8436"/>
      <c r="AQ8436"/>
      <c r="AR8436"/>
      <c r="AS8436"/>
      <c r="AT8436"/>
      <c r="AU8436"/>
      <c r="AV8436"/>
    </row>
    <row r="8437" spans="41:48" x14ac:dyDescent="0.35">
      <c r="AO8437"/>
      <c r="AP8437"/>
      <c r="AQ8437"/>
      <c r="AR8437"/>
      <c r="AS8437"/>
      <c r="AT8437"/>
      <c r="AU8437"/>
      <c r="AV8437"/>
    </row>
    <row r="8438" spans="41:48" x14ac:dyDescent="0.35">
      <c r="AO8438"/>
      <c r="AP8438"/>
      <c r="AQ8438"/>
      <c r="AR8438"/>
      <c r="AS8438"/>
      <c r="AT8438"/>
      <c r="AU8438"/>
      <c r="AV8438"/>
    </row>
    <row r="8439" spans="41:48" x14ac:dyDescent="0.35">
      <c r="AO8439"/>
      <c r="AP8439"/>
      <c r="AQ8439"/>
      <c r="AR8439"/>
      <c r="AS8439"/>
      <c r="AT8439"/>
      <c r="AU8439"/>
      <c r="AV8439"/>
    </row>
    <row r="8440" spans="41:48" x14ac:dyDescent="0.35">
      <c r="AO8440"/>
      <c r="AP8440"/>
      <c r="AQ8440"/>
      <c r="AR8440"/>
      <c r="AS8440"/>
      <c r="AT8440"/>
      <c r="AU8440"/>
      <c r="AV8440"/>
    </row>
    <row r="8441" spans="41:48" x14ac:dyDescent="0.35">
      <c r="AO8441"/>
      <c r="AP8441"/>
      <c r="AQ8441"/>
      <c r="AR8441"/>
      <c r="AS8441"/>
      <c r="AT8441"/>
      <c r="AU8441"/>
      <c r="AV8441"/>
    </row>
    <row r="8442" spans="41:48" x14ac:dyDescent="0.35">
      <c r="AO8442"/>
      <c r="AP8442"/>
      <c r="AQ8442"/>
      <c r="AR8442"/>
      <c r="AS8442"/>
      <c r="AT8442"/>
      <c r="AU8442"/>
      <c r="AV8442"/>
    </row>
    <row r="8443" spans="41:48" x14ac:dyDescent="0.35">
      <c r="AO8443"/>
      <c r="AP8443"/>
      <c r="AQ8443"/>
      <c r="AR8443"/>
      <c r="AS8443"/>
      <c r="AT8443"/>
      <c r="AU8443"/>
      <c r="AV8443"/>
    </row>
    <row r="8444" spans="41:48" x14ac:dyDescent="0.35">
      <c r="AO8444"/>
      <c r="AP8444"/>
      <c r="AQ8444"/>
      <c r="AR8444"/>
      <c r="AS8444"/>
      <c r="AT8444"/>
      <c r="AU8444"/>
      <c r="AV8444"/>
    </row>
    <row r="8445" spans="41:48" x14ac:dyDescent="0.35">
      <c r="AO8445"/>
      <c r="AP8445"/>
      <c r="AQ8445"/>
      <c r="AR8445"/>
      <c r="AS8445"/>
      <c r="AT8445"/>
      <c r="AU8445"/>
      <c r="AV8445"/>
    </row>
    <row r="8446" spans="41:48" x14ac:dyDescent="0.35">
      <c r="AO8446"/>
      <c r="AP8446"/>
      <c r="AQ8446"/>
      <c r="AR8446"/>
      <c r="AS8446"/>
      <c r="AT8446"/>
      <c r="AU8446"/>
      <c r="AV8446"/>
    </row>
    <row r="8447" spans="41:48" x14ac:dyDescent="0.35">
      <c r="AO8447"/>
      <c r="AP8447"/>
      <c r="AQ8447"/>
      <c r="AR8447"/>
      <c r="AS8447"/>
      <c r="AT8447"/>
      <c r="AU8447"/>
      <c r="AV8447"/>
    </row>
    <row r="8448" spans="41:48" x14ac:dyDescent="0.35">
      <c r="AO8448"/>
      <c r="AP8448"/>
      <c r="AQ8448"/>
      <c r="AR8448"/>
      <c r="AS8448"/>
      <c r="AT8448"/>
      <c r="AU8448"/>
      <c r="AV8448"/>
    </row>
    <row r="8449" spans="41:48" x14ac:dyDescent="0.35">
      <c r="AO8449"/>
      <c r="AP8449"/>
      <c r="AQ8449"/>
      <c r="AR8449"/>
      <c r="AS8449"/>
      <c r="AT8449"/>
      <c r="AU8449"/>
      <c r="AV8449"/>
    </row>
    <row r="8450" spans="41:48" x14ac:dyDescent="0.35">
      <c r="AO8450"/>
      <c r="AP8450"/>
      <c r="AQ8450"/>
      <c r="AR8450"/>
      <c r="AS8450"/>
      <c r="AT8450"/>
      <c r="AU8450"/>
      <c r="AV8450"/>
    </row>
    <row r="8451" spans="41:48" x14ac:dyDescent="0.35">
      <c r="AO8451"/>
      <c r="AP8451"/>
      <c r="AQ8451"/>
      <c r="AR8451"/>
      <c r="AS8451"/>
      <c r="AT8451"/>
      <c r="AU8451"/>
      <c r="AV8451"/>
    </row>
    <row r="8452" spans="41:48" x14ac:dyDescent="0.35">
      <c r="AO8452"/>
      <c r="AP8452"/>
      <c r="AQ8452"/>
      <c r="AR8452"/>
      <c r="AS8452"/>
      <c r="AT8452"/>
      <c r="AU8452"/>
      <c r="AV8452"/>
    </row>
    <row r="8453" spans="41:48" x14ac:dyDescent="0.35">
      <c r="AO8453"/>
      <c r="AP8453"/>
      <c r="AQ8453"/>
      <c r="AR8453"/>
      <c r="AS8453"/>
      <c r="AT8453"/>
      <c r="AU8453"/>
      <c r="AV8453"/>
    </row>
    <row r="8454" spans="41:48" x14ac:dyDescent="0.35">
      <c r="AO8454"/>
      <c r="AP8454"/>
      <c r="AQ8454"/>
      <c r="AR8454"/>
      <c r="AS8454"/>
      <c r="AT8454"/>
      <c r="AU8454"/>
      <c r="AV8454"/>
    </row>
    <row r="8455" spans="41:48" x14ac:dyDescent="0.35">
      <c r="AO8455"/>
      <c r="AP8455"/>
      <c r="AQ8455"/>
      <c r="AR8455"/>
      <c r="AS8455"/>
      <c r="AT8455"/>
      <c r="AU8455"/>
      <c r="AV8455"/>
    </row>
    <row r="8456" spans="41:48" x14ac:dyDescent="0.35">
      <c r="AO8456"/>
      <c r="AP8456"/>
      <c r="AQ8456"/>
      <c r="AR8456"/>
      <c r="AS8456"/>
      <c r="AT8456"/>
      <c r="AU8456"/>
      <c r="AV8456"/>
    </row>
    <row r="8457" spans="41:48" x14ac:dyDescent="0.35">
      <c r="AO8457"/>
      <c r="AP8457"/>
      <c r="AQ8457"/>
      <c r="AR8457"/>
      <c r="AS8457"/>
      <c r="AT8457"/>
      <c r="AU8457"/>
      <c r="AV8457"/>
    </row>
    <row r="8458" spans="41:48" x14ac:dyDescent="0.35">
      <c r="AO8458"/>
      <c r="AP8458"/>
      <c r="AQ8458"/>
      <c r="AR8458"/>
      <c r="AS8458"/>
      <c r="AT8458"/>
      <c r="AU8458"/>
      <c r="AV8458"/>
    </row>
    <row r="8459" spans="41:48" x14ac:dyDescent="0.35">
      <c r="AO8459"/>
      <c r="AP8459"/>
      <c r="AQ8459"/>
      <c r="AR8459"/>
      <c r="AS8459"/>
      <c r="AT8459"/>
      <c r="AU8459"/>
      <c r="AV8459"/>
    </row>
    <row r="8460" spans="41:48" x14ac:dyDescent="0.35">
      <c r="AO8460"/>
      <c r="AP8460"/>
      <c r="AQ8460"/>
      <c r="AR8460"/>
      <c r="AS8460"/>
      <c r="AT8460"/>
      <c r="AU8460"/>
      <c r="AV8460"/>
    </row>
    <row r="8461" spans="41:48" x14ac:dyDescent="0.35">
      <c r="AO8461"/>
      <c r="AP8461"/>
      <c r="AQ8461"/>
      <c r="AR8461"/>
      <c r="AS8461"/>
      <c r="AT8461"/>
      <c r="AU8461"/>
      <c r="AV8461"/>
    </row>
    <row r="8462" spans="41:48" x14ac:dyDescent="0.35">
      <c r="AO8462"/>
      <c r="AP8462"/>
      <c r="AQ8462"/>
      <c r="AR8462"/>
      <c r="AS8462"/>
      <c r="AT8462"/>
      <c r="AU8462"/>
      <c r="AV8462"/>
    </row>
    <row r="8463" spans="41:48" x14ac:dyDescent="0.35">
      <c r="AO8463"/>
      <c r="AP8463"/>
      <c r="AQ8463"/>
      <c r="AR8463"/>
      <c r="AS8463"/>
      <c r="AT8463"/>
      <c r="AU8463"/>
      <c r="AV8463"/>
    </row>
    <row r="8464" spans="41:48" x14ac:dyDescent="0.35">
      <c r="AO8464"/>
      <c r="AP8464"/>
      <c r="AQ8464"/>
      <c r="AR8464"/>
      <c r="AS8464"/>
      <c r="AT8464"/>
      <c r="AU8464"/>
      <c r="AV8464"/>
    </row>
    <row r="8465" spans="41:48" x14ac:dyDescent="0.35">
      <c r="AO8465"/>
      <c r="AP8465"/>
      <c r="AQ8465"/>
      <c r="AR8465"/>
      <c r="AS8465"/>
      <c r="AT8465"/>
      <c r="AU8465"/>
      <c r="AV8465"/>
    </row>
    <row r="8466" spans="41:48" x14ac:dyDescent="0.35">
      <c r="AO8466"/>
      <c r="AP8466"/>
      <c r="AQ8466"/>
      <c r="AR8466"/>
      <c r="AS8466"/>
      <c r="AT8466"/>
      <c r="AU8466"/>
      <c r="AV8466"/>
    </row>
    <row r="8467" spans="41:48" x14ac:dyDescent="0.35">
      <c r="AO8467"/>
      <c r="AP8467"/>
      <c r="AQ8467"/>
      <c r="AR8467"/>
      <c r="AS8467"/>
      <c r="AT8467"/>
      <c r="AU8467"/>
      <c r="AV8467"/>
    </row>
    <row r="8468" spans="41:48" x14ac:dyDescent="0.35">
      <c r="AO8468"/>
      <c r="AP8468"/>
      <c r="AQ8468"/>
      <c r="AR8468"/>
      <c r="AS8468"/>
      <c r="AT8468"/>
      <c r="AU8468"/>
      <c r="AV8468"/>
    </row>
    <row r="8469" spans="41:48" x14ac:dyDescent="0.35">
      <c r="AO8469"/>
      <c r="AP8469"/>
      <c r="AQ8469"/>
      <c r="AR8469"/>
      <c r="AS8469"/>
      <c r="AT8469"/>
      <c r="AU8469"/>
      <c r="AV8469"/>
    </row>
    <row r="8470" spans="41:48" x14ac:dyDescent="0.35">
      <c r="AO8470"/>
      <c r="AP8470"/>
      <c r="AQ8470"/>
      <c r="AR8470"/>
      <c r="AS8470"/>
      <c r="AT8470"/>
      <c r="AU8470"/>
      <c r="AV8470"/>
    </row>
    <row r="8471" spans="41:48" x14ac:dyDescent="0.35">
      <c r="AO8471"/>
      <c r="AP8471"/>
      <c r="AQ8471"/>
      <c r="AR8471"/>
      <c r="AS8471"/>
      <c r="AT8471"/>
      <c r="AU8471"/>
      <c r="AV8471"/>
    </row>
    <row r="8472" spans="41:48" x14ac:dyDescent="0.35">
      <c r="AO8472"/>
      <c r="AP8472"/>
      <c r="AQ8472"/>
      <c r="AR8472"/>
      <c r="AS8472"/>
      <c r="AT8472"/>
      <c r="AU8472"/>
      <c r="AV8472"/>
    </row>
    <row r="8473" spans="41:48" x14ac:dyDescent="0.35">
      <c r="AO8473"/>
      <c r="AP8473"/>
      <c r="AQ8473"/>
      <c r="AR8473"/>
      <c r="AS8473"/>
      <c r="AT8473"/>
      <c r="AU8473"/>
      <c r="AV8473"/>
    </row>
    <row r="8474" spans="41:48" x14ac:dyDescent="0.35">
      <c r="AO8474"/>
      <c r="AP8474"/>
      <c r="AQ8474"/>
      <c r="AR8474"/>
      <c r="AS8474"/>
      <c r="AT8474"/>
      <c r="AU8474"/>
      <c r="AV8474"/>
    </row>
    <row r="8475" spans="41:48" x14ac:dyDescent="0.35">
      <c r="AO8475"/>
      <c r="AP8475"/>
      <c r="AQ8475"/>
      <c r="AR8475"/>
      <c r="AS8475"/>
      <c r="AT8475"/>
      <c r="AU8475"/>
      <c r="AV8475"/>
    </row>
    <row r="8476" spans="41:48" x14ac:dyDescent="0.35">
      <c r="AO8476"/>
      <c r="AP8476"/>
      <c r="AQ8476"/>
      <c r="AR8476"/>
      <c r="AS8476"/>
      <c r="AT8476"/>
      <c r="AU8476"/>
      <c r="AV8476"/>
    </row>
    <row r="8477" spans="41:48" x14ac:dyDescent="0.35">
      <c r="AO8477"/>
      <c r="AP8477"/>
      <c r="AQ8477"/>
      <c r="AR8477"/>
      <c r="AS8477"/>
      <c r="AT8477"/>
      <c r="AU8477"/>
      <c r="AV8477"/>
    </row>
    <row r="8478" spans="41:48" x14ac:dyDescent="0.35">
      <c r="AO8478"/>
      <c r="AP8478"/>
      <c r="AQ8478"/>
      <c r="AR8478"/>
      <c r="AS8478"/>
      <c r="AT8478"/>
      <c r="AU8478"/>
      <c r="AV8478"/>
    </row>
    <row r="8479" spans="41:48" x14ac:dyDescent="0.35">
      <c r="AO8479"/>
      <c r="AP8479"/>
      <c r="AQ8479"/>
      <c r="AR8479"/>
      <c r="AS8479"/>
      <c r="AT8479"/>
      <c r="AU8479"/>
      <c r="AV8479"/>
    </row>
    <row r="8480" spans="41:48" x14ac:dyDescent="0.35">
      <c r="AO8480"/>
      <c r="AP8480"/>
      <c r="AQ8480"/>
      <c r="AR8480"/>
      <c r="AS8480"/>
      <c r="AT8480"/>
      <c r="AU8480"/>
      <c r="AV8480"/>
    </row>
    <row r="8481" spans="41:48" x14ac:dyDescent="0.35">
      <c r="AO8481"/>
      <c r="AP8481"/>
      <c r="AQ8481"/>
      <c r="AR8481"/>
      <c r="AS8481"/>
      <c r="AT8481"/>
      <c r="AU8481"/>
      <c r="AV8481"/>
    </row>
    <row r="8482" spans="41:48" x14ac:dyDescent="0.35">
      <c r="AO8482"/>
      <c r="AP8482"/>
      <c r="AQ8482"/>
      <c r="AR8482"/>
      <c r="AS8482"/>
      <c r="AT8482"/>
      <c r="AU8482"/>
      <c r="AV8482"/>
    </row>
    <row r="8483" spans="41:48" x14ac:dyDescent="0.35">
      <c r="AO8483"/>
      <c r="AP8483"/>
      <c r="AQ8483"/>
      <c r="AR8483"/>
      <c r="AS8483"/>
      <c r="AT8483"/>
      <c r="AU8483"/>
      <c r="AV8483"/>
    </row>
    <row r="8484" spans="41:48" x14ac:dyDescent="0.35">
      <c r="AO8484"/>
      <c r="AP8484"/>
      <c r="AQ8484"/>
      <c r="AR8484"/>
      <c r="AS8484"/>
      <c r="AT8484"/>
      <c r="AU8484"/>
      <c r="AV8484"/>
    </row>
    <row r="8485" spans="41:48" x14ac:dyDescent="0.35">
      <c r="AO8485"/>
      <c r="AP8485"/>
      <c r="AQ8485"/>
      <c r="AR8485"/>
      <c r="AS8485"/>
      <c r="AT8485"/>
      <c r="AU8485"/>
      <c r="AV8485"/>
    </row>
    <row r="8486" spans="41:48" x14ac:dyDescent="0.35">
      <c r="AO8486"/>
      <c r="AP8486"/>
      <c r="AQ8486"/>
      <c r="AR8486"/>
      <c r="AS8486"/>
      <c r="AT8486"/>
      <c r="AU8486"/>
      <c r="AV8486"/>
    </row>
    <row r="8487" spans="41:48" x14ac:dyDescent="0.35">
      <c r="AO8487"/>
      <c r="AP8487"/>
      <c r="AQ8487"/>
      <c r="AR8487"/>
      <c r="AS8487"/>
      <c r="AT8487"/>
      <c r="AU8487"/>
      <c r="AV8487"/>
    </row>
    <row r="8488" spans="41:48" x14ac:dyDescent="0.35">
      <c r="AO8488"/>
      <c r="AP8488"/>
      <c r="AQ8488"/>
      <c r="AR8488"/>
      <c r="AS8488"/>
      <c r="AT8488"/>
      <c r="AU8488"/>
      <c r="AV8488"/>
    </row>
    <row r="8489" spans="41:48" x14ac:dyDescent="0.35">
      <c r="AO8489"/>
      <c r="AP8489"/>
      <c r="AQ8489"/>
      <c r="AR8489"/>
      <c r="AS8489"/>
      <c r="AT8489"/>
      <c r="AU8489"/>
      <c r="AV8489"/>
    </row>
    <row r="8490" spans="41:48" x14ac:dyDescent="0.35">
      <c r="AO8490"/>
      <c r="AP8490"/>
      <c r="AQ8490"/>
      <c r="AR8490"/>
      <c r="AS8490"/>
      <c r="AT8490"/>
      <c r="AU8490"/>
      <c r="AV8490"/>
    </row>
    <row r="8491" spans="41:48" x14ac:dyDescent="0.35">
      <c r="AO8491"/>
      <c r="AP8491"/>
      <c r="AQ8491"/>
      <c r="AR8491"/>
      <c r="AS8491"/>
      <c r="AT8491"/>
      <c r="AU8491"/>
      <c r="AV8491"/>
    </row>
    <row r="8492" spans="41:48" x14ac:dyDescent="0.35">
      <c r="AO8492"/>
      <c r="AP8492"/>
      <c r="AQ8492"/>
      <c r="AR8492"/>
      <c r="AS8492"/>
      <c r="AT8492"/>
      <c r="AU8492"/>
      <c r="AV8492"/>
    </row>
    <row r="8493" spans="41:48" x14ac:dyDescent="0.35">
      <c r="AO8493"/>
      <c r="AP8493"/>
      <c r="AQ8493"/>
      <c r="AR8493"/>
      <c r="AS8493"/>
      <c r="AT8493"/>
      <c r="AU8493"/>
      <c r="AV8493"/>
    </row>
    <row r="8494" spans="41:48" x14ac:dyDescent="0.35">
      <c r="AO8494"/>
      <c r="AP8494"/>
      <c r="AQ8494"/>
      <c r="AR8494"/>
      <c r="AS8494"/>
      <c r="AT8494"/>
      <c r="AU8494"/>
      <c r="AV8494"/>
    </row>
    <row r="8495" spans="41:48" x14ac:dyDescent="0.35">
      <c r="AO8495"/>
      <c r="AP8495"/>
      <c r="AQ8495"/>
      <c r="AR8495"/>
      <c r="AS8495"/>
      <c r="AT8495"/>
      <c r="AU8495"/>
      <c r="AV8495"/>
    </row>
    <row r="8496" spans="41:48" x14ac:dyDescent="0.35">
      <c r="AO8496"/>
      <c r="AP8496"/>
      <c r="AQ8496"/>
      <c r="AR8496"/>
      <c r="AS8496"/>
      <c r="AT8496"/>
      <c r="AU8496"/>
      <c r="AV8496"/>
    </row>
    <row r="8497" spans="41:48" x14ac:dyDescent="0.35">
      <c r="AO8497"/>
      <c r="AP8497"/>
      <c r="AQ8497"/>
      <c r="AR8497"/>
      <c r="AS8497"/>
      <c r="AT8497"/>
      <c r="AU8497"/>
      <c r="AV8497"/>
    </row>
    <row r="8498" spans="41:48" x14ac:dyDescent="0.35">
      <c r="AO8498"/>
      <c r="AP8498"/>
      <c r="AQ8498"/>
      <c r="AR8498"/>
      <c r="AS8498"/>
      <c r="AT8498"/>
      <c r="AU8498"/>
      <c r="AV8498"/>
    </row>
    <row r="8499" spans="41:48" x14ac:dyDescent="0.35">
      <c r="AO8499"/>
      <c r="AP8499"/>
      <c r="AQ8499"/>
      <c r="AR8499"/>
      <c r="AS8499"/>
      <c r="AT8499"/>
      <c r="AU8499"/>
      <c r="AV8499"/>
    </row>
    <row r="8500" spans="41:48" x14ac:dyDescent="0.35">
      <c r="AO8500"/>
      <c r="AP8500"/>
      <c r="AQ8500"/>
      <c r="AR8500"/>
      <c r="AS8500"/>
      <c r="AT8500"/>
      <c r="AU8500"/>
      <c r="AV8500"/>
    </row>
    <row r="8501" spans="41:48" x14ac:dyDescent="0.35">
      <c r="AO8501"/>
      <c r="AP8501"/>
      <c r="AQ8501"/>
      <c r="AR8501"/>
      <c r="AS8501"/>
      <c r="AT8501"/>
      <c r="AU8501"/>
      <c r="AV8501"/>
    </row>
    <row r="8502" spans="41:48" x14ac:dyDescent="0.35">
      <c r="AO8502"/>
      <c r="AP8502"/>
      <c r="AQ8502"/>
      <c r="AR8502"/>
      <c r="AS8502"/>
      <c r="AT8502"/>
      <c r="AU8502"/>
      <c r="AV8502"/>
    </row>
    <row r="8503" spans="41:48" x14ac:dyDescent="0.35">
      <c r="AO8503"/>
      <c r="AP8503"/>
      <c r="AQ8503"/>
      <c r="AR8503"/>
      <c r="AS8503"/>
      <c r="AT8503"/>
      <c r="AU8503"/>
      <c r="AV8503"/>
    </row>
    <row r="8504" spans="41:48" x14ac:dyDescent="0.35">
      <c r="AO8504"/>
      <c r="AP8504"/>
      <c r="AQ8504"/>
      <c r="AR8504"/>
      <c r="AS8504"/>
      <c r="AT8504"/>
      <c r="AU8504"/>
      <c r="AV8504"/>
    </row>
    <row r="8505" spans="41:48" x14ac:dyDescent="0.35">
      <c r="AO8505"/>
      <c r="AP8505"/>
      <c r="AQ8505"/>
      <c r="AR8505"/>
      <c r="AS8505"/>
      <c r="AT8505"/>
      <c r="AU8505"/>
      <c r="AV8505"/>
    </row>
    <row r="8506" spans="41:48" x14ac:dyDescent="0.35">
      <c r="AO8506"/>
      <c r="AP8506"/>
      <c r="AQ8506"/>
      <c r="AR8506"/>
      <c r="AS8506"/>
      <c r="AT8506"/>
      <c r="AU8506"/>
      <c r="AV8506"/>
    </row>
    <row r="8507" spans="41:48" x14ac:dyDescent="0.35">
      <c r="AO8507"/>
      <c r="AP8507"/>
      <c r="AQ8507"/>
      <c r="AR8507"/>
      <c r="AS8507"/>
      <c r="AT8507"/>
      <c r="AU8507"/>
      <c r="AV8507"/>
    </row>
    <row r="8508" spans="41:48" x14ac:dyDescent="0.35">
      <c r="AO8508"/>
      <c r="AP8508"/>
      <c r="AQ8508"/>
      <c r="AR8508"/>
      <c r="AS8508"/>
      <c r="AT8508"/>
      <c r="AU8508"/>
      <c r="AV8508"/>
    </row>
    <row r="8509" spans="41:48" x14ac:dyDescent="0.35">
      <c r="AO8509"/>
      <c r="AP8509"/>
      <c r="AQ8509"/>
      <c r="AR8509"/>
      <c r="AS8509"/>
      <c r="AT8509"/>
      <c r="AU8509"/>
      <c r="AV8509"/>
    </row>
    <row r="8510" spans="41:48" x14ac:dyDescent="0.35">
      <c r="AO8510"/>
      <c r="AP8510"/>
      <c r="AQ8510"/>
      <c r="AR8510"/>
      <c r="AS8510"/>
      <c r="AT8510"/>
      <c r="AU8510"/>
      <c r="AV8510"/>
    </row>
    <row r="8511" spans="41:48" x14ac:dyDescent="0.35">
      <c r="AO8511"/>
      <c r="AP8511"/>
      <c r="AQ8511"/>
      <c r="AR8511"/>
      <c r="AS8511"/>
      <c r="AT8511"/>
      <c r="AU8511"/>
      <c r="AV8511"/>
    </row>
    <row r="8512" spans="41:48" x14ac:dyDescent="0.35">
      <c r="AO8512"/>
      <c r="AP8512"/>
      <c r="AQ8512"/>
      <c r="AR8512"/>
      <c r="AS8512"/>
      <c r="AT8512"/>
      <c r="AU8512"/>
      <c r="AV8512"/>
    </row>
    <row r="8513" spans="41:48" x14ac:dyDescent="0.35">
      <c r="AO8513"/>
      <c r="AP8513"/>
      <c r="AQ8513"/>
      <c r="AR8513"/>
      <c r="AS8513"/>
      <c r="AT8513"/>
      <c r="AU8513"/>
      <c r="AV8513"/>
    </row>
    <row r="8514" spans="41:48" x14ac:dyDescent="0.35">
      <c r="AO8514"/>
      <c r="AP8514"/>
      <c r="AQ8514"/>
      <c r="AR8514"/>
      <c r="AS8514"/>
      <c r="AT8514"/>
      <c r="AU8514"/>
      <c r="AV8514"/>
    </row>
    <row r="8515" spans="41:48" x14ac:dyDescent="0.35">
      <c r="AO8515"/>
      <c r="AP8515"/>
      <c r="AQ8515"/>
      <c r="AR8515"/>
      <c r="AS8515"/>
      <c r="AT8515"/>
      <c r="AU8515"/>
      <c r="AV8515"/>
    </row>
    <row r="8516" spans="41:48" x14ac:dyDescent="0.35">
      <c r="AO8516"/>
      <c r="AP8516"/>
      <c r="AQ8516"/>
      <c r="AR8516"/>
      <c r="AS8516"/>
      <c r="AT8516"/>
      <c r="AU8516"/>
      <c r="AV8516"/>
    </row>
    <row r="8517" spans="41:48" x14ac:dyDescent="0.35">
      <c r="AO8517"/>
      <c r="AP8517"/>
      <c r="AQ8517"/>
      <c r="AR8517"/>
      <c r="AS8517"/>
      <c r="AT8517"/>
      <c r="AU8517"/>
      <c r="AV8517"/>
    </row>
    <row r="8518" spans="41:48" x14ac:dyDescent="0.35">
      <c r="AO8518"/>
      <c r="AP8518"/>
      <c r="AQ8518"/>
      <c r="AR8518"/>
      <c r="AS8518"/>
      <c r="AT8518"/>
      <c r="AU8518"/>
      <c r="AV8518"/>
    </row>
    <row r="8519" spans="41:48" x14ac:dyDescent="0.35">
      <c r="AO8519"/>
      <c r="AP8519"/>
      <c r="AQ8519"/>
      <c r="AR8519"/>
      <c r="AS8519"/>
      <c r="AT8519"/>
      <c r="AU8519"/>
      <c r="AV8519"/>
    </row>
    <row r="8520" spans="41:48" x14ac:dyDescent="0.35">
      <c r="AO8520"/>
      <c r="AP8520"/>
      <c r="AQ8520"/>
      <c r="AR8520"/>
      <c r="AS8520"/>
      <c r="AT8520"/>
      <c r="AU8520"/>
      <c r="AV8520"/>
    </row>
    <row r="8521" spans="41:48" x14ac:dyDescent="0.35">
      <c r="AO8521"/>
      <c r="AP8521"/>
      <c r="AQ8521"/>
      <c r="AR8521"/>
      <c r="AS8521"/>
      <c r="AT8521"/>
      <c r="AU8521"/>
      <c r="AV8521"/>
    </row>
    <row r="8522" spans="41:48" x14ac:dyDescent="0.35">
      <c r="AO8522"/>
      <c r="AP8522"/>
      <c r="AQ8522"/>
      <c r="AR8522"/>
      <c r="AS8522"/>
      <c r="AT8522"/>
      <c r="AU8522"/>
      <c r="AV8522"/>
    </row>
    <row r="8523" spans="41:48" x14ac:dyDescent="0.35">
      <c r="AO8523"/>
      <c r="AP8523"/>
      <c r="AQ8523"/>
      <c r="AR8523"/>
      <c r="AS8523"/>
      <c r="AT8523"/>
      <c r="AU8523"/>
      <c r="AV8523"/>
    </row>
    <row r="8524" spans="41:48" x14ac:dyDescent="0.35">
      <c r="AO8524"/>
      <c r="AP8524"/>
      <c r="AQ8524"/>
      <c r="AR8524"/>
      <c r="AS8524"/>
      <c r="AT8524"/>
      <c r="AU8524"/>
      <c r="AV8524"/>
    </row>
    <row r="8525" spans="41:48" x14ac:dyDescent="0.35">
      <c r="AO8525"/>
      <c r="AP8525"/>
      <c r="AQ8525"/>
      <c r="AR8525"/>
      <c r="AS8525"/>
      <c r="AT8525"/>
      <c r="AU8525"/>
      <c r="AV8525"/>
    </row>
    <row r="8526" spans="41:48" x14ac:dyDescent="0.35">
      <c r="AO8526"/>
      <c r="AP8526"/>
      <c r="AQ8526"/>
      <c r="AR8526"/>
      <c r="AS8526"/>
      <c r="AT8526"/>
      <c r="AU8526"/>
      <c r="AV8526"/>
    </row>
    <row r="8527" spans="41:48" x14ac:dyDescent="0.35">
      <c r="AO8527"/>
      <c r="AP8527"/>
      <c r="AQ8527"/>
      <c r="AR8527"/>
      <c r="AS8527"/>
      <c r="AT8527"/>
      <c r="AU8527"/>
      <c r="AV8527"/>
    </row>
    <row r="8528" spans="41:48" x14ac:dyDescent="0.35">
      <c r="AO8528"/>
      <c r="AP8528"/>
      <c r="AQ8528"/>
      <c r="AR8528"/>
      <c r="AS8528"/>
      <c r="AT8528"/>
      <c r="AU8528"/>
      <c r="AV8528"/>
    </row>
    <row r="8529" spans="41:48" x14ac:dyDescent="0.35">
      <c r="AO8529"/>
      <c r="AP8529"/>
      <c r="AQ8529"/>
      <c r="AR8529"/>
      <c r="AS8529"/>
      <c r="AT8529"/>
      <c r="AU8529"/>
      <c r="AV8529"/>
    </row>
    <row r="8530" spans="41:48" x14ac:dyDescent="0.35">
      <c r="AO8530"/>
      <c r="AP8530"/>
      <c r="AQ8530"/>
      <c r="AR8530"/>
      <c r="AS8530"/>
      <c r="AT8530"/>
      <c r="AU8530"/>
      <c r="AV8530"/>
    </row>
    <row r="8531" spans="41:48" x14ac:dyDescent="0.35">
      <c r="AO8531"/>
      <c r="AP8531"/>
      <c r="AQ8531"/>
      <c r="AR8531"/>
      <c r="AS8531"/>
      <c r="AT8531"/>
      <c r="AU8531"/>
      <c r="AV8531"/>
    </row>
    <row r="8532" spans="41:48" x14ac:dyDescent="0.35">
      <c r="AO8532"/>
      <c r="AP8532"/>
      <c r="AQ8532"/>
      <c r="AR8532"/>
      <c r="AS8532"/>
      <c r="AT8532"/>
      <c r="AU8532"/>
      <c r="AV8532"/>
    </row>
    <row r="8533" spans="41:48" x14ac:dyDescent="0.35">
      <c r="AO8533"/>
      <c r="AP8533"/>
      <c r="AQ8533"/>
      <c r="AR8533"/>
      <c r="AS8533"/>
      <c r="AT8533"/>
      <c r="AU8533"/>
      <c r="AV8533"/>
    </row>
    <row r="8534" spans="41:48" x14ac:dyDescent="0.35">
      <c r="AO8534"/>
      <c r="AP8534"/>
      <c r="AQ8534"/>
      <c r="AR8534"/>
      <c r="AS8534"/>
      <c r="AT8534"/>
      <c r="AU8534"/>
      <c r="AV8534"/>
    </row>
    <row r="8535" spans="41:48" x14ac:dyDescent="0.35">
      <c r="AO8535"/>
      <c r="AP8535"/>
      <c r="AQ8535"/>
      <c r="AR8535"/>
      <c r="AS8535"/>
      <c r="AT8535"/>
      <c r="AU8535"/>
      <c r="AV8535"/>
    </row>
    <row r="8536" spans="41:48" x14ac:dyDescent="0.35">
      <c r="AO8536"/>
      <c r="AP8536"/>
      <c r="AQ8536"/>
      <c r="AR8536"/>
      <c r="AS8536"/>
      <c r="AT8536"/>
      <c r="AU8536"/>
      <c r="AV8536"/>
    </row>
    <row r="8537" spans="41:48" x14ac:dyDescent="0.35">
      <c r="AO8537"/>
      <c r="AP8537"/>
      <c r="AQ8537"/>
      <c r="AR8537"/>
      <c r="AS8537"/>
      <c r="AT8537"/>
      <c r="AU8537"/>
      <c r="AV8537"/>
    </row>
    <row r="8538" spans="41:48" x14ac:dyDescent="0.35">
      <c r="AO8538"/>
      <c r="AP8538"/>
      <c r="AQ8538"/>
      <c r="AR8538"/>
      <c r="AS8538"/>
      <c r="AT8538"/>
      <c r="AU8538"/>
      <c r="AV8538"/>
    </row>
    <row r="8539" spans="41:48" x14ac:dyDescent="0.35">
      <c r="AO8539"/>
      <c r="AP8539"/>
      <c r="AQ8539"/>
      <c r="AR8539"/>
      <c r="AS8539"/>
      <c r="AT8539"/>
      <c r="AU8539"/>
      <c r="AV8539"/>
    </row>
    <row r="8540" spans="41:48" x14ac:dyDescent="0.35">
      <c r="AO8540"/>
      <c r="AP8540"/>
      <c r="AQ8540"/>
      <c r="AR8540"/>
      <c r="AS8540"/>
      <c r="AT8540"/>
      <c r="AU8540"/>
      <c r="AV8540"/>
    </row>
    <row r="8541" spans="41:48" x14ac:dyDescent="0.35">
      <c r="AO8541"/>
      <c r="AP8541"/>
      <c r="AQ8541"/>
      <c r="AR8541"/>
      <c r="AS8541"/>
      <c r="AT8541"/>
      <c r="AU8541"/>
      <c r="AV8541"/>
    </row>
    <row r="8542" spans="41:48" x14ac:dyDescent="0.35">
      <c r="AO8542"/>
      <c r="AP8542"/>
      <c r="AQ8542"/>
      <c r="AR8542"/>
      <c r="AS8542"/>
      <c r="AT8542"/>
      <c r="AU8542"/>
      <c r="AV8542"/>
    </row>
    <row r="8543" spans="41:48" x14ac:dyDescent="0.35">
      <c r="AO8543"/>
      <c r="AP8543"/>
      <c r="AQ8543"/>
      <c r="AR8543"/>
      <c r="AS8543"/>
      <c r="AT8543"/>
      <c r="AU8543"/>
      <c r="AV8543"/>
    </row>
    <row r="8544" spans="41:48" x14ac:dyDescent="0.35">
      <c r="AO8544"/>
      <c r="AP8544"/>
      <c r="AQ8544"/>
      <c r="AR8544"/>
      <c r="AS8544"/>
      <c r="AT8544"/>
      <c r="AU8544"/>
      <c r="AV8544"/>
    </row>
    <row r="8545" spans="41:48" x14ac:dyDescent="0.35">
      <c r="AO8545"/>
      <c r="AP8545"/>
      <c r="AQ8545"/>
      <c r="AR8545"/>
      <c r="AS8545"/>
      <c r="AT8545"/>
      <c r="AU8545"/>
      <c r="AV8545"/>
    </row>
    <row r="8546" spans="41:48" x14ac:dyDescent="0.35">
      <c r="AO8546"/>
      <c r="AP8546"/>
      <c r="AQ8546"/>
      <c r="AR8546"/>
      <c r="AS8546"/>
      <c r="AT8546"/>
      <c r="AU8546"/>
      <c r="AV8546"/>
    </row>
    <row r="8547" spans="41:48" x14ac:dyDescent="0.35">
      <c r="AO8547"/>
      <c r="AP8547"/>
      <c r="AQ8547"/>
      <c r="AR8547"/>
      <c r="AS8547"/>
      <c r="AT8547"/>
      <c r="AU8547"/>
      <c r="AV8547"/>
    </row>
    <row r="8548" spans="41:48" x14ac:dyDescent="0.35">
      <c r="AO8548"/>
      <c r="AP8548"/>
      <c r="AQ8548"/>
      <c r="AR8548"/>
      <c r="AS8548"/>
      <c r="AT8548"/>
      <c r="AU8548"/>
      <c r="AV8548"/>
    </row>
    <row r="8549" spans="41:48" x14ac:dyDescent="0.35">
      <c r="AO8549"/>
      <c r="AP8549"/>
      <c r="AQ8549"/>
      <c r="AR8549"/>
      <c r="AS8549"/>
      <c r="AT8549"/>
      <c r="AU8549"/>
      <c r="AV8549"/>
    </row>
    <row r="8550" spans="41:48" x14ac:dyDescent="0.35">
      <c r="AO8550"/>
      <c r="AP8550"/>
      <c r="AQ8550"/>
      <c r="AR8550"/>
      <c r="AS8550"/>
      <c r="AT8550"/>
      <c r="AU8550"/>
      <c r="AV8550"/>
    </row>
    <row r="8551" spans="41:48" x14ac:dyDescent="0.35">
      <c r="AO8551"/>
      <c r="AP8551"/>
      <c r="AQ8551"/>
      <c r="AR8551"/>
      <c r="AS8551"/>
      <c r="AT8551"/>
      <c r="AU8551"/>
      <c r="AV8551"/>
    </row>
    <row r="8552" spans="41:48" x14ac:dyDescent="0.35">
      <c r="AO8552"/>
      <c r="AP8552"/>
      <c r="AQ8552"/>
      <c r="AR8552"/>
      <c r="AS8552"/>
      <c r="AT8552"/>
      <c r="AU8552"/>
      <c r="AV8552"/>
    </row>
    <row r="8553" spans="41:48" x14ac:dyDescent="0.35">
      <c r="AO8553"/>
      <c r="AP8553"/>
      <c r="AQ8553"/>
      <c r="AR8553"/>
      <c r="AS8553"/>
      <c r="AT8553"/>
      <c r="AU8553"/>
      <c r="AV8553"/>
    </row>
    <row r="8554" spans="41:48" x14ac:dyDescent="0.35">
      <c r="AO8554"/>
      <c r="AP8554"/>
      <c r="AQ8554"/>
      <c r="AR8554"/>
      <c r="AS8554"/>
      <c r="AT8554"/>
      <c r="AU8554"/>
      <c r="AV8554"/>
    </row>
    <row r="8555" spans="41:48" x14ac:dyDescent="0.35">
      <c r="AO8555"/>
      <c r="AP8555"/>
      <c r="AQ8555"/>
      <c r="AR8555"/>
      <c r="AS8555"/>
      <c r="AT8555"/>
      <c r="AU8555"/>
      <c r="AV8555"/>
    </row>
    <row r="8556" spans="41:48" x14ac:dyDescent="0.35">
      <c r="AO8556"/>
      <c r="AP8556"/>
      <c r="AQ8556"/>
      <c r="AR8556"/>
      <c r="AS8556"/>
      <c r="AT8556"/>
      <c r="AU8556"/>
      <c r="AV8556"/>
    </row>
    <row r="8557" spans="41:48" x14ac:dyDescent="0.35">
      <c r="AO8557"/>
      <c r="AP8557"/>
      <c r="AQ8557"/>
      <c r="AR8557"/>
      <c r="AS8557"/>
      <c r="AT8557"/>
      <c r="AU8557"/>
      <c r="AV8557"/>
    </row>
    <row r="8558" spans="41:48" x14ac:dyDescent="0.35">
      <c r="AO8558"/>
      <c r="AP8558"/>
      <c r="AQ8558"/>
      <c r="AR8558"/>
      <c r="AS8558"/>
      <c r="AT8558"/>
      <c r="AU8558"/>
      <c r="AV8558"/>
    </row>
    <row r="8559" spans="41:48" x14ac:dyDescent="0.35">
      <c r="AO8559"/>
      <c r="AP8559"/>
      <c r="AQ8559"/>
      <c r="AR8559"/>
      <c r="AS8559"/>
      <c r="AT8559"/>
      <c r="AU8559"/>
      <c r="AV8559"/>
    </row>
    <row r="8560" spans="41:48" x14ac:dyDescent="0.35">
      <c r="AO8560"/>
      <c r="AP8560"/>
      <c r="AQ8560"/>
      <c r="AR8560"/>
      <c r="AS8560"/>
      <c r="AT8560"/>
      <c r="AU8560"/>
      <c r="AV8560"/>
    </row>
    <row r="8561" spans="41:48" x14ac:dyDescent="0.35">
      <c r="AO8561"/>
      <c r="AP8561"/>
      <c r="AQ8561"/>
      <c r="AR8561"/>
      <c r="AS8561"/>
      <c r="AT8561"/>
      <c r="AU8561"/>
      <c r="AV8561"/>
    </row>
    <row r="8562" spans="41:48" x14ac:dyDescent="0.35">
      <c r="AO8562"/>
      <c r="AP8562"/>
      <c r="AQ8562"/>
      <c r="AR8562"/>
      <c r="AS8562"/>
      <c r="AT8562"/>
      <c r="AU8562"/>
      <c r="AV8562"/>
    </row>
    <row r="8563" spans="41:48" x14ac:dyDescent="0.35">
      <c r="AO8563"/>
      <c r="AP8563"/>
      <c r="AQ8563"/>
      <c r="AR8563"/>
      <c r="AS8563"/>
      <c r="AT8563"/>
      <c r="AU8563"/>
      <c r="AV8563"/>
    </row>
    <row r="8564" spans="41:48" x14ac:dyDescent="0.35">
      <c r="AO8564"/>
      <c r="AP8564"/>
      <c r="AQ8564"/>
      <c r="AR8564"/>
      <c r="AS8564"/>
      <c r="AT8564"/>
      <c r="AU8564"/>
      <c r="AV8564"/>
    </row>
    <row r="8565" spans="41:48" x14ac:dyDescent="0.35">
      <c r="AO8565"/>
      <c r="AP8565"/>
      <c r="AQ8565"/>
      <c r="AR8565"/>
      <c r="AS8565"/>
      <c r="AT8565"/>
      <c r="AU8565"/>
      <c r="AV8565"/>
    </row>
    <row r="8566" spans="41:48" x14ac:dyDescent="0.35">
      <c r="AO8566"/>
      <c r="AP8566"/>
      <c r="AQ8566"/>
      <c r="AR8566"/>
      <c r="AS8566"/>
      <c r="AT8566"/>
      <c r="AU8566"/>
      <c r="AV8566"/>
    </row>
    <row r="8567" spans="41:48" x14ac:dyDescent="0.35">
      <c r="AO8567"/>
      <c r="AP8567"/>
      <c r="AQ8567"/>
      <c r="AR8567"/>
      <c r="AS8567"/>
      <c r="AT8567"/>
      <c r="AU8567"/>
      <c r="AV8567"/>
    </row>
    <row r="8568" spans="41:48" x14ac:dyDescent="0.35">
      <c r="AO8568"/>
      <c r="AP8568"/>
      <c r="AQ8568"/>
      <c r="AR8568"/>
      <c r="AS8568"/>
      <c r="AT8568"/>
      <c r="AU8568"/>
      <c r="AV8568"/>
    </row>
    <row r="8569" spans="41:48" x14ac:dyDescent="0.35">
      <c r="AO8569"/>
      <c r="AP8569"/>
      <c r="AQ8569"/>
      <c r="AR8569"/>
      <c r="AS8569"/>
      <c r="AT8569"/>
      <c r="AU8569"/>
      <c r="AV8569"/>
    </row>
    <row r="8570" spans="41:48" x14ac:dyDescent="0.35">
      <c r="AO8570"/>
      <c r="AP8570"/>
      <c r="AQ8570"/>
      <c r="AR8570"/>
      <c r="AS8570"/>
      <c r="AT8570"/>
      <c r="AU8570"/>
      <c r="AV8570"/>
    </row>
    <row r="8571" spans="41:48" x14ac:dyDescent="0.35">
      <c r="AO8571"/>
      <c r="AP8571"/>
      <c r="AQ8571"/>
      <c r="AR8571"/>
      <c r="AS8571"/>
      <c r="AT8571"/>
      <c r="AU8571"/>
      <c r="AV8571"/>
    </row>
    <row r="8572" spans="41:48" x14ac:dyDescent="0.35">
      <c r="AO8572"/>
      <c r="AP8572"/>
      <c r="AQ8572"/>
      <c r="AR8572"/>
      <c r="AS8572"/>
      <c r="AT8572"/>
      <c r="AU8572"/>
      <c r="AV8572"/>
    </row>
    <row r="8573" spans="41:48" x14ac:dyDescent="0.35">
      <c r="AO8573"/>
      <c r="AP8573"/>
      <c r="AQ8573"/>
      <c r="AR8573"/>
      <c r="AS8573"/>
      <c r="AT8573"/>
      <c r="AU8573"/>
      <c r="AV8573"/>
    </row>
    <row r="8574" spans="41:48" x14ac:dyDescent="0.35">
      <c r="AO8574"/>
      <c r="AP8574"/>
      <c r="AQ8574"/>
      <c r="AR8574"/>
      <c r="AS8574"/>
      <c r="AT8574"/>
      <c r="AU8574"/>
      <c r="AV8574"/>
    </row>
    <row r="8575" spans="41:48" x14ac:dyDescent="0.35">
      <c r="AO8575"/>
      <c r="AP8575"/>
      <c r="AQ8575"/>
      <c r="AR8575"/>
      <c r="AS8575"/>
      <c r="AT8575"/>
      <c r="AU8575"/>
      <c r="AV8575"/>
    </row>
    <row r="8576" spans="41:48" x14ac:dyDescent="0.35">
      <c r="AO8576"/>
      <c r="AP8576"/>
      <c r="AQ8576"/>
      <c r="AR8576"/>
      <c r="AS8576"/>
      <c r="AT8576"/>
      <c r="AU8576"/>
      <c r="AV8576"/>
    </row>
    <row r="8577" spans="41:48" x14ac:dyDescent="0.35">
      <c r="AO8577"/>
      <c r="AP8577"/>
      <c r="AQ8577"/>
      <c r="AR8577"/>
      <c r="AS8577"/>
      <c r="AT8577"/>
      <c r="AU8577"/>
      <c r="AV8577"/>
    </row>
    <row r="8578" spans="41:48" x14ac:dyDescent="0.35">
      <c r="AO8578"/>
      <c r="AP8578"/>
      <c r="AQ8578"/>
      <c r="AR8578"/>
      <c r="AS8578"/>
      <c r="AT8578"/>
      <c r="AU8578"/>
      <c r="AV8578"/>
    </row>
    <row r="8579" spans="41:48" x14ac:dyDescent="0.35">
      <c r="AO8579"/>
      <c r="AP8579"/>
      <c r="AQ8579"/>
      <c r="AR8579"/>
      <c r="AS8579"/>
      <c r="AT8579"/>
      <c r="AU8579"/>
      <c r="AV8579"/>
    </row>
    <row r="8580" spans="41:48" x14ac:dyDescent="0.35">
      <c r="AO8580"/>
      <c r="AP8580"/>
      <c r="AQ8580"/>
      <c r="AR8580"/>
      <c r="AS8580"/>
      <c r="AT8580"/>
      <c r="AU8580"/>
      <c r="AV8580"/>
    </row>
    <row r="8581" spans="41:48" x14ac:dyDescent="0.35">
      <c r="AO8581"/>
      <c r="AP8581"/>
      <c r="AQ8581"/>
      <c r="AR8581"/>
      <c r="AS8581"/>
      <c r="AT8581"/>
      <c r="AU8581"/>
      <c r="AV8581"/>
    </row>
    <row r="8582" spans="41:48" x14ac:dyDescent="0.35">
      <c r="AO8582"/>
      <c r="AP8582"/>
      <c r="AQ8582"/>
      <c r="AR8582"/>
      <c r="AS8582"/>
      <c r="AT8582"/>
      <c r="AU8582"/>
      <c r="AV8582"/>
    </row>
    <row r="8583" spans="41:48" x14ac:dyDescent="0.35">
      <c r="AO8583"/>
      <c r="AP8583"/>
      <c r="AQ8583"/>
      <c r="AR8583"/>
      <c r="AS8583"/>
      <c r="AT8583"/>
      <c r="AU8583"/>
      <c r="AV8583"/>
    </row>
    <row r="8584" spans="41:48" x14ac:dyDescent="0.35">
      <c r="AO8584"/>
      <c r="AP8584"/>
      <c r="AQ8584"/>
      <c r="AR8584"/>
      <c r="AS8584"/>
      <c r="AT8584"/>
      <c r="AU8584"/>
      <c r="AV8584"/>
    </row>
    <row r="8585" spans="41:48" x14ac:dyDescent="0.35">
      <c r="AO8585"/>
      <c r="AP8585"/>
      <c r="AQ8585"/>
      <c r="AR8585"/>
      <c r="AS8585"/>
      <c r="AT8585"/>
      <c r="AU8585"/>
      <c r="AV8585"/>
    </row>
    <row r="8586" spans="41:48" x14ac:dyDescent="0.35">
      <c r="AO8586"/>
      <c r="AP8586"/>
      <c r="AQ8586"/>
      <c r="AR8586"/>
      <c r="AS8586"/>
      <c r="AT8586"/>
      <c r="AU8586"/>
      <c r="AV8586"/>
    </row>
    <row r="8587" spans="41:48" x14ac:dyDescent="0.35">
      <c r="AO8587"/>
      <c r="AP8587"/>
      <c r="AQ8587"/>
      <c r="AR8587"/>
      <c r="AS8587"/>
      <c r="AT8587"/>
      <c r="AU8587"/>
      <c r="AV8587"/>
    </row>
    <row r="8588" spans="41:48" x14ac:dyDescent="0.35">
      <c r="AO8588"/>
      <c r="AP8588"/>
      <c r="AQ8588"/>
      <c r="AR8588"/>
      <c r="AS8588"/>
      <c r="AT8588"/>
      <c r="AU8588"/>
      <c r="AV8588"/>
    </row>
    <row r="8589" spans="41:48" x14ac:dyDescent="0.35">
      <c r="AO8589"/>
      <c r="AP8589"/>
      <c r="AQ8589"/>
      <c r="AR8589"/>
      <c r="AS8589"/>
      <c r="AT8589"/>
      <c r="AU8589"/>
      <c r="AV8589"/>
    </row>
    <row r="8590" spans="41:48" x14ac:dyDescent="0.35">
      <c r="AO8590"/>
      <c r="AP8590"/>
      <c r="AQ8590"/>
      <c r="AR8590"/>
      <c r="AS8590"/>
      <c r="AT8590"/>
      <c r="AU8590"/>
      <c r="AV8590"/>
    </row>
    <row r="8591" spans="41:48" x14ac:dyDescent="0.35">
      <c r="AO8591"/>
      <c r="AP8591"/>
      <c r="AQ8591"/>
      <c r="AR8591"/>
      <c r="AS8591"/>
      <c r="AT8591"/>
      <c r="AU8591"/>
      <c r="AV8591"/>
    </row>
    <row r="8592" spans="41:48" x14ac:dyDescent="0.35">
      <c r="AO8592"/>
      <c r="AP8592"/>
      <c r="AQ8592"/>
      <c r="AR8592"/>
      <c r="AS8592"/>
      <c r="AT8592"/>
      <c r="AU8592"/>
      <c r="AV8592"/>
    </row>
    <row r="8593" spans="41:48" x14ac:dyDescent="0.35">
      <c r="AO8593"/>
      <c r="AP8593"/>
      <c r="AQ8593"/>
      <c r="AR8593"/>
      <c r="AS8593"/>
      <c r="AT8593"/>
      <c r="AU8593"/>
      <c r="AV8593"/>
    </row>
    <row r="8594" spans="41:48" x14ac:dyDescent="0.35">
      <c r="AO8594"/>
      <c r="AP8594"/>
      <c r="AQ8594"/>
      <c r="AR8594"/>
      <c r="AS8594"/>
      <c r="AT8594"/>
      <c r="AU8594"/>
      <c r="AV8594"/>
    </row>
    <row r="8595" spans="41:48" x14ac:dyDescent="0.35">
      <c r="AO8595"/>
      <c r="AP8595"/>
      <c r="AQ8595"/>
      <c r="AR8595"/>
      <c r="AS8595"/>
      <c r="AT8595"/>
      <c r="AU8595"/>
      <c r="AV8595"/>
    </row>
    <row r="8596" spans="41:48" x14ac:dyDescent="0.35">
      <c r="AO8596"/>
      <c r="AP8596"/>
      <c r="AQ8596"/>
      <c r="AR8596"/>
      <c r="AS8596"/>
      <c r="AT8596"/>
      <c r="AU8596"/>
      <c r="AV8596"/>
    </row>
    <row r="8597" spans="41:48" x14ac:dyDescent="0.35">
      <c r="AO8597"/>
      <c r="AP8597"/>
      <c r="AQ8597"/>
      <c r="AR8597"/>
      <c r="AS8597"/>
      <c r="AT8597"/>
      <c r="AU8597"/>
      <c r="AV8597"/>
    </row>
    <row r="8598" spans="41:48" x14ac:dyDescent="0.35">
      <c r="AO8598"/>
      <c r="AP8598"/>
      <c r="AQ8598"/>
      <c r="AR8598"/>
      <c r="AS8598"/>
      <c r="AT8598"/>
      <c r="AU8598"/>
      <c r="AV8598"/>
    </row>
    <row r="8599" spans="41:48" x14ac:dyDescent="0.35">
      <c r="AO8599"/>
      <c r="AP8599"/>
      <c r="AQ8599"/>
      <c r="AR8599"/>
      <c r="AS8599"/>
      <c r="AT8599"/>
      <c r="AU8599"/>
      <c r="AV8599"/>
    </row>
    <row r="8600" spans="41:48" x14ac:dyDescent="0.35">
      <c r="AO8600"/>
      <c r="AP8600"/>
      <c r="AQ8600"/>
      <c r="AR8600"/>
      <c r="AS8600"/>
      <c r="AT8600"/>
      <c r="AU8600"/>
      <c r="AV8600"/>
    </row>
    <row r="8601" spans="41:48" x14ac:dyDescent="0.35">
      <c r="AO8601"/>
      <c r="AP8601"/>
      <c r="AQ8601"/>
      <c r="AR8601"/>
      <c r="AS8601"/>
      <c r="AT8601"/>
      <c r="AU8601"/>
      <c r="AV8601"/>
    </row>
    <row r="8602" spans="41:48" x14ac:dyDescent="0.35">
      <c r="AO8602"/>
      <c r="AP8602"/>
      <c r="AQ8602"/>
      <c r="AR8602"/>
      <c r="AS8602"/>
      <c r="AT8602"/>
      <c r="AU8602"/>
      <c r="AV8602"/>
    </row>
    <row r="8603" spans="41:48" x14ac:dyDescent="0.35">
      <c r="AO8603"/>
      <c r="AP8603"/>
      <c r="AQ8603"/>
      <c r="AR8603"/>
      <c r="AS8603"/>
      <c r="AT8603"/>
      <c r="AU8603"/>
      <c r="AV8603"/>
    </row>
    <row r="8604" spans="41:48" x14ac:dyDescent="0.35">
      <c r="AO8604"/>
      <c r="AP8604"/>
      <c r="AQ8604"/>
      <c r="AR8604"/>
      <c r="AS8604"/>
      <c r="AT8604"/>
      <c r="AU8604"/>
      <c r="AV8604"/>
    </row>
    <row r="8605" spans="41:48" x14ac:dyDescent="0.35">
      <c r="AO8605"/>
      <c r="AP8605"/>
      <c r="AQ8605"/>
      <c r="AR8605"/>
      <c r="AS8605"/>
      <c r="AT8605"/>
      <c r="AU8605"/>
      <c r="AV8605"/>
    </row>
    <row r="8606" spans="41:48" x14ac:dyDescent="0.35">
      <c r="AO8606"/>
      <c r="AP8606"/>
      <c r="AQ8606"/>
      <c r="AR8606"/>
      <c r="AS8606"/>
      <c r="AT8606"/>
      <c r="AU8606"/>
      <c r="AV8606"/>
    </row>
    <row r="8607" spans="41:48" x14ac:dyDescent="0.35">
      <c r="AO8607"/>
      <c r="AP8607"/>
      <c r="AQ8607"/>
      <c r="AR8607"/>
      <c r="AS8607"/>
      <c r="AT8607"/>
      <c r="AU8607"/>
      <c r="AV8607"/>
    </row>
    <row r="8608" spans="41:48" x14ac:dyDescent="0.35">
      <c r="AO8608"/>
      <c r="AP8608"/>
      <c r="AQ8608"/>
      <c r="AR8608"/>
      <c r="AS8608"/>
      <c r="AT8608"/>
      <c r="AU8608"/>
      <c r="AV8608"/>
    </row>
    <row r="8609" spans="41:48" x14ac:dyDescent="0.35">
      <c r="AO8609"/>
      <c r="AP8609"/>
      <c r="AQ8609"/>
      <c r="AR8609"/>
      <c r="AS8609"/>
      <c r="AT8609"/>
      <c r="AU8609"/>
      <c r="AV8609"/>
    </row>
    <row r="8610" spans="41:48" x14ac:dyDescent="0.35">
      <c r="AO8610"/>
      <c r="AP8610"/>
      <c r="AQ8610"/>
      <c r="AR8610"/>
      <c r="AS8610"/>
      <c r="AT8610"/>
      <c r="AU8610"/>
      <c r="AV8610"/>
    </row>
    <row r="8611" spans="41:48" x14ac:dyDescent="0.35">
      <c r="AO8611"/>
      <c r="AP8611"/>
      <c r="AQ8611"/>
      <c r="AR8611"/>
      <c r="AS8611"/>
      <c r="AT8611"/>
      <c r="AU8611"/>
      <c r="AV8611"/>
    </row>
    <row r="8612" spans="41:48" x14ac:dyDescent="0.35">
      <c r="AO8612"/>
      <c r="AP8612"/>
      <c r="AQ8612"/>
      <c r="AR8612"/>
      <c r="AS8612"/>
      <c r="AT8612"/>
      <c r="AU8612"/>
      <c r="AV8612"/>
    </row>
    <row r="8613" spans="41:48" x14ac:dyDescent="0.35">
      <c r="AO8613"/>
      <c r="AP8613"/>
      <c r="AQ8613"/>
      <c r="AR8613"/>
      <c r="AS8613"/>
      <c r="AT8613"/>
      <c r="AU8613"/>
      <c r="AV8613"/>
    </row>
    <row r="8614" spans="41:48" x14ac:dyDescent="0.35">
      <c r="AO8614"/>
      <c r="AP8614"/>
      <c r="AQ8614"/>
      <c r="AR8614"/>
      <c r="AS8614"/>
      <c r="AT8614"/>
      <c r="AU8614"/>
      <c r="AV8614"/>
    </row>
    <row r="8615" spans="41:48" x14ac:dyDescent="0.35">
      <c r="AO8615"/>
      <c r="AP8615"/>
      <c r="AQ8615"/>
      <c r="AR8615"/>
      <c r="AS8615"/>
      <c r="AT8615"/>
      <c r="AU8615"/>
      <c r="AV8615"/>
    </row>
    <row r="8616" spans="41:48" x14ac:dyDescent="0.35">
      <c r="AO8616"/>
      <c r="AP8616"/>
      <c r="AQ8616"/>
      <c r="AR8616"/>
      <c r="AS8616"/>
      <c r="AT8616"/>
      <c r="AU8616"/>
      <c r="AV8616"/>
    </row>
    <row r="8617" spans="41:48" x14ac:dyDescent="0.35">
      <c r="AO8617"/>
      <c r="AP8617"/>
      <c r="AQ8617"/>
      <c r="AR8617"/>
      <c r="AS8617"/>
      <c r="AT8617"/>
      <c r="AU8617"/>
      <c r="AV8617"/>
    </row>
    <row r="8618" spans="41:48" x14ac:dyDescent="0.35">
      <c r="AO8618"/>
      <c r="AP8618"/>
      <c r="AQ8618"/>
      <c r="AR8618"/>
      <c r="AS8618"/>
      <c r="AT8618"/>
      <c r="AU8618"/>
      <c r="AV8618"/>
    </row>
    <row r="8619" spans="41:48" x14ac:dyDescent="0.35">
      <c r="AO8619"/>
      <c r="AP8619"/>
      <c r="AQ8619"/>
      <c r="AR8619"/>
      <c r="AS8619"/>
      <c r="AT8619"/>
      <c r="AU8619"/>
      <c r="AV8619"/>
    </row>
    <row r="8620" spans="41:48" x14ac:dyDescent="0.35">
      <c r="AO8620"/>
      <c r="AP8620"/>
      <c r="AQ8620"/>
      <c r="AR8620"/>
      <c r="AS8620"/>
      <c r="AT8620"/>
      <c r="AU8620"/>
      <c r="AV8620"/>
    </row>
    <row r="8621" spans="41:48" x14ac:dyDescent="0.35">
      <c r="AO8621"/>
      <c r="AP8621"/>
      <c r="AQ8621"/>
      <c r="AR8621"/>
      <c r="AS8621"/>
      <c r="AT8621"/>
      <c r="AU8621"/>
      <c r="AV8621"/>
    </row>
    <row r="8622" spans="41:48" x14ac:dyDescent="0.35">
      <c r="AO8622"/>
      <c r="AP8622"/>
      <c r="AQ8622"/>
      <c r="AR8622"/>
      <c r="AS8622"/>
      <c r="AT8622"/>
      <c r="AU8622"/>
      <c r="AV8622"/>
    </row>
    <row r="8623" spans="41:48" x14ac:dyDescent="0.35">
      <c r="AO8623"/>
      <c r="AP8623"/>
      <c r="AQ8623"/>
      <c r="AR8623"/>
      <c r="AS8623"/>
      <c r="AT8623"/>
      <c r="AU8623"/>
      <c r="AV8623"/>
    </row>
    <row r="8624" spans="41:48" x14ac:dyDescent="0.35">
      <c r="AO8624"/>
      <c r="AP8624"/>
      <c r="AQ8624"/>
      <c r="AR8624"/>
      <c r="AS8624"/>
      <c r="AT8624"/>
      <c r="AU8624"/>
      <c r="AV8624"/>
    </row>
    <row r="8625" spans="41:48" x14ac:dyDescent="0.35">
      <c r="AO8625"/>
      <c r="AP8625"/>
      <c r="AQ8625"/>
      <c r="AR8625"/>
      <c r="AS8625"/>
      <c r="AT8625"/>
      <c r="AU8625"/>
      <c r="AV8625"/>
    </row>
    <row r="8626" spans="41:48" x14ac:dyDescent="0.35">
      <c r="AO8626"/>
      <c r="AP8626"/>
      <c r="AQ8626"/>
      <c r="AR8626"/>
      <c r="AS8626"/>
      <c r="AT8626"/>
      <c r="AU8626"/>
      <c r="AV8626"/>
    </row>
    <row r="8627" spans="41:48" x14ac:dyDescent="0.35">
      <c r="AO8627"/>
      <c r="AP8627"/>
      <c r="AQ8627"/>
      <c r="AR8627"/>
      <c r="AS8627"/>
      <c r="AT8627"/>
      <c r="AU8627"/>
      <c r="AV8627"/>
    </row>
    <row r="8628" spans="41:48" x14ac:dyDescent="0.35">
      <c r="AO8628"/>
      <c r="AP8628"/>
      <c r="AQ8628"/>
      <c r="AR8628"/>
      <c r="AS8628"/>
      <c r="AT8628"/>
      <c r="AU8628"/>
      <c r="AV8628"/>
    </row>
    <row r="8629" spans="41:48" x14ac:dyDescent="0.35">
      <c r="AO8629"/>
      <c r="AP8629"/>
      <c r="AQ8629"/>
      <c r="AR8629"/>
      <c r="AS8629"/>
      <c r="AT8629"/>
      <c r="AU8629"/>
      <c r="AV8629"/>
    </row>
    <row r="8630" spans="41:48" x14ac:dyDescent="0.35">
      <c r="AO8630"/>
      <c r="AP8630"/>
      <c r="AQ8630"/>
      <c r="AR8630"/>
      <c r="AS8630"/>
      <c r="AT8630"/>
      <c r="AU8630"/>
      <c r="AV8630"/>
    </row>
    <row r="8631" spans="41:48" x14ac:dyDescent="0.35">
      <c r="AO8631"/>
      <c r="AP8631"/>
      <c r="AQ8631"/>
      <c r="AR8631"/>
      <c r="AS8631"/>
      <c r="AT8631"/>
      <c r="AU8631"/>
      <c r="AV8631"/>
    </row>
    <row r="8632" spans="41:48" x14ac:dyDescent="0.35">
      <c r="AO8632"/>
      <c r="AP8632"/>
      <c r="AQ8632"/>
      <c r="AR8632"/>
      <c r="AS8632"/>
      <c r="AT8632"/>
      <c r="AU8632"/>
      <c r="AV8632"/>
    </row>
    <row r="8633" spans="41:48" x14ac:dyDescent="0.35">
      <c r="AO8633"/>
      <c r="AP8633"/>
      <c r="AQ8633"/>
      <c r="AR8633"/>
      <c r="AS8633"/>
      <c r="AT8633"/>
      <c r="AU8633"/>
      <c r="AV8633"/>
    </row>
    <row r="8634" spans="41:48" x14ac:dyDescent="0.35">
      <c r="AO8634"/>
      <c r="AP8634"/>
      <c r="AQ8634"/>
      <c r="AR8634"/>
      <c r="AS8634"/>
      <c r="AT8634"/>
      <c r="AU8634"/>
      <c r="AV8634"/>
    </row>
    <row r="8635" spans="41:48" x14ac:dyDescent="0.35">
      <c r="AO8635"/>
      <c r="AP8635"/>
      <c r="AQ8635"/>
      <c r="AR8635"/>
      <c r="AS8635"/>
      <c r="AT8635"/>
      <c r="AU8635"/>
      <c r="AV8635"/>
    </row>
    <row r="8636" spans="41:48" x14ac:dyDescent="0.35">
      <c r="AO8636"/>
      <c r="AP8636"/>
      <c r="AQ8636"/>
      <c r="AR8636"/>
      <c r="AS8636"/>
      <c r="AT8636"/>
      <c r="AU8636"/>
      <c r="AV8636"/>
    </row>
    <row r="8637" spans="41:48" x14ac:dyDescent="0.35">
      <c r="AO8637"/>
      <c r="AP8637"/>
      <c r="AQ8637"/>
      <c r="AR8637"/>
      <c r="AS8637"/>
      <c r="AT8637"/>
      <c r="AU8637"/>
      <c r="AV8637"/>
    </row>
    <row r="8638" spans="41:48" x14ac:dyDescent="0.35">
      <c r="AO8638"/>
      <c r="AP8638"/>
      <c r="AQ8638"/>
      <c r="AR8638"/>
      <c r="AS8638"/>
      <c r="AT8638"/>
      <c r="AU8638"/>
      <c r="AV8638"/>
    </row>
    <row r="8639" spans="41:48" x14ac:dyDescent="0.35">
      <c r="AO8639"/>
      <c r="AP8639"/>
      <c r="AQ8639"/>
      <c r="AR8639"/>
      <c r="AS8639"/>
      <c r="AT8639"/>
      <c r="AU8639"/>
      <c r="AV8639"/>
    </row>
    <row r="8640" spans="41:48" x14ac:dyDescent="0.35">
      <c r="AO8640"/>
      <c r="AP8640"/>
      <c r="AQ8640"/>
      <c r="AR8640"/>
      <c r="AS8640"/>
      <c r="AT8640"/>
      <c r="AU8640"/>
      <c r="AV8640"/>
    </row>
    <row r="8641" spans="41:48" x14ac:dyDescent="0.35">
      <c r="AO8641"/>
      <c r="AP8641"/>
      <c r="AQ8641"/>
      <c r="AR8641"/>
      <c r="AS8641"/>
      <c r="AT8641"/>
      <c r="AU8641"/>
      <c r="AV8641"/>
    </row>
    <row r="8642" spans="41:48" x14ac:dyDescent="0.35">
      <c r="AO8642"/>
      <c r="AP8642"/>
      <c r="AQ8642"/>
      <c r="AR8642"/>
      <c r="AS8642"/>
      <c r="AT8642"/>
      <c r="AU8642"/>
      <c r="AV8642"/>
    </row>
    <row r="8643" spans="41:48" x14ac:dyDescent="0.35">
      <c r="AO8643"/>
      <c r="AP8643"/>
      <c r="AQ8643"/>
      <c r="AR8643"/>
      <c r="AS8643"/>
      <c r="AT8643"/>
      <c r="AU8643"/>
      <c r="AV8643"/>
    </row>
    <row r="8644" spans="41:48" x14ac:dyDescent="0.35">
      <c r="AO8644"/>
      <c r="AP8644"/>
      <c r="AQ8644"/>
      <c r="AR8644"/>
      <c r="AS8644"/>
      <c r="AT8644"/>
      <c r="AU8644"/>
      <c r="AV8644"/>
    </row>
    <row r="8645" spans="41:48" x14ac:dyDescent="0.35">
      <c r="AO8645"/>
      <c r="AP8645"/>
      <c r="AQ8645"/>
      <c r="AR8645"/>
      <c r="AS8645"/>
      <c r="AT8645"/>
      <c r="AU8645"/>
      <c r="AV8645"/>
    </row>
    <row r="8646" spans="41:48" x14ac:dyDescent="0.35">
      <c r="AO8646"/>
      <c r="AP8646"/>
      <c r="AQ8646"/>
      <c r="AR8646"/>
      <c r="AS8646"/>
      <c r="AT8646"/>
      <c r="AU8646"/>
      <c r="AV8646"/>
    </row>
    <row r="8647" spans="41:48" x14ac:dyDescent="0.35">
      <c r="AO8647"/>
      <c r="AP8647"/>
      <c r="AQ8647"/>
      <c r="AR8647"/>
      <c r="AS8647"/>
      <c r="AT8647"/>
      <c r="AU8647"/>
      <c r="AV8647"/>
    </row>
    <row r="8648" spans="41:48" x14ac:dyDescent="0.35">
      <c r="AO8648"/>
      <c r="AP8648"/>
      <c r="AQ8648"/>
      <c r="AR8648"/>
      <c r="AS8648"/>
      <c r="AT8648"/>
      <c r="AU8648"/>
      <c r="AV8648"/>
    </row>
    <row r="8649" spans="41:48" x14ac:dyDescent="0.35">
      <c r="AO8649"/>
      <c r="AP8649"/>
      <c r="AQ8649"/>
      <c r="AR8649"/>
      <c r="AS8649"/>
      <c r="AT8649"/>
      <c r="AU8649"/>
      <c r="AV8649"/>
    </row>
    <row r="8650" spans="41:48" x14ac:dyDescent="0.35">
      <c r="AO8650"/>
      <c r="AP8650"/>
      <c r="AQ8650"/>
      <c r="AR8650"/>
      <c r="AS8650"/>
      <c r="AT8650"/>
      <c r="AU8650"/>
      <c r="AV8650"/>
    </row>
    <row r="8651" spans="41:48" x14ac:dyDescent="0.35">
      <c r="AO8651"/>
      <c r="AP8651"/>
      <c r="AQ8651"/>
      <c r="AR8651"/>
      <c r="AS8651"/>
      <c r="AT8651"/>
      <c r="AU8651"/>
      <c r="AV8651"/>
    </row>
    <row r="8652" spans="41:48" x14ac:dyDescent="0.35">
      <c r="AO8652"/>
      <c r="AP8652"/>
      <c r="AQ8652"/>
      <c r="AR8652"/>
      <c r="AS8652"/>
      <c r="AT8652"/>
      <c r="AU8652"/>
      <c r="AV8652"/>
    </row>
    <row r="8653" spans="41:48" x14ac:dyDescent="0.35">
      <c r="AO8653"/>
      <c r="AP8653"/>
      <c r="AQ8653"/>
      <c r="AR8653"/>
      <c r="AS8653"/>
      <c r="AT8653"/>
      <c r="AU8653"/>
      <c r="AV8653"/>
    </row>
    <row r="8654" spans="41:48" x14ac:dyDescent="0.35">
      <c r="AO8654"/>
      <c r="AP8654"/>
      <c r="AQ8654"/>
      <c r="AR8654"/>
      <c r="AS8654"/>
      <c r="AT8654"/>
      <c r="AU8654"/>
      <c r="AV8654"/>
    </row>
    <row r="8655" spans="41:48" x14ac:dyDescent="0.35">
      <c r="AO8655"/>
      <c r="AP8655"/>
      <c r="AQ8655"/>
      <c r="AR8655"/>
      <c r="AS8655"/>
      <c r="AT8655"/>
      <c r="AU8655"/>
      <c r="AV8655"/>
    </row>
    <row r="8656" spans="41:48" x14ac:dyDescent="0.35">
      <c r="AO8656"/>
      <c r="AP8656"/>
      <c r="AQ8656"/>
      <c r="AR8656"/>
      <c r="AS8656"/>
      <c r="AT8656"/>
      <c r="AU8656"/>
      <c r="AV8656"/>
    </row>
    <row r="8657" spans="41:48" x14ac:dyDescent="0.35">
      <c r="AO8657"/>
      <c r="AP8657"/>
      <c r="AQ8657"/>
      <c r="AR8657"/>
      <c r="AS8657"/>
      <c r="AT8657"/>
      <c r="AU8657"/>
      <c r="AV8657"/>
    </row>
    <row r="8658" spans="41:48" x14ac:dyDescent="0.35">
      <c r="AO8658"/>
      <c r="AP8658"/>
      <c r="AQ8658"/>
      <c r="AR8658"/>
      <c r="AS8658"/>
      <c r="AT8658"/>
      <c r="AU8658"/>
      <c r="AV8658"/>
    </row>
    <row r="8659" spans="41:48" x14ac:dyDescent="0.35">
      <c r="AO8659"/>
      <c r="AP8659"/>
      <c r="AQ8659"/>
      <c r="AR8659"/>
      <c r="AS8659"/>
      <c r="AT8659"/>
      <c r="AU8659"/>
      <c r="AV8659"/>
    </row>
    <row r="8660" spans="41:48" x14ac:dyDescent="0.35">
      <c r="AO8660"/>
      <c r="AP8660"/>
      <c r="AQ8660"/>
      <c r="AR8660"/>
      <c r="AS8660"/>
      <c r="AT8660"/>
      <c r="AU8660"/>
      <c r="AV8660"/>
    </row>
    <row r="8661" spans="41:48" x14ac:dyDescent="0.35">
      <c r="AO8661"/>
      <c r="AP8661"/>
      <c r="AQ8661"/>
      <c r="AR8661"/>
      <c r="AS8661"/>
      <c r="AT8661"/>
      <c r="AU8661"/>
      <c r="AV8661"/>
    </row>
    <row r="8662" spans="41:48" x14ac:dyDescent="0.35">
      <c r="AO8662"/>
      <c r="AP8662"/>
      <c r="AQ8662"/>
      <c r="AR8662"/>
      <c r="AS8662"/>
      <c r="AT8662"/>
      <c r="AU8662"/>
      <c r="AV8662"/>
    </row>
    <row r="8663" spans="41:48" x14ac:dyDescent="0.35">
      <c r="AO8663"/>
      <c r="AP8663"/>
      <c r="AQ8663"/>
      <c r="AR8663"/>
      <c r="AS8663"/>
      <c r="AT8663"/>
      <c r="AU8663"/>
      <c r="AV8663"/>
    </row>
    <row r="8664" spans="41:48" x14ac:dyDescent="0.35">
      <c r="AO8664"/>
      <c r="AP8664"/>
      <c r="AQ8664"/>
      <c r="AR8664"/>
      <c r="AS8664"/>
      <c r="AT8664"/>
      <c r="AU8664"/>
      <c r="AV8664"/>
    </row>
    <row r="8665" spans="41:48" x14ac:dyDescent="0.35">
      <c r="AO8665"/>
      <c r="AP8665"/>
      <c r="AQ8665"/>
      <c r="AR8665"/>
      <c r="AS8665"/>
      <c r="AT8665"/>
      <c r="AU8665"/>
      <c r="AV8665"/>
    </row>
    <row r="8666" spans="41:48" x14ac:dyDescent="0.35">
      <c r="AO8666"/>
      <c r="AP8666"/>
      <c r="AQ8666"/>
      <c r="AR8666"/>
      <c r="AS8666"/>
      <c r="AT8666"/>
      <c r="AU8666"/>
      <c r="AV8666"/>
    </row>
    <row r="8667" spans="41:48" x14ac:dyDescent="0.35">
      <c r="AO8667"/>
      <c r="AP8667"/>
      <c r="AQ8667"/>
      <c r="AR8667"/>
      <c r="AS8667"/>
      <c r="AT8667"/>
      <c r="AU8667"/>
      <c r="AV8667"/>
    </row>
    <row r="8668" spans="41:48" x14ac:dyDescent="0.35">
      <c r="AO8668"/>
      <c r="AP8668"/>
      <c r="AQ8668"/>
      <c r="AR8668"/>
      <c r="AS8668"/>
      <c r="AT8668"/>
      <c r="AU8668"/>
      <c r="AV8668"/>
    </row>
    <row r="8669" spans="41:48" x14ac:dyDescent="0.35">
      <c r="AO8669"/>
      <c r="AP8669"/>
      <c r="AQ8669"/>
      <c r="AR8669"/>
      <c r="AS8669"/>
      <c r="AT8669"/>
      <c r="AU8669"/>
      <c r="AV8669"/>
    </row>
    <row r="8670" spans="41:48" x14ac:dyDescent="0.35">
      <c r="AO8670"/>
      <c r="AP8670"/>
      <c r="AQ8670"/>
      <c r="AR8670"/>
      <c r="AS8670"/>
      <c r="AT8670"/>
      <c r="AU8670"/>
      <c r="AV8670"/>
    </row>
    <row r="8671" spans="41:48" x14ac:dyDescent="0.35">
      <c r="AO8671"/>
      <c r="AP8671"/>
      <c r="AQ8671"/>
      <c r="AR8671"/>
      <c r="AS8671"/>
      <c r="AT8671"/>
      <c r="AU8671"/>
      <c r="AV8671"/>
    </row>
    <row r="8672" spans="41:48" x14ac:dyDescent="0.35">
      <c r="AO8672"/>
      <c r="AP8672"/>
      <c r="AQ8672"/>
      <c r="AR8672"/>
      <c r="AS8672"/>
      <c r="AT8672"/>
      <c r="AU8672"/>
      <c r="AV8672"/>
    </row>
    <row r="8673" spans="41:48" x14ac:dyDescent="0.35">
      <c r="AO8673"/>
      <c r="AP8673"/>
      <c r="AQ8673"/>
      <c r="AR8673"/>
      <c r="AS8673"/>
      <c r="AT8673"/>
      <c r="AU8673"/>
      <c r="AV8673"/>
    </row>
    <row r="8674" spans="41:48" x14ac:dyDescent="0.35">
      <c r="AO8674"/>
      <c r="AP8674"/>
      <c r="AQ8674"/>
      <c r="AR8674"/>
      <c r="AS8674"/>
      <c r="AT8674"/>
      <c r="AU8674"/>
      <c r="AV8674"/>
    </row>
    <row r="8675" spans="41:48" x14ac:dyDescent="0.35">
      <c r="AO8675"/>
      <c r="AP8675"/>
      <c r="AQ8675"/>
      <c r="AR8675"/>
      <c r="AS8675"/>
      <c r="AT8675"/>
      <c r="AU8675"/>
      <c r="AV8675"/>
    </row>
    <row r="8676" spans="41:48" x14ac:dyDescent="0.35">
      <c r="AO8676"/>
      <c r="AP8676"/>
      <c r="AQ8676"/>
      <c r="AR8676"/>
      <c r="AS8676"/>
      <c r="AT8676"/>
      <c r="AU8676"/>
      <c r="AV8676"/>
    </row>
    <row r="8677" spans="41:48" x14ac:dyDescent="0.35">
      <c r="AO8677"/>
      <c r="AP8677"/>
      <c r="AQ8677"/>
      <c r="AR8677"/>
      <c r="AS8677"/>
      <c r="AT8677"/>
      <c r="AU8677"/>
      <c r="AV8677"/>
    </row>
    <row r="8678" spans="41:48" x14ac:dyDescent="0.35">
      <c r="AO8678"/>
      <c r="AP8678"/>
      <c r="AQ8678"/>
      <c r="AR8678"/>
      <c r="AS8678"/>
      <c r="AT8678"/>
      <c r="AU8678"/>
      <c r="AV8678"/>
    </row>
    <row r="8679" spans="41:48" x14ac:dyDescent="0.35">
      <c r="AO8679"/>
      <c r="AP8679"/>
      <c r="AQ8679"/>
      <c r="AR8679"/>
      <c r="AS8679"/>
      <c r="AT8679"/>
      <c r="AU8679"/>
      <c r="AV8679"/>
    </row>
    <row r="8680" spans="41:48" x14ac:dyDescent="0.35">
      <c r="AO8680"/>
      <c r="AP8680"/>
      <c r="AQ8680"/>
      <c r="AR8680"/>
      <c r="AS8680"/>
      <c r="AT8680"/>
      <c r="AU8680"/>
      <c r="AV8680"/>
    </row>
    <row r="8681" spans="41:48" x14ac:dyDescent="0.35">
      <c r="AO8681"/>
      <c r="AP8681"/>
      <c r="AQ8681"/>
      <c r="AR8681"/>
      <c r="AS8681"/>
      <c r="AT8681"/>
      <c r="AU8681"/>
      <c r="AV8681"/>
    </row>
    <row r="8682" spans="41:48" x14ac:dyDescent="0.35">
      <c r="AO8682"/>
      <c r="AP8682"/>
      <c r="AQ8682"/>
      <c r="AR8682"/>
      <c r="AS8682"/>
      <c r="AT8682"/>
      <c r="AU8682"/>
      <c r="AV8682"/>
    </row>
    <row r="8683" spans="41:48" x14ac:dyDescent="0.35">
      <c r="AO8683"/>
      <c r="AP8683"/>
      <c r="AQ8683"/>
      <c r="AR8683"/>
      <c r="AS8683"/>
      <c r="AT8683"/>
      <c r="AU8683"/>
      <c r="AV8683"/>
    </row>
    <row r="8684" spans="41:48" x14ac:dyDescent="0.35">
      <c r="AO8684"/>
      <c r="AP8684"/>
      <c r="AQ8684"/>
      <c r="AR8684"/>
      <c r="AS8684"/>
      <c r="AT8684"/>
      <c r="AU8684"/>
      <c r="AV8684"/>
    </row>
    <row r="8685" spans="41:48" x14ac:dyDescent="0.35">
      <c r="AO8685"/>
      <c r="AP8685"/>
      <c r="AQ8685"/>
      <c r="AR8685"/>
      <c r="AS8685"/>
      <c r="AT8685"/>
      <c r="AU8685"/>
      <c r="AV8685"/>
    </row>
    <row r="8686" spans="41:48" x14ac:dyDescent="0.35">
      <c r="AO8686"/>
      <c r="AP8686"/>
      <c r="AQ8686"/>
      <c r="AR8686"/>
      <c r="AS8686"/>
      <c r="AT8686"/>
      <c r="AU8686"/>
      <c r="AV8686"/>
    </row>
    <row r="8687" spans="41:48" x14ac:dyDescent="0.35">
      <c r="AO8687"/>
      <c r="AP8687"/>
      <c r="AQ8687"/>
      <c r="AR8687"/>
      <c r="AS8687"/>
      <c r="AT8687"/>
      <c r="AU8687"/>
      <c r="AV8687"/>
    </row>
    <row r="8688" spans="41:48" x14ac:dyDescent="0.35">
      <c r="AO8688"/>
      <c r="AP8688"/>
      <c r="AQ8688"/>
      <c r="AR8688"/>
      <c r="AS8688"/>
      <c r="AT8688"/>
      <c r="AU8688"/>
      <c r="AV8688"/>
    </row>
    <row r="8689" spans="41:48" x14ac:dyDescent="0.35">
      <c r="AO8689"/>
      <c r="AP8689"/>
      <c r="AQ8689"/>
      <c r="AR8689"/>
      <c r="AS8689"/>
      <c r="AT8689"/>
      <c r="AU8689"/>
      <c r="AV8689"/>
    </row>
    <row r="8690" spans="41:48" x14ac:dyDescent="0.35">
      <c r="AO8690"/>
      <c r="AP8690"/>
      <c r="AQ8690"/>
      <c r="AR8690"/>
      <c r="AS8690"/>
      <c r="AT8690"/>
      <c r="AU8690"/>
      <c r="AV8690"/>
    </row>
    <row r="8691" spans="41:48" x14ac:dyDescent="0.35">
      <c r="AO8691"/>
      <c r="AP8691"/>
      <c r="AQ8691"/>
      <c r="AR8691"/>
      <c r="AS8691"/>
      <c r="AT8691"/>
      <c r="AU8691"/>
      <c r="AV8691"/>
    </row>
    <row r="8692" spans="41:48" x14ac:dyDescent="0.35">
      <c r="AO8692"/>
      <c r="AP8692"/>
      <c r="AQ8692"/>
      <c r="AR8692"/>
      <c r="AS8692"/>
      <c r="AT8692"/>
      <c r="AU8692"/>
      <c r="AV8692"/>
    </row>
    <row r="8693" spans="41:48" x14ac:dyDescent="0.35">
      <c r="AO8693"/>
      <c r="AP8693"/>
      <c r="AQ8693"/>
      <c r="AR8693"/>
      <c r="AS8693"/>
      <c r="AT8693"/>
      <c r="AU8693"/>
      <c r="AV8693"/>
    </row>
    <row r="8694" spans="41:48" x14ac:dyDescent="0.35">
      <c r="AO8694"/>
      <c r="AP8694"/>
      <c r="AQ8694"/>
      <c r="AR8694"/>
      <c r="AS8694"/>
      <c r="AT8694"/>
      <c r="AU8694"/>
      <c r="AV8694"/>
    </row>
    <row r="8695" spans="41:48" x14ac:dyDescent="0.35">
      <c r="AO8695"/>
      <c r="AP8695"/>
      <c r="AQ8695"/>
      <c r="AR8695"/>
      <c r="AS8695"/>
      <c r="AT8695"/>
      <c r="AU8695"/>
      <c r="AV8695"/>
    </row>
    <row r="8696" spans="41:48" x14ac:dyDescent="0.35">
      <c r="AO8696"/>
      <c r="AP8696"/>
      <c r="AQ8696"/>
      <c r="AR8696"/>
      <c r="AS8696"/>
      <c r="AT8696"/>
      <c r="AU8696"/>
      <c r="AV8696"/>
    </row>
    <row r="8697" spans="41:48" x14ac:dyDescent="0.35">
      <c r="AO8697"/>
      <c r="AP8697"/>
      <c r="AQ8697"/>
      <c r="AR8697"/>
      <c r="AS8697"/>
      <c r="AT8697"/>
      <c r="AU8697"/>
      <c r="AV8697"/>
    </row>
    <row r="8698" spans="41:48" x14ac:dyDescent="0.35">
      <c r="AO8698"/>
      <c r="AP8698"/>
      <c r="AQ8698"/>
      <c r="AR8698"/>
      <c r="AS8698"/>
      <c r="AT8698"/>
      <c r="AU8698"/>
      <c r="AV8698"/>
    </row>
    <row r="8699" spans="41:48" x14ac:dyDescent="0.35">
      <c r="AO8699"/>
      <c r="AP8699"/>
      <c r="AQ8699"/>
      <c r="AR8699"/>
      <c r="AS8699"/>
      <c r="AT8699"/>
      <c r="AU8699"/>
      <c r="AV8699"/>
    </row>
    <row r="8700" spans="41:48" x14ac:dyDescent="0.35">
      <c r="AO8700"/>
      <c r="AP8700"/>
      <c r="AQ8700"/>
      <c r="AR8700"/>
      <c r="AS8700"/>
      <c r="AT8700"/>
      <c r="AU8700"/>
      <c r="AV8700"/>
    </row>
    <row r="8701" spans="41:48" x14ac:dyDescent="0.35">
      <c r="AO8701"/>
      <c r="AP8701"/>
      <c r="AQ8701"/>
      <c r="AR8701"/>
      <c r="AS8701"/>
      <c r="AT8701"/>
      <c r="AU8701"/>
      <c r="AV8701"/>
    </row>
    <row r="8702" spans="41:48" x14ac:dyDescent="0.35">
      <c r="AO8702"/>
      <c r="AP8702"/>
      <c r="AQ8702"/>
      <c r="AR8702"/>
      <c r="AS8702"/>
      <c r="AT8702"/>
      <c r="AU8702"/>
      <c r="AV8702"/>
    </row>
    <row r="8703" spans="41:48" x14ac:dyDescent="0.35">
      <c r="AO8703"/>
      <c r="AP8703"/>
      <c r="AQ8703"/>
      <c r="AR8703"/>
      <c r="AS8703"/>
      <c r="AT8703"/>
      <c r="AU8703"/>
      <c r="AV8703"/>
    </row>
    <row r="8704" spans="41:48" x14ac:dyDescent="0.35">
      <c r="AO8704"/>
      <c r="AP8704"/>
      <c r="AQ8704"/>
      <c r="AR8704"/>
      <c r="AS8704"/>
      <c r="AT8704"/>
      <c r="AU8704"/>
      <c r="AV8704"/>
    </row>
    <row r="8705" spans="41:48" x14ac:dyDescent="0.35">
      <c r="AO8705"/>
      <c r="AP8705"/>
      <c r="AQ8705"/>
      <c r="AR8705"/>
      <c r="AS8705"/>
      <c r="AT8705"/>
      <c r="AU8705"/>
      <c r="AV8705"/>
    </row>
    <row r="8706" spans="41:48" x14ac:dyDescent="0.35">
      <c r="AO8706"/>
      <c r="AP8706"/>
      <c r="AQ8706"/>
      <c r="AR8706"/>
      <c r="AS8706"/>
      <c r="AT8706"/>
      <c r="AU8706"/>
      <c r="AV8706"/>
    </row>
    <row r="8707" spans="41:48" x14ac:dyDescent="0.35">
      <c r="AO8707"/>
      <c r="AP8707"/>
      <c r="AQ8707"/>
      <c r="AR8707"/>
      <c r="AS8707"/>
      <c r="AT8707"/>
      <c r="AU8707"/>
      <c r="AV8707"/>
    </row>
    <row r="8708" spans="41:48" x14ac:dyDescent="0.35">
      <c r="AO8708"/>
      <c r="AP8708"/>
      <c r="AQ8708"/>
      <c r="AR8708"/>
      <c r="AS8708"/>
      <c r="AT8708"/>
      <c r="AU8708"/>
      <c r="AV8708"/>
    </row>
    <row r="8709" spans="41:48" x14ac:dyDescent="0.35">
      <c r="AO8709"/>
      <c r="AP8709"/>
      <c r="AQ8709"/>
      <c r="AR8709"/>
      <c r="AS8709"/>
      <c r="AT8709"/>
      <c r="AU8709"/>
      <c r="AV8709"/>
    </row>
    <row r="8710" spans="41:48" x14ac:dyDescent="0.35">
      <c r="AO8710"/>
      <c r="AP8710"/>
      <c r="AQ8710"/>
      <c r="AR8710"/>
      <c r="AS8710"/>
      <c r="AT8710"/>
      <c r="AU8710"/>
      <c r="AV8710"/>
    </row>
    <row r="8711" spans="41:48" x14ac:dyDescent="0.35">
      <c r="AO8711"/>
      <c r="AP8711"/>
      <c r="AQ8711"/>
      <c r="AR8711"/>
      <c r="AS8711"/>
      <c r="AT8711"/>
      <c r="AU8711"/>
      <c r="AV8711"/>
    </row>
    <row r="8712" spans="41:48" x14ac:dyDescent="0.35">
      <c r="AO8712"/>
      <c r="AP8712"/>
      <c r="AQ8712"/>
      <c r="AR8712"/>
      <c r="AS8712"/>
      <c r="AT8712"/>
      <c r="AU8712"/>
      <c r="AV8712"/>
    </row>
    <row r="8713" spans="41:48" x14ac:dyDescent="0.35">
      <c r="AO8713"/>
      <c r="AP8713"/>
      <c r="AQ8713"/>
      <c r="AR8713"/>
      <c r="AS8713"/>
      <c r="AT8713"/>
      <c r="AU8713"/>
      <c r="AV8713"/>
    </row>
    <row r="8714" spans="41:48" x14ac:dyDescent="0.35">
      <c r="AO8714"/>
      <c r="AP8714"/>
      <c r="AQ8714"/>
      <c r="AR8714"/>
      <c r="AS8714"/>
      <c r="AT8714"/>
      <c r="AU8714"/>
      <c r="AV8714"/>
    </row>
    <row r="8715" spans="41:48" x14ac:dyDescent="0.35">
      <c r="AO8715"/>
      <c r="AP8715"/>
      <c r="AQ8715"/>
      <c r="AR8715"/>
      <c r="AS8715"/>
      <c r="AT8715"/>
      <c r="AU8715"/>
      <c r="AV8715"/>
    </row>
    <row r="8716" spans="41:48" x14ac:dyDescent="0.35">
      <c r="AO8716"/>
      <c r="AP8716"/>
      <c r="AQ8716"/>
      <c r="AR8716"/>
      <c r="AS8716"/>
      <c r="AT8716"/>
      <c r="AU8716"/>
      <c r="AV8716"/>
    </row>
    <row r="8717" spans="41:48" x14ac:dyDescent="0.35">
      <c r="AO8717"/>
      <c r="AP8717"/>
      <c r="AQ8717"/>
      <c r="AR8717"/>
      <c r="AS8717"/>
      <c r="AT8717"/>
      <c r="AU8717"/>
      <c r="AV8717"/>
    </row>
    <row r="8718" spans="41:48" x14ac:dyDescent="0.35">
      <c r="AO8718"/>
      <c r="AP8718"/>
      <c r="AQ8718"/>
      <c r="AR8718"/>
      <c r="AS8718"/>
      <c r="AT8718"/>
      <c r="AU8718"/>
      <c r="AV8718"/>
    </row>
    <row r="8719" spans="41:48" x14ac:dyDescent="0.35">
      <c r="AO8719"/>
      <c r="AP8719"/>
      <c r="AQ8719"/>
      <c r="AR8719"/>
      <c r="AS8719"/>
      <c r="AT8719"/>
      <c r="AU8719"/>
      <c r="AV8719"/>
    </row>
    <row r="8720" spans="41:48" x14ac:dyDescent="0.35">
      <c r="AO8720"/>
      <c r="AP8720"/>
      <c r="AQ8720"/>
      <c r="AR8720"/>
      <c r="AS8720"/>
      <c r="AT8720"/>
      <c r="AU8720"/>
      <c r="AV8720"/>
    </row>
    <row r="8721" spans="41:48" x14ac:dyDescent="0.35">
      <c r="AO8721"/>
      <c r="AP8721"/>
      <c r="AQ8721"/>
      <c r="AR8721"/>
      <c r="AS8721"/>
      <c r="AT8721"/>
      <c r="AU8721"/>
      <c r="AV8721"/>
    </row>
    <row r="8722" spans="41:48" x14ac:dyDescent="0.35">
      <c r="AO8722"/>
      <c r="AP8722"/>
      <c r="AQ8722"/>
      <c r="AR8722"/>
      <c r="AS8722"/>
      <c r="AT8722"/>
      <c r="AU8722"/>
      <c r="AV8722"/>
    </row>
    <row r="8723" spans="41:48" x14ac:dyDescent="0.35">
      <c r="AO8723"/>
      <c r="AP8723"/>
      <c r="AQ8723"/>
      <c r="AR8723"/>
      <c r="AS8723"/>
      <c r="AT8723"/>
      <c r="AU8723"/>
      <c r="AV8723"/>
    </row>
    <row r="8724" spans="41:48" x14ac:dyDescent="0.35">
      <c r="AO8724"/>
      <c r="AP8724"/>
      <c r="AQ8724"/>
      <c r="AR8724"/>
      <c r="AS8724"/>
      <c r="AT8724"/>
      <c r="AU8724"/>
      <c r="AV8724"/>
    </row>
    <row r="8725" spans="41:48" x14ac:dyDescent="0.35">
      <c r="AO8725"/>
      <c r="AP8725"/>
      <c r="AQ8725"/>
      <c r="AR8725"/>
      <c r="AS8725"/>
      <c r="AT8725"/>
      <c r="AU8725"/>
      <c r="AV8725"/>
    </row>
    <row r="8726" spans="41:48" x14ac:dyDescent="0.35">
      <c r="AO8726"/>
      <c r="AP8726"/>
      <c r="AQ8726"/>
      <c r="AR8726"/>
      <c r="AS8726"/>
      <c r="AT8726"/>
      <c r="AU8726"/>
      <c r="AV8726"/>
    </row>
    <row r="8727" spans="41:48" x14ac:dyDescent="0.35">
      <c r="AO8727"/>
      <c r="AP8727"/>
      <c r="AQ8727"/>
      <c r="AR8727"/>
      <c r="AS8727"/>
      <c r="AT8727"/>
      <c r="AU8727"/>
      <c r="AV8727"/>
    </row>
    <row r="8728" spans="41:48" x14ac:dyDescent="0.35">
      <c r="AO8728"/>
      <c r="AP8728"/>
      <c r="AQ8728"/>
      <c r="AR8728"/>
      <c r="AS8728"/>
      <c r="AT8728"/>
      <c r="AU8728"/>
      <c r="AV8728"/>
    </row>
    <row r="8729" spans="41:48" x14ac:dyDescent="0.35">
      <c r="AO8729"/>
      <c r="AP8729"/>
      <c r="AQ8729"/>
      <c r="AR8729"/>
      <c r="AS8729"/>
      <c r="AT8729"/>
      <c r="AU8729"/>
      <c r="AV8729"/>
    </row>
    <row r="8730" spans="41:48" x14ac:dyDescent="0.35">
      <c r="AO8730"/>
      <c r="AP8730"/>
      <c r="AQ8730"/>
      <c r="AR8730"/>
      <c r="AS8730"/>
      <c r="AT8730"/>
      <c r="AU8730"/>
      <c r="AV8730"/>
    </row>
    <row r="8731" spans="41:48" x14ac:dyDescent="0.35">
      <c r="AO8731"/>
      <c r="AP8731"/>
      <c r="AQ8731"/>
      <c r="AR8731"/>
      <c r="AS8731"/>
      <c r="AT8731"/>
      <c r="AU8731"/>
      <c r="AV8731"/>
    </row>
    <row r="8732" spans="41:48" x14ac:dyDescent="0.35">
      <c r="AO8732"/>
      <c r="AP8732"/>
      <c r="AQ8732"/>
      <c r="AR8732"/>
      <c r="AS8732"/>
      <c r="AT8732"/>
      <c r="AU8732"/>
      <c r="AV8732"/>
    </row>
    <row r="8733" spans="41:48" x14ac:dyDescent="0.35">
      <c r="AO8733"/>
      <c r="AP8733"/>
      <c r="AQ8733"/>
      <c r="AR8733"/>
      <c r="AS8733"/>
      <c r="AT8733"/>
      <c r="AU8733"/>
      <c r="AV8733"/>
    </row>
    <row r="8734" spans="41:48" x14ac:dyDescent="0.35">
      <c r="AO8734"/>
      <c r="AP8734"/>
      <c r="AQ8734"/>
      <c r="AR8734"/>
      <c r="AS8734"/>
      <c r="AT8734"/>
      <c r="AU8734"/>
      <c r="AV8734"/>
    </row>
    <row r="8735" spans="41:48" x14ac:dyDescent="0.35">
      <c r="AO8735"/>
      <c r="AP8735"/>
      <c r="AQ8735"/>
      <c r="AR8735"/>
      <c r="AS8735"/>
      <c r="AT8735"/>
      <c r="AU8735"/>
      <c r="AV8735"/>
    </row>
    <row r="8736" spans="41:48" x14ac:dyDescent="0.35">
      <c r="AO8736"/>
      <c r="AP8736"/>
      <c r="AQ8736"/>
      <c r="AR8736"/>
      <c r="AS8736"/>
      <c r="AT8736"/>
      <c r="AU8736"/>
      <c r="AV8736"/>
    </row>
    <row r="8737" spans="41:48" x14ac:dyDescent="0.35">
      <c r="AO8737"/>
      <c r="AP8737"/>
      <c r="AQ8737"/>
      <c r="AR8737"/>
      <c r="AS8737"/>
      <c r="AT8737"/>
      <c r="AU8737"/>
      <c r="AV8737"/>
    </row>
    <row r="8738" spans="41:48" x14ac:dyDescent="0.35">
      <c r="AO8738"/>
      <c r="AP8738"/>
      <c r="AQ8738"/>
      <c r="AR8738"/>
      <c r="AS8738"/>
      <c r="AT8738"/>
      <c r="AU8738"/>
      <c r="AV8738"/>
    </row>
    <row r="8739" spans="41:48" x14ac:dyDescent="0.35">
      <c r="AO8739"/>
      <c r="AP8739"/>
      <c r="AQ8739"/>
      <c r="AR8739"/>
      <c r="AS8739"/>
      <c r="AT8739"/>
      <c r="AU8739"/>
      <c r="AV8739"/>
    </row>
    <row r="8740" spans="41:48" x14ac:dyDescent="0.35">
      <c r="AO8740"/>
      <c r="AP8740"/>
      <c r="AQ8740"/>
      <c r="AR8740"/>
      <c r="AS8740"/>
      <c r="AT8740"/>
      <c r="AU8740"/>
      <c r="AV8740"/>
    </row>
    <row r="8741" spans="41:48" x14ac:dyDescent="0.35">
      <c r="AO8741"/>
      <c r="AP8741"/>
      <c r="AQ8741"/>
      <c r="AR8741"/>
      <c r="AS8741"/>
      <c r="AT8741"/>
      <c r="AU8741"/>
      <c r="AV8741"/>
    </row>
    <row r="8742" spans="41:48" x14ac:dyDescent="0.35">
      <c r="AO8742"/>
      <c r="AP8742"/>
      <c r="AQ8742"/>
      <c r="AR8742"/>
      <c r="AS8742"/>
      <c r="AT8742"/>
      <c r="AU8742"/>
      <c r="AV8742"/>
    </row>
    <row r="8743" spans="41:48" x14ac:dyDescent="0.35">
      <c r="AO8743"/>
      <c r="AP8743"/>
      <c r="AQ8743"/>
      <c r="AR8743"/>
      <c r="AS8743"/>
      <c r="AT8743"/>
      <c r="AU8743"/>
      <c r="AV8743"/>
    </row>
    <row r="8744" spans="41:48" x14ac:dyDescent="0.35">
      <c r="AO8744"/>
      <c r="AP8744"/>
      <c r="AQ8744"/>
      <c r="AR8744"/>
      <c r="AS8744"/>
      <c r="AT8744"/>
      <c r="AU8744"/>
      <c r="AV8744"/>
    </row>
    <row r="8745" spans="41:48" x14ac:dyDescent="0.35">
      <c r="AO8745"/>
      <c r="AP8745"/>
      <c r="AQ8745"/>
      <c r="AR8745"/>
      <c r="AS8745"/>
      <c r="AT8745"/>
      <c r="AU8745"/>
      <c r="AV8745"/>
    </row>
    <row r="8746" spans="41:48" x14ac:dyDescent="0.35">
      <c r="AO8746"/>
      <c r="AP8746"/>
      <c r="AQ8746"/>
      <c r="AR8746"/>
      <c r="AS8746"/>
      <c r="AT8746"/>
      <c r="AU8746"/>
      <c r="AV8746"/>
    </row>
    <row r="8747" spans="41:48" x14ac:dyDescent="0.35">
      <c r="AO8747"/>
      <c r="AP8747"/>
      <c r="AQ8747"/>
      <c r="AR8747"/>
      <c r="AS8747"/>
      <c r="AT8747"/>
      <c r="AU8747"/>
      <c r="AV8747"/>
    </row>
    <row r="8748" spans="41:48" x14ac:dyDescent="0.35">
      <c r="AO8748"/>
      <c r="AP8748"/>
      <c r="AQ8748"/>
      <c r="AR8748"/>
      <c r="AS8748"/>
      <c r="AT8748"/>
      <c r="AU8748"/>
      <c r="AV8748"/>
    </row>
    <row r="8749" spans="41:48" x14ac:dyDescent="0.35">
      <c r="AO8749"/>
      <c r="AP8749"/>
      <c r="AQ8749"/>
      <c r="AR8749"/>
      <c r="AS8749"/>
      <c r="AT8749"/>
      <c r="AU8749"/>
      <c r="AV8749"/>
    </row>
    <row r="8750" spans="41:48" x14ac:dyDescent="0.35">
      <c r="AO8750"/>
      <c r="AP8750"/>
      <c r="AQ8750"/>
      <c r="AR8750"/>
      <c r="AS8750"/>
      <c r="AT8750"/>
      <c r="AU8750"/>
      <c r="AV8750"/>
    </row>
    <row r="8751" spans="41:48" x14ac:dyDescent="0.35">
      <c r="AO8751"/>
      <c r="AP8751"/>
      <c r="AQ8751"/>
      <c r="AR8751"/>
      <c r="AS8751"/>
      <c r="AT8751"/>
      <c r="AU8751"/>
      <c r="AV8751"/>
    </row>
    <row r="8752" spans="41:48" x14ac:dyDescent="0.35">
      <c r="AO8752"/>
      <c r="AP8752"/>
      <c r="AQ8752"/>
      <c r="AR8752"/>
      <c r="AS8752"/>
      <c r="AT8752"/>
      <c r="AU8752"/>
      <c r="AV8752"/>
    </row>
    <row r="8753" spans="41:48" x14ac:dyDescent="0.35">
      <c r="AO8753"/>
      <c r="AP8753"/>
      <c r="AQ8753"/>
      <c r="AR8753"/>
      <c r="AS8753"/>
      <c r="AT8753"/>
      <c r="AU8753"/>
      <c r="AV8753"/>
    </row>
    <row r="8754" spans="41:48" x14ac:dyDescent="0.35">
      <c r="AO8754"/>
      <c r="AP8754"/>
      <c r="AQ8754"/>
      <c r="AR8754"/>
      <c r="AS8754"/>
      <c r="AT8754"/>
      <c r="AU8754"/>
      <c r="AV8754"/>
    </row>
    <row r="8755" spans="41:48" x14ac:dyDescent="0.35">
      <c r="AO8755"/>
      <c r="AP8755"/>
      <c r="AQ8755"/>
      <c r="AR8755"/>
      <c r="AS8755"/>
      <c r="AT8755"/>
      <c r="AU8755"/>
      <c r="AV8755"/>
    </row>
    <row r="8756" spans="41:48" x14ac:dyDescent="0.35">
      <c r="AO8756"/>
      <c r="AP8756"/>
      <c r="AQ8756"/>
      <c r="AR8756"/>
      <c r="AS8756"/>
      <c r="AT8756"/>
      <c r="AU8756"/>
      <c r="AV8756"/>
    </row>
    <row r="8757" spans="41:48" x14ac:dyDescent="0.35">
      <c r="AO8757"/>
      <c r="AP8757"/>
      <c r="AQ8757"/>
      <c r="AR8757"/>
      <c r="AS8757"/>
      <c r="AT8757"/>
      <c r="AU8757"/>
      <c r="AV8757"/>
    </row>
    <row r="8758" spans="41:48" x14ac:dyDescent="0.35">
      <c r="AO8758"/>
      <c r="AP8758"/>
      <c r="AQ8758"/>
      <c r="AR8758"/>
      <c r="AS8758"/>
      <c r="AT8758"/>
      <c r="AU8758"/>
      <c r="AV8758"/>
    </row>
    <row r="8759" spans="41:48" x14ac:dyDescent="0.35">
      <c r="AO8759"/>
      <c r="AP8759"/>
      <c r="AQ8759"/>
      <c r="AR8759"/>
      <c r="AS8759"/>
      <c r="AT8759"/>
      <c r="AU8759"/>
      <c r="AV8759"/>
    </row>
    <row r="8760" spans="41:48" x14ac:dyDescent="0.35">
      <c r="AO8760"/>
      <c r="AP8760"/>
      <c r="AQ8760"/>
      <c r="AR8760"/>
      <c r="AS8760"/>
      <c r="AT8760"/>
      <c r="AU8760"/>
      <c r="AV8760"/>
    </row>
    <row r="8761" spans="41:48" x14ac:dyDescent="0.35">
      <c r="AO8761"/>
      <c r="AP8761"/>
      <c r="AQ8761"/>
      <c r="AR8761"/>
      <c r="AS8761"/>
      <c r="AT8761"/>
      <c r="AU8761"/>
      <c r="AV8761"/>
    </row>
    <row r="8762" spans="41:48" x14ac:dyDescent="0.35">
      <c r="AO8762"/>
      <c r="AP8762"/>
      <c r="AQ8762"/>
      <c r="AR8762"/>
      <c r="AS8762"/>
      <c r="AT8762"/>
      <c r="AU8762"/>
      <c r="AV8762"/>
    </row>
    <row r="8763" spans="41:48" x14ac:dyDescent="0.35">
      <c r="AO8763"/>
      <c r="AP8763"/>
      <c r="AQ8763"/>
      <c r="AR8763"/>
      <c r="AS8763"/>
      <c r="AT8763"/>
      <c r="AU8763"/>
      <c r="AV8763"/>
    </row>
    <row r="8764" spans="41:48" x14ac:dyDescent="0.35">
      <c r="AO8764"/>
      <c r="AP8764"/>
      <c r="AQ8764"/>
      <c r="AR8764"/>
      <c r="AS8764"/>
      <c r="AT8764"/>
      <c r="AU8764"/>
      <c r="AV8764"/>
    </row>
    <row r="8765" spans="41:48" x14ac:dyDescent="0.35">
      <c r="AO8765"/>
      <c r="AP8765"/>
      <c r="AQ8765"/>
      <c r="AR8765"/>
      <c r="AS8765"/>
      <c r="AT8765"/>
      <c r="AU8765"/>
      <c r="AV8765"/>
    </row>
    <row r="8766" spans="41:48" x14ac:dyDescent="0.35">
      <c r="AO8766"/>
      <c r="AP8766"/>
      <c r="AQ8766"/>
      <c r="AR8766"/>
      <c r="AS8766"/>
      <c r="AT8766"/>
      <c r="AU8766"/>
      <c r="AV8766"/>
    </row>
    <row r="8767" spans="41:48" x14ac:dyDescent="0.35">
      <c r="AO8767"/>
      <c r="AP8767"/>
      <c r="AQ8767"/>
      <c r="AR8767"/>
      <c r="AS8767"/>
      <c r="AT8767"/>
      <c r="AU8767"/>
      <c r="AV8767"/>
    </row>
    <row r="8768" spans="41:48" x14ac:dyDescent="0.35">
      <c r="AO8768"/>
      <c r="AP8768"/>
      <c r="AQ8768"/>
      <c r="AR8768"/>
      <c r="AS8768"/>
      <c r="AT8768"/>
      <c r="AU8768"/>
      <c r="AV8768"/>
    </row>
    <row r="8769" spans="41:48" x14ac:dyDescent="0.35">
      <c r="AO8769"/>
      <c r="AP8769"/>
      <c r="AQ8769"/>
      <c r="AR8769"/>
      <c r="AS8769"/>
      <c r="AT8769"/>
      <c r="AU8769"/>
      <c r="AV8769"/>
    </row>
    <row r="8770" spans="41:48" x14ac:dyDescent="0.35">
      <c r="AO8770"/>
      <c r="AP8770"/>
      <c r="AQ8770"/>
      <c r="AR8770"/>
      <c r="AS8770"/>
      <c r="AT8770"/>
      <c r="AU8770"/>
      <c r="AV8770"/>
    </row>
    <row r="8771" spans="41:48" x14ac:dyDescent="0.35">
      <c r="AO8771"/>
      <c r="AP8771"/>
      <c r="AQ8771"/>
      <c r="AR8771"/>
      <c r="AS8771"/>
      <c r="AT8771"/>
      <c r="AU8771"/>
      <c r="AV8771"/>
    </row>
    <row r="8772" spans="41:48" x14ac:dyDescent="0.35">
      <c r="AO8772"/>
      <c r="AP8772"/>
      <c r="AQ8772"/>
      <c r="AR8772"/>
      <c r="AS8772"/>
      <c r="AT8772"/>
      <c r="AU8772"/>
      <c r="AV8772"/>
    </row>
    <row r="8773" spans="41:48" x14ac:dyDescent="0.35">
      <c r="AO8773"/>
      <c r="AP8773"/>
      <c r="AQ8773"/>
      <c r="AR8773"/>
      <c r="AS8773"/>
      <c r="AT8773"/>
      <c r="AU8773"/>
      <c r="AV8773"/>
    </row>
    <row r="8774" spans="41:48" x14ac:dyDescent="0.35">
      <c r="AO8774"/>
      <c r="AP8774"/>
      <c r="AQ8774"/>
      <c r="AR8774"/>
      <c r="AS8774"/>
      <c r="AT8774"/>
      <c r="AU8774"/>
      <c r="AV8774"/>
    </row>
    <row r="8775" spans="41:48" x14ac:dyDescent="0.35">
      <c r="AO8775"/>
      <c r="AP8775"/>
      <c r="AQ8775"/>
      <c r="AR8775"/>
      <c r="AS8775"/>
      <c r="AT8775"/>
      <c r="AU8775"/>
      <c r="AV8775"/>
    </row>
    <row r="8776" spans="41:48" x14ac:dyDescent="0.35">
      <c r="AO8776"/>
      <c r="AP8776"/>
      <c r="AQ8776"/>
      <c r="AR8776"/>
      <c r="AS8776"/>
      <c r="AT8776"/>
      <c r="AU8776"/>
      <c r="AV8776"/>
    </row>
    <row r="8777" spans="41:48" x14ac:dyDescent="0.35">
      <c r="AO8777"/>
      <c r="AP8777"/>
      <c r="AQ8777"/>
      <c r="AR8777"/>
      <c r="AS8777"/>
      <c r="AT8777"/>
      <c r="AU8777"/>
      <c r="AV8777"/>
    </row>
    <row r="8778" spans="41:48" x14ac:dyDescent="0.35">
      <c r="AO8778"/>
      <c r="AP8778"/>
      <c r="AQ8778"/>
      <c r="AR8778"/>
      <c r="AS8778"/>
      <c r="AT8778"/>
      <c r="AU8778"/>
      <c r="AV8778"/>
    </row>
    <row r="8779" spans="41:48" x14ac:dyDescent="0.35">
      <c r="AO8779"/>
      <c r="AP8779"/>
      <c r="AQ8779"/>
      <c r="AR8779"/>
      <c r="AS8779"/>
      <c r="AT8779"/>
      <c r="AU8779"/>
      <c r="AV8779"/>
    </row>
    <row r="8780" spans="41:48" x14ac:dyDescent="0.35">
      <c r="AO8780"/>
      <c r="AP8780"/>
      <c r="AQ8780"/>
      <c r="AR8780"/>
      <c r="AS8780"/>
      <c r="AT8780"/>
      <c r="AU8780"/>
      <c r="AV8780"/>
    </row>
    <row r="8781" spans="41:48" x14ac:dyDescent="0.35">
      <c r="AO8781"/>
      <c r="AP8781"/>
      <c r="AQ8781"/>
      <c r="AR8781"/>
      <c r="AS8781"/>
      <c r="AT8781"/>
      <c r="AU8781"/>
      <c r="AV8781"/>
    </row>
    <row r="8782" spans="41:48" x14ac:dyDescent="0.35">
      <c r="AO8782"/>
      <c r="AP8782"/>
      <c r="AQ8782"/>
      <c r="AR8782"/>
      <c r="AS8782"/>
      <c r="AT8782"/>
      <c r="AU8782"/>
      <c r="AV8782"/>
    </row>
    <row r="8783" spans="41:48" x14ac:dyDescent="0.35">
      <c r="AO8783"/>
      <c r="AP8783"/>
      <c r="AQ8783"/>
      <c r="AR8783"/>
      <c r="AS8783"/>
      <c r="AT8783"/>
      <c r="AU8783"/>
      <c r="AV8783"/>
    </row>
    <row r="8784" spans="41:48" x14ac:dyDescent="0.35">
      <c r="AO8784"/>
      <c r="AP8784"/>
      <c r="AQ8784"/>
      <c r="AR8784"/>
      <c r="AS8784"/>
      <c r="AT8784"/>
      <c r="AU8784"/>
      <c r="AV8784"/>
    </row>
    <row r="8785" spans="41:48" x14ac:dyDescent="0.35">
      <c r="AO8785"/>
      <c r="AP8785"/>
      <c r="AQ8785"/>
      <c r="AR8785"/>
      <c r="AS8785"/>
      <c r="AT8785"/>
      <c r="AU8785"/>
      <c r="AV8785"/>
    </row>
    <row r="8786" spans="41:48" x14ac:dyDescent="0.35">
      <c r="AO8786"/>
      <c r="AP8786"/>
      <c r="AQ8786"/>
      <c r="AR8786"/>
      <c r="AS8786"/>
      <c r="AT8786"/>
      <c r="AU8786"/>
      <c r="AV8786"/>
    </row>
    <row r="8787" spans="41:48" x14ac:dyDescent="0.35">
      <c r="AO8787"/>
      <c r="AP8787"/>
      <c r="AQ8787"/>
      <c r="AR8787"/>
      <c r="AS8787"/>
      <c r="AT8787"/>
      <c r="AU8787"/>
      <c r="AV8787"/>
    </row>
    <row r="8788" spans="41:48" x14ac:dyDescent="0.35">
      <c r="AO8788"/>
      <c r="AP8788"/>
      <c r="AQ8788"/>
      <c r="AR8788"/>
      <c r="AS8788"/>
      <c r="AT8788"/>
      <c r="AU8788"/>
      <c r="AV8788"/>
    </row>
    <row r="8789" spans="41:48" x14ac:dyDescent="0.35">
      <c r="AO8789"/>
      <c r="AP8789"/>
      <c r="AQ8789"/>
      <c r="AR8789"/>
      <c r="AS8789"/>
      <c r="AT8789"/>
      <c r="AU8789"/>
      <c r="AV8789"/>
    </row>
    <row r="8790" spans="41:48" x14ac:dyDescent="0.35">
      <c r="AO8790"/>
      <c r="AP8790"/>
      <c r="AQ8790"/>
      <c r="AR8790"/>
      <c r="AS8790"/>
      <c r="AT8790"/>
      <c r="AU8790"/>
      <c r="AV8790"/>
    </row>
    <row r="8791" spans="41:48" x14ac:dyDescent="0.35">
      <c r="AO8791"/>
      <c r="AP8791"/>
      <c r="AQ8791"/>
      <c r="AR8791"/>
      <c r="AS8791"/>
      <c r="AT8791"/>
      <c r="AU8791"/>
      <c r="AV8791"/>
    </row>
    <row r="8792" spans="41:48" x14ac:dyDescent="0.35">
      <c r="AO8792"/>
      <c r="AP8792"/>
      <c r="AQ8792"/>
      <c r="AR8792"/>
      <c r="AS8792"/>
      <c r="AT8792"/>
      <c r="AU8792"/>
      <c r="AV8792"/>
    </row>
    <row r="8793" spans="41:48" x14ac:dyDescent="0.35">
      <c r="AO8793"/>
      <c r="AP8793"/>
      <c r="AQ8793"/>
      <c r="AR8793"/>
      <c r="AS8793"/>
      <c r="AT8793"/>
      <c r="AU8793"/>
      <c r="AV8793"/>
    </row>
    <row r="8794" spans="41:48" x14ac:dyDescent="0.35">
      <c r="AO8794"/>
      <c r="AP8794"/>
      <c r="AQ8794"/>
      <c r="AR8794"/>
      <c r="AS8794"/>
      <c r="AT8794"/>
      <c r="AU8794"/>
      <c r="AV8794"/>
    </row>
    <row r="8795" spans="41:48" x14ac:dyDescent="0.35">
      <c r="AO8795"/>
      <c r="AP8795"/>
      <c r="AQ8795"/>
      <c r="AR8795"/>
      <c r="AS8795"/>
      <c r="AT8795"/>
      <c r="AU8795"/>
      <c r="AV8795"/>
    </row>
    <row r="8796" spans="41:48" x14ac:dyDescent="0.35">
      <c r="AO8796"/>
      <c r="AP8796"/>
      <c r="AQ8796"/>
      <c r="AR8796"/>
      <c r="AS8796"/>
      <c r="AT8796"/>
      <c r="AU8796"/>
      <c r="AV8796"/>
    </row>
    <row r="8797" spans="41:48" x14ac:dyDescent="0.35">
      <c r="AO8797"/>
      <c r="AP8797"/>
      <c r="AQ8797"/>
      <c r="AR8797"/>
      <c r="AS8797"/>
      <c r="AT8797"/>
      <c r="AU8797"/>
      <c r="AV8797"/>
    </row>
    <row r="8798" spans="41:48" x14ac:dyDescent="0.35">
      <c r="AO8798"/>
      <c r="AP8798"/>
      <c r="AQ8798"/>
      <c r="AR8798"/>
      <c r="AS8798"/>
      <c r="AT8798"/>
      <c r="AU8798"/>
      <c r="AV8798"/>
    </row>
    <row r="8799" spans="41:48" x14ac:dyDescent="0.35">
      <c r="AO8799"/>
      <c r="AP8799"/>
      <c r="AQ8799"/>
      <c r="AR8799"/>
      <c r="AS8799"/>
      <c r="AT8799"/>
      <c r="AU8799"/>
      <c r="AV8799"/>
    </row>
    <row r="8800" spans="41:48" x14ac:dyDescent="0.35">
      <c r="AO8800"/>
      <c r="AP8800"/>
      <c r="AQ8800"/>
      <c r="AR8800"/>
      <c r="AS8800"/>
      <c r="AT8800"/>
      <c r="AU8800"/>
      <c r="AV8800"/>
    </row>
    <row r="8801" spans="41:48" x14ac:dyDescent="0.35">
      <c r="AO8801"/>
      <c r="AP8801"/>
      <c r="AQ8801"/>
      <c r="AR8801"/>
      <c r="AS8801"/>
      <c r="AT8801"/>
      <c r="AU8801"/>
      <c r="AV8801"/>
    </row>
    <row r="8802" spans="41:48" x14ac:dyDescent="0.35">
      <c r="AO8802"/>
      <c r="AP8802"/>
      <c r="AQ8802"/>
      <c r="AR8802"/>
      <c r="AS8802"/>
      <c r="AT8802"/>
      <c r="AU8802"/>
      <c r="AV8802"/>
    </row>
    <row r="8803" spans="41:48" x14ac:dyDescent="0.35">
      <c r="AO8803"/>
      <c r="AP8803"/>
      <c r="AQ8803"/>
      <c r="AR8803"/>
      <c r="AS8803"/>
      <c r="AT8803"/>
      <c r="AU8803"/>
      <c r="AV8803"/>
    </row>
    <row r="8804" spans="41:48" x14ac:dyDescent="0.35">
      <c r="AO8804"/>
      <c r="AP8804"/>
      <c r="AQ8804"/>
      <c r="AR8804"/>
      <c r="AS8804"/>
      <c r="AT8804"/>
      <c r="AU8804"/>
      <c r="AV8804"/>
    </row>
    <row r="8805" spans="41:48" x14ac:dyDescent="0.35">
      <c r="AO8805"/>
      <c r="AP8805"/>
      <c r="AQ8805"/>
      <c r="AR8805"/>
      <c r="AS8805"/>
      <c r="AT8805"/>
      <c r="AU8805"/>
      <c r="AV8805"/>
    </row>
    <row r="8806" spans="41:48" x14ac:dyDescent="0.35">
      <c r="AO8806"/>
      <c r="AP8806"/>
      <c r="AQ8806"/>
      <c r="AR8806"/>
      <c r="AS8806"/>
      <c r="AT8806"/>
      <c r="AU8806"/>
      <c r="AV8806"/>
    </row>
    <row r="8807" spans="41:48" x14ac:dyDescent="0.35">
      <c r="AO8807"/>
      <c r="AP8807"/>
      <c r="AQ8807"/>
      <c r="AR8807"/>
      <c r="AS8807"/>
      <c r="AT8807"/>
      <c r="AU8807"/>
      <c r="AV8807"/>
    </row>
    <row r="8808" spans="41:48" x14ac:dyDescent="0.35">
      <c r="AO8808"/>
      <c r="AP8808"/>
      <c r="AQ8808"/>
      <c r="AR8808"/>
      <c r="AS8808"/>
      <c r="AT8808"/>
      <c r="AU8808"/>
      <c r="AV8808"/>
    </row>
    <row r="8809" spans="41:48" x14ac:dyDescent="0.35">
      <c r="AO8809"/>
      <c r="AP8809"/>
      <c r="AQ8809"/>
      <c r="AR8809"/>
      <c r="AS8809"/>
      <c r="AT8809"/>
      <c r="AU8809"/>
      <c r="AV8809"/>
    </row>
    <row r="8810" spans="41:48" x14ac:dyDescent="0.35">
      <c r="AO8810"/>
      <c r="AP8810"/>
      <c r="AQ8810"/>
      <c r="AR8810"/>
      <c r="AS8810"/>
      <c r="AT8810"/>
      <c r="AU8810"/>
      <c r="AV8810"/>
    </row>
    <row r="8811" spans="41:48" x14ac:dyDescent="0.35">
      <c r="AO8811"/>
      <c r="AP8811"/>
      <c r="AQ8811"/>
      <c r="AR8811"/>
      <c r="AS8811"/>
      <c r="AT8811"/>
      <c r="AU8811"/>
      <c r="AV8811"/>
    </row>
    <row r="8812" spans="41:48" x14ac:dyDescent="0.35">
      <c r="AO8812"/>
      <c r="AP8812"/>
      <c r="AQ8812"/>
      <c r="AR8812"/>
      <c r="AS8812"/>
      <c r="AT8812"/>
      <c r="AU8812"/>
      <c r="AV8812"/>
    </row>
    <row r="8813" spans="41:48" x14ac:dyDescent="0.35">
      <c r="AO8813"/>
      <c r="AP8813"/>
      <c r="AQ8813"/>
      <c r="AR8813"/>
      <c r="AS8813"/>
      <c r="AT8813"/>
      <c r="AU8813"/>
      <c r="AV8813"/>
    </row>
    <row r="8814" spans="41:48" x14ac:dyDescent="0.35">
      <c r="AO8814"/>
      <c r="AP8814"/>
      <c r="AQ8814"/>
      <c r="AR8814"/>
      <c r="AS8814"/>
      <c r="AT8814"/>
      <c r="AU8814"/>
      <c r="AV8814"/>
    </row>
    <row r="8815" spans="41:48" x14ac:dyDescent="0.35">
      <c r="AO8815"/>
      <c r="AP8815"/>
      <c r="AQ8815"/>
      <c r="AR8815"/>
      <c r="AS8815"/>
      <c r="AT8815"/>
      <c r="AU8815"/>
      <c r="AV8815"/>
    </row>
    <row r="8816" spans="41:48" x14ac:dyDescent="0.35">
      <c r="AO8816"/>
      <c r="AP8816"/>
      <c r="AQ8816"/>
      <c r="AR8816"/>
      <c r="AS8816"/>
      <c r="AT8816"/>
      <c r="AU8816"/>
      <c r="AV8816"/>
    </row>
    <row r="8817" spans="41:48" x14ac:dyDescent="0.35">
      <c r="AO8817"/>
      <c r="AP8817"/>
      <c r="AQ8817"/>
      <c r="AR8817"/>
      <c r="AS8817"/>
      <c r="AT8817"/>
      <c r="AU8817"/>
      <c r="AV8817"/>
    </row>
    <row r="8818" spans="41:48" x14ac:dyDescent="0.35">
      <c r="AO8818"/>
      <c r="AP8818"/>
      <c r="AQ8818"/>
      <c r="AR8818"/>
      <c r="AS8818"/>
      <c r="AT8818"/>
      <c r="AU8818"/>
      <c r="AV8818"/>
    </row>
    <row r="8819" spans="41:48" x14ac:dyDescent="0.35">
      <c r="AO8819"/>
      <c r="AP8819"/>
      <c r="AQ8819"/>
      <c r="AR8819"/>
      <c r="AS8819"/>
      <c r="AT8819"/>
      <c r="AU8819"/>
      <c r="AV8819"/>
    </row>
    <row r="8820" spans="41:48" x14ac:dyDescent="0.35">
      <c r="AO8820"/>
      <c r="AP8820"/>
      <c r="AQ8820"/>
      <c r="AR8820"/>
      <c r="AS8820"/>
      <c r="AT8820"/>
      <c r="AU8820"/>
      <c r="AV8820"/>
    </row>
    <row r="8821" spans="41:48" x14ac:dyDescent="0.35">
      <c r="AO8821"/>
      <c r="AP8821"/>
      <c r="AQ8821"/>
      <c r="AR8821"/>
      <c r="AS8821"/>
      <c r="AT8821"/>
      <c r="AU8821"/>
      <c r="AV8821"/>
    </row>
    <row r="8822" spans="41:48" x14ac:dyDescent="0.35">
      <c r="AO8822"/>
      <c r="AP8822"/>
      <c r="AQ8822"/>
      <c r="AR8822"/>
      <c r="AS8822"/>
      <c r="AT8822"/>
      <c r="AU8822"/>
      <c r="AV8822"/>
    </row>
    <row r="8823" spans="41:48" x14ac:dyDescent="0.35">
      <c r="AO8823"/>
      <c r="AP8823"/>
      <c r="AQ8823"/>
      <c r="AR8823"/>
      <c r="AS8823"/>
      <c r="AT8823"/>
      <c r="AU8823"/>
      <c r="AV8823"/>
    </row>
    <row r="8824" spans="41:48" x14ac:dyDescent="0.35">
      <c r="AO8824"/>
      <c r="AP8824"/>
      <c r="AQ8824"/>
      <c r="AR8824"/>
      <c r="AS8824"/>
      <c r="AT8824"/>
      <c r="AU8824"/>
      <c r="AV8824"/>
    </row>
    <row r="8825" spans="41:48" x14ac:dyDescent="0.35">
      <c r="AO8825"/>
      <c r="AP8825"/>
      <c r="AQ8825"/>
      <c r="AR8825"/>
      <c r="AS8825"/>
      <c r="AT8825"/>
      <c r="AU8825"/>
      <c r="AV8825"/>
    </row>
    <row r="8826" spans="41:48" x14ac:dyDescent="0.35">
      <c r="AO8826"/>
      <c r="AP8826"/>
      <c r="AQ8826"/>
      <c r="AR8826"/>
      <c r="AS8826"/>
      <c r="AT8826"/>
      <c r="AU8826"/>
      <c r="AV8826"/>
    </row>
    <row r="8827" spans="41:48" x14ac:dyDescent="0.35">
      <c r="AO8827"/>
      <c r="AP8827"/>
      <c r="AQ8827"/>
      <c r="AR8827"/>
      <c r="AS8827"/>
      <c r="AT8827"/>
      <c r="AU8827"/>
      <c r="AV8827"/>
    </row>
    <row r="8828" spans="41:48" x14ac:dyDescent="0.35">
      <c r="AO8828"/>
      <c r="AP8828"/>
      <c r="AQ8828"/>
      <c r="AR8828"/>
      <c r="AS8828"/>
      <c r="AT8828"/>
      <c r="AU8828"/>
      <c r="AV8828"/>
    </row>
    <row r="8829" spans="41:48" x14ac:dyDescent="0.35">
      <c r="AO8829"/>
      <c r="AP8829"/>
      <c r="AQ8829"/>
      <c r="AR8829"/>
      <c r="AS8829"/>
      <c r="AT8829"/>
      <c r="AU8829"/>
      <c r="AV8829"/>
    </row>
    <row r="8830" spans="41:48" x14ac:dyDescent="0.35">
      <c r="AO8830"/>
      <c r="AP8830"/>
      <c r="AQ8830"/>
      <c r="AR8830"/>
      <c r="AS8830"/>
      <c r="AT8830"/>
      <c r="AU8830"/>
      <c r="AV8830"/>
    </row>
    <row r="8831" spans="41:48" x14ac:dyDescent="0.35">
      <c r="AO8831"/>
      <c r="AP8831"/>
      <c r="AQ8831"/>
      <c r="AR8831"/>
      <c r="AS8831"/>
      <c r="AT8831"/>
      <c r="AU8831"/>
      <c r="AV8831"/>
    </row>
    <row r="8832" spans="41:48" x14ac:dyDescent="0.35">
      <c r="AO8832"/>
      <c r="AP8832"/>
      <c r="AQ8832"/>
      <c r="AR8832"/>
      <c r="AS8832"/>
      <c r="AT8832"/>
      <c r="AU8832"/>
      <c r="AV8832"/>
    </row>
    <row r="8833" spans="41:48" x14ac:dyDescent="0.35">
      <c r="AO8833"/>
      <c r="AP8833"/>
      <c r="AQ8833"/>
      <c r="AR8833"/>
      <c r="AS8833"/>
      <c r="AT8833"/>
      <c r="AU8833"/>
      <c r="AV8833"/>
    </row>
    <row r="8834" spans="41:48" x14ac:dyDescent="0.35">
      <c r="AO8834"/>
      <c r="AP8834"/>
      <c r="AQ8834"/>
      <c r="AR8834"/>
      <c r="AS8834"/>
      <c r="AT8834"/>
      <c r="AU8834"/>
      <c r="AV8834"/>
    </row>
    <row r="8835" spans="41:48" x14ac:dyDescent="0.35">
      <c r="AO8835"/>
      <c r="AP8835"/>
      <c r="AQ8835"/>
      <c r="AR8835"/>
      <c r="AS8835"/>
      <c r="AT8835"/>
      <c r="AU8835"/>
      <c r="AV8835"/>
    </row>
    <row r="8836" spans="41:48" x14ac:dyDescent="0.35">
      <c r="AO8836"/>
      <c r="AP8836"/>
      <c r="AQ8836"/>
      <c r="AR8836"/>
      <c r="AS8836"/>
      <c r="AT8836"/>
      <c r="AU8836"/>
      <c r="AV8836"/>
    </row>
    <row r="8837" spans="41:48" x14ac:dyDescent="0.35">
      <c r="AO8837"/>
      <c r="AP8837"/>
      <c r="AQ8837"/>
      <c r="AR8837"/>
      <c r="AS8837"/>
      <c r="AT8837"/>
      <c r="AU8837"/>
      <c r="AV8837"/>
    </row>
    <row r="8838" spans="41:48" x14ac:dyDescent="0.35">
      <c r="AO8838"/>
      <c r="AP8838"/>
      <c r="AQ8838"/>
      <c r="AR8838"/>
      <c r="AS8838"/>
      <c r="AT8838"/>
      <c r="AU8838"/>
      <c r="AV8838"/>
    </row>
    <row r="8839" spans="41:48" x14ac:dyDescent="0.35">
      <c r="AO8839"/>
      <c r="AP8839"/>
      <c r="AQ8839"/>
      <c r="AR8839"/>
      <c r="AS8839"/>
      <c r="AT8839"/>
      <c r="AU8839"/>
      <c r="AV8839"/>
    </row>
    <row r="8840" spans="41:48" x14ac:dyDescent="0.35">
      <c r="AO8840"/>
      <c r="AP8840"/>
      <c r="AQ8840"/>
      <c r="AR8840"/>
      <c r="AS8840"/>
      <c r="AT8840"/>
      <c r="AU8840"/>
      <c r="AV8840"/>
    </row>
    <row r="8841" spans="41:48" x14ac:dyDescent="0.35">
      <c r="AO8841"/>
      <c r="AP8841"/>
      <c r="AQ8841"/>
      <c r="AR8841"/>
      <c r="AS8841"/>
      <c r="AT8841"/>
      <c r="AU8841"/>
      <c r="AV8841"/>
    </row>
    <row r="8842" spans="41:48" x14ac:dyDescent="0.35">
      <c r="AO8842"/>
      <c r="AP8842"/>
      <c r="AQ8842"/>
      <c r="AR8842"/>
      <c r="AS8842"/>
      <c r="AT8842"/>
      <c r="AU8842"/>
      <c r="AV8842"/>
    </row>
    <row r="8843" spans="41:48" x14ac:dyDescent="0.35">
      <c r="AO8843"/>
      <c r="AP8843"/>
      <c r="AQ8843"/>
      <c r="AR8843"/>
      <c r="AS8843"/>
      <c r="AT8843"/>
      <c r="AU8843"/>
      <c r="AV8843"/>
    </row>
    <row r="8844" spans="41:48" x14ac:dyDescent="0.35">
      <c r="AO8844"/>
      <c r="AP8844"/>
      <c r="AQ8844"/>
      <c r="AR8844"/>
      <c r="AS8844"/>
      <c r="AT8844"/>
      <c r="AU8844"/>
      <c r="AV8844"/>
    </row>
    <row r="8845" spans="41:48" x14ac:dyDescent="0.35">
      <c r="AO8845"/>
      <c r="AP8845"/>
      <c r="AQ8845"/>
      <c r="AR8845"/>
      <c r="AS8845"/>
      <c r="AT8845"/>
      <c r="AU8845"/>
      <c r="AV8845"/>
    </row>
    <row r="8846" spans="41:48" x14ac:dyDescent="0.35">
      <c r="AO8846"/>
      <c r="AP8846"/>
      <c r="AQ8846"/>
      <c r="AR8846"/>
      <c r="AS8846"/>
      <c r="AT8846"/>
      <c r="AU8846"/>
      <c r="AV8846"/>
    </row>
    <row r="8847" spans="41:48" x14ac:dyDescent="0.35">
      <c r="AO8847"/>
      <c r="AP8847"/>
      <c r="AQ8847"/>
      <c r="AR8847"/>
      <c r="AS8847"/>
      <c r="AT8847"/>
      <c r="AU8847"/>
      <c r="AV8847"/>
    </row>
    <row r="8848" spans="41:48" x14ac:dyDescent="0.35">
      <c r="AO8848"/>
      <c r="AP8848"/>
      <c r="AQ8848"/>
      <c r="AR8848"/>
      <c r="AS8848"/>
      <c r="AT8848"/>
      <c r="AU8848"/>
      <c r="AV8848"/>
    </row>
    <row r="8849" spans="41:48" x14ac:dyDescent="0.35">
      <c r="AO8849"/>
      <c r="AP8849"/>
      <c r="AQ8849"/>
      <c r="AR8849"/>
      <c r="AS8849"/>
      <c r="AT8849"/>
      <c r="AU8849"/>
      <c r="AV8849"/>
    </row>
    <row r="8850" spans="41:48" x14ac:dyDescent="0.35">
      <c r="AO8850"/>
      <c r="AP8850"/>
      <c r="AQ8850"/>
      <c r="AR8850"/>
      <c r="AS8850"/>
      <c r="AT8850"/>
      <c r="AU8850"/>
      <c r="AV8850"/>
    </row>
    <row r="8851" spans="41:48" x14ac:dyDescent="0.35">
      <c r="AO8851"/>
      <c r="AP8851"/>
      <c r="AQ8851"/>
      <c r="AR8851"/>
      <c r="AS8851"/>
      <c r="AT8851"/>
      <c r="AU8851"/>
      <c r="AV8851"/>
    </row>
    <row r="8852" spans="41:48" x14ac:dyDescent="0.35">
      <c r="AO8852"/>
      <c r="AP8852"/>
      <c r="AQ8852"/>
      <c r="AR8852"/>
      <c r="AS8852"/>
      <c r="AT8852"/>
      <c r="AU8852"/>
      <c r="AV8852"/>
    </row>
    <row r="8853" spans="41:48" x14ac:dyDescent="0.35">
      <c r="AO8853"/>
      <c r="AP8853"/>
      <c r="AQ8853"/>
      <c r="AR8853"/>
      <c r="AS8853"/>
      <c r="AT8853"/>
      <c r="AU8853"/>
      <c r="AV8853"/>
    </row>
    <row r="8854" spans="41:48" x14ac:dyDescent="0.35">
      <c r="AO8854"/>
      <c r="AP8854"/>
      <c r="AQ8854"/>
      <c r="AR8854"/>
      <c r="AS8854"/>
      <c r="AT8854"/>
      <c r="AU8854"/>
      <c r="AV8854"/>
    </row>
    <row r="8855" spans="41:48" x14ac:dyDescent="0.35">
      <c r="AO8855"/>
      <c r="AP8855"/>
      <c r="AQ8855"/>
      <c r="AR8855"/>
      <c r="AS8855"/>
      <c r="AT8855"/>
      <c r="AU8855"/>
      <c r="AV8855"/>
    </row>
    <row r="8856" spans="41:48" x14ac:dyDescent="0.35">
      <c r="AO8856"/>
      <c r="AP8856"/>
      <c r="AQ8856"/>
      <c r="AR8856"/>
      <c r="AS8856"/>
      <c r="AT8856"/>
      <c r="AU8856"/>
      <c r="AV8856"/>
    </row>
    <row r="8857" spans="41:48" x14ac:dyDescent="0.35">
      <c r="AO8857"/>
      <c r="AP8857"/>
      <c r="AQ8857"/>
      <c r="AR8857"/>
      <c r="AS8857"/>
      <c r="AT8857"/>
      <c r="AU8857"/>
      <c r="AV8857"/>
    </row>
    <row r="8858" spans="41:48" x14ac:dyDescent="0.35">
      <c r="AO8858"/>
      <c r="AP8858"/>
      <c r="AQ8858"/>
      <c r="AR8858"/>
      <c r="AS8858"/>
      <c r="AT8858"/>
      <c r="AU8858"/>
      <c r="AV8858"/>
    </row>
    <row r="8859" spans="41:48" x14ac:dyDescent="0.35">
      <c r="AO8859"/>
      <c r="AP8859"/>
      <c r="AQ8859"/>
      <c r="AR8859"/>
      <c r="AS8859"/>
      <c r="AT8859"/>
      <c r="AU8859"/>
      <c r="AV8859"/>
    </row>
    <row r="8860" spans="41:48" x14ac:dyDescent="0.35">
      <c r="AO8860"/>
      <c r="AP8860"/>
      <c r="AQ8860"/>
      <c r="AR8860"/>
      <c r="AS8860"/>
      <c r="AT8860"/>
      <c r="AU8860"/>
      <c r="AV8860"/>
    </row>
    <row r="8861" spans="41:48" x14ac:dyDescent="0.35">
      <c r="AO8861"/>
      <c r="AP8861"/>
      <c r="AQ8861"/>
      <c r="AR8861"/>
      <c r="AS8861"/>
      <c r="AT8861"/>
      <c r="AU8861"/>
      <c r="AV8861"/>
    </row>
    <row r="8862" spans="41:48" x14ac:dyDescent="0.35">
      <c r="AO8862"/>
      <c r="AP8862"/>
      <c r="AQ8862"/>
      <c r="AR8862"/>
      <c r="AS8862"/>
      <c r="AT8862"/>
      <c r="AU8862"/>
      <c r="AV8862"/>
    </row>
    <row r="8863" spans="41:48" x14ac:dyDescent="0.35">
      <c r="AO8863"/>
      <c r="AP8863"/>
      <c r="AQ8863"/>
      <c r="AR8863"/>
      <c r="AS8863"/>
      <c r="AT8863"/>
      <c r="AU8863"/>
      <c r="AV8863"/>
    </row>
    <row r="8864" spans="41:48" x14ac:dyDescent="0.35">
      <c r="AO8864"/>
      <c r="AP8864"/>
      <c r="AQ8864"/>
      <c r="AR8864"/>
      <c r="AS8864"/>
      <c r="AT8864"/>
      <c r="AU8864"/>
      <c r="AV8864"/>
    </row>
    <row r="8865" spans="41:48" x14ac:dyDescent="0.35">
      <c r="AO8865"/>
      <c r="AP8865"/>
      <c r="AQ8865"/>
      <c r="AR8865"/>
      <c r="AS8865"/>
      <c r="AT8865"/>
      <c r="AU8865"/>
      <c r="AV8865"/>
    </row>
    <row r="8866" spans="41:48" x14ac:dyDescent="0.35">
      <c r="AO8866"/>
      <c r="AP8866"/>
      <c r="AQ8866"/>
      <c r="AR8866"/>
      <c r="AS8866"/>
      <c r="AT8866"/>
      <c r="AU8866"/>
      <c r="AV8866"/>
    </row>
    <row r="8867" spans="41:48" x14ac:dyDescent="0.35">
      <c r="AO8867"/>
      <c r="AP8867"/>
      <c r="AQ8867"/>
      <c r="AR8867"/>
      <c r="AS8867"/>
      <c r="AT8867"/>
      <c r="AU8867"/>
      <c r="AV8867"/>
    </row>
    <row r="8868" spans="41:48" x14ac:dyDescent="0.35">
      <c r="AO8868"/>
      <c r="AP8868"/>
      <c r="AQ8868"/>
      <c r="AR8868"/>
      <c r="AS8868"/>
      <c r="AT8868"/>
      <c r="AU8868"/>
      <c r="AV8868"/>
    </row>
    <row r="8869" spans="41:48" x14ac:dyDescent="0.35">
      <c r="AO8869"/>
      <c r="AP8869"/>
      <c r="AQ8869"/>
      <c r="AR8869"/>
      <c r="AS8869"/>
      <c r="AT8869"/>
      <c r="AU8869"/>
      <c r="AV8869"/>
    </row>
    <row r="8870" spans="41:48" x14ac:dyDescent="0.35">
      <c r="AO8870"/>
      <c r="AP8870"/>
      <c r="AQ8870"/>
      <c r="AR8870"/>
      <c r="AS8870"/>
      <c r="AT8870"/>
      <c r="AU8870"/>
      <c r="AV8870"/>
    </row>
    <row r="8871" spans="41:48" x14ac:dyDescent="0.35">
      <c r="AO8871"/>
      <c r="AP8871"/>
      <c r="AQ8871"/>
      <c r="AR8871"/>
      <c r="AS8871"/>
      <c r="AT8871"/>
      <c r="AU8871"/>
      <c r="AV8871"/>
    </row>
    <row r="8872" spans="41:48" x14ac:dyDescent="0.35">
      <c r="AO8872"/>
      <c r="AP8872"/>
      <c r="AQ8872"/>
      <c r="AR8872"/>
      <c r="AS8872"/>
      <c r="AT8872"/>
      <c r="AU8872"/>
      <c r="AV8872"/>
    </row>
    <row r="8873" spans="41:48" x14ac:dyDescent="0.35">
      <c r="AO8873"/>
      <c r="AP8873"/>
      <c r="AQ8873"/>
      <c r="AR8873"/>
      <c r="AS8873"/>
      <c r="AT8873"/>
      <c r="AU8873"/>
      <c r="AV8873"/>
    </row>
    <row r="8874" spans="41:48" x14ac:dyDescent="0.35">
      <c r="AO8874"/>
      <c r="AP8874"/>
      <c r="AQ8874"/>
      <c r="AR8874"/>
      <c r="AS8874"/>
      <c r="AT8874"/>
      <c r="AU8874"/>
      <c r="AV8874"/>
    </row>
    <row r="8875" spans="41:48" x14ac:dyDescent="0.35">
      <c r="AO8875"/>
      <c r="AP8875"/>
      <c r="AQ8875"/>
      <c r="AR8875"/>
      <c r="AS8875"/>
      <c r="AT8875"/>
      <c r="AU8875"/>
      <c r="AV8875"/>
    </row>
    <row r="8876" spans="41:48" x14ac:dyDescent="0.35">
      <c r="AO8876"/>
      <c r="AP8876"/>
      <c r="AQ8876"/>
      <c r="AR8876"/>
      <c r="AS8876"/>
      <c r="AT8876"/>
      <c r="AU8876"/>
      <c r="AV8876"/>
    </row>
    <row r="8877" spans="41:48" x14ac:dyDescent="0.35">
      <c r="AO8877"/>
      <c r="AP8877"/>
      <c r="AQ8877"/>
      <c r="AR8877"/>
      <c r="AS8877"/>
      <c r="AT8877"/>
      <c r="AU8877"/>
      <c r="AV8877"/>
    </row>
    <row r="8878" spans="41:48" x14ac:dyDescent="0.35">
      <c r="AO8878"/>
      <c r="AP8878"/>
      <c r="AQ8878"/>
      <c r="AR8878"/>
      <c r="AS8878"/>
      <c r="AT8878"/>
      <c r="AU8878"/>
      <c r="AV8878"/>
    </row>
    <row r="8879" spans="41:48" x14ac:dyDescent="0.35">
      <c r="AO8879"/>
      <c r="AP8879"/>
      <c r="AQ8879"/>
      <c r="AR8879"/>
      <c r="AS8879"/>
      <c r="AT8879"/>
      <c r="AU8879"/>
      <c r="AV8879"/>
    </row>
    <row r="8880" spans="41:48" x14ac:dyDescent="0.35">
      <c r="AO8880"/>
      <c r="AP8880"/>
      <c r="AQ8880"/>
      <c r="AR8880"/>
      <c r="AS8880"/>
      <c r="AT8880"/>
      <c r="AU8880"/>
      <c r="AV8880"/>
    </row>
    <row r="8881" spans="41:48" x14ac:dyDescent="0.35">
      <c r="AO8881"/>
      <c r="AP8881"/>
      <c r="AQ8881"/>
      <c r="AR8881"/>
      <c r="AS8881"/>
      <c r="AT8881"/>
      <c r="AU8881"/>
      <c r="AV8881"/>
    </row>
    <row r="8882" spans="41:48" x14ac:dyDescent="0.35">
      <c r="AO8882"/>
      <c r="AP8882"/>
      <c r="AQ8882"/>
      <c r="AR8882"/>
      <c r="AS8882"/>
      <c r="AT8882"/>
      <c r="AU8882"/>
      <c r="AV8882"/>
    </row>
    <row r="8883" spans="41:48" x14ac:dyDescent="0.35">
      <c r="AO8883"/>
      <c r="AP8883"/>
      <c r="AQ8883"/>
      <c r="AR8883"/>
      <c r="AS8883"/>
      <c r="AT8883"/>
      <c r="AU8883"/>
      <c r="AV8883"/>
    </row>
    <row r="8884" spans="41:48" x14ac:dyDescent="0.35">
      <c r="AO8884"/>
      <c r="AP8884"/>
      <c r="AQ8884"/>
      <c r="AR8884"/>
      <c r="AS8884"/>
      <c r="AT8884"/>
      <c r="AU8884"/>
      <c r="AV8884"/>
    </row>
    <row r="8885" spans="41:48" x14ac:dyDescent="0.35">
      <c r="AO8885"/>
      <c r="AP8885"/>
      <c r="AQ8885"/>
      <c r="AR8885"/>
      <c r="AS8885"/>
      <c r="AT8885"/>
      <c r="AU8885"/>
      <c r="AV8885"/>
    </row>
    <row r="8886" spans="41:48" x14ac:dyDescent="0.35">
      <c r="AO8886"/>
      <c r="AP8886"/>
      <c r="AQ8886"/>
      <c r="AR8886"/>
      <c r="AS8886"/>
      <c r="AT8886"/>
      <c r="AU8886"/>
      <c r="AV8886"/>
    </row>
    <row r="8887" spans="41:48" x14ac:dyDescent="0.35">
      <c r="AO8887"/>
      <c r="AP8887"/>
      <c r="AQ8887"/>
      <c r="AR8887"/>
      <c r="AS8887"/>
      <c r="AT8887"/>
      <c r="AU8887"/>
      <c r="AV8887"/>
    </row>
    <row r="8888" spans="41:48" x14ac:dyDescent="0.35">
      <c r="AO8888"/>
      <c r="AP8888"/>
      <c r="AQ8888"/>
      <c r="AR8888"/>
      <c r="AS8888"/>
      <c r="AT8888"/>
      <c r="AU8888"/>
      <c r="AV8888"/>
    </row>
    <row r="8889" spans="41:48" x14ac:dyDescent="0.35">
      <c r="AO8889"/>
      <c r="AP8889"/>
      <c r="AQ8889"/>
      <c r="AR8889"/>
      <c r="AS8889"/>
      <c r="AT8889"/>
      <c r="AU8889"/>
      <c r="AV8889"/>
    </row>
    <row r="8890" spans="41:48" x14ac:dyDescent="0.35">
      <c r="AO8890"/>
      <c r="AP8890"/>
      <c r="AQ8890"/>
      <c r="AR8890"/>
      <c r="AS8890"/>
      <c r="AT8890"/>
      <c r="AU8890"/>
      <c r="AV8890"/>
    </row>
    <row r="8891" spans="41:48" x14ac:dyDescent="0.35">
      <c r="AO8891"/>
      <c r="AP8891"/>
      <c r="AQ8891"/>
      <c r="AR8891"/>
      <c r="AS8891"/>
      <c r="AT8891"/>
      <c r="AU8891"/>
      <c r="AV8891"/>
    </row>
    <row r="8892" spans="41:48" x14ac:dyDescent="0.35">
      <c r="AO8892"/>
      <c r="AP8892"/>
      <c r="AQ8892"/>
      <c r="AR8892"/>
      <c r="AS8892"/>
      <c r="AT8892"/>
      <c r="AU8892"/>
      <c r="AV8892"/>
    </row>
    <row r="8893" spans="41:48" x14ac:dyDescent="0.35">
      <c r="AO8893"/>
      <c r="AP8893"/>
      <c r="AQ8893"/>
      <c r="AR8893"/>
      <c r="AS8893"/>
      <c r="AT8893"/>
      <c r="AU8893"/>
      <c r="AV8893"/>
    </row>
    <row r="8894" spans="41:48" x14ac:dyDescent="0.35">
      <c r="AO8894"/>
      <c r="AP8894"/>
      <c r="AQ8894"/>
      <c r="AR8894"/>
      <c r="AS8894"/>
      <c r="AT8894"/>
      <c r="AU8894"/>
      <c r="AV8894"/>
    </row>
    <row r="8895" spans="41:48" x14ac:dyDescent="0.35">
      <c r="AO8895"/>
      <c r="AP8895"/>
      <c r="AQ8895"/>
      <c r="AR8895"/>
      <c r="AS8895"/>
      <c r="AT8895"/>
      <c r="AU8895"/>
      <c r="AV8895"/>
    </row>
    <row r="8896" spans="41:48" x14ac:dyDescent="0.35">
      <c r="AO8896"/>
      <c r="AP8896"/>
      <c r="AQ8896"/>
      <c r="AR8896"/>
      <c r="AS8896"/>
      <c r="AT8896"/>
      <c r="AU8896"/>
      <c r="AV8896"/>
    </row>
    <row r="8897" spans="41:48" x14ac:dyDescent="0.35">
      <c r="AO8897"/>
      <c r="AP8897"/>
      <c r="AQ8897"/>
      <c r="AR8897"/>
      <c r="AS8897"/>
      <c r="AT8897"/>
      <c r="AU8897"/>
      <c r="AV8897"/>
    </row>
    <row r="8898" spans="41:48" x14ac:dyDescent="0.35">
      <c r="AO8898"/>
      <c r="AP8898"/>
      <c r="AQ8898"/>
      <c r="AR8898"/>
      <c r="AS8898"/>
      <c r="AT8898"/>
      <c r="AU8898"/>
      <c r="AV8898"/>
    </row>
    <row r="8899" spans="41:48" x14ac:dyDescent="0.35">
      <c r="AO8899"/>
      <c r="AP8899"/>
      <c r="AQ8899"/>
      <c r="AR8899"/>
      <c r="AS8899"/>
      <c r="AT8899"/>
      <c r="AU8899"/>
      <c r="AV8899"/>
    </row>
    <row r="8900" spans="41:48" x14ac:dyDescent="0.35">
      <c r="AO8900"/>
      <c r="AP8900"/>
      <c r="AQ8900"/>
      <c r="AR8900"/>
      <c r="AS8900"/>
      <c r="AT8900"/>
      <c r="AU8900"/>
      <c r="AV8900"/>
    </row>
    <row r="8901" spans="41:48" x14ac:dyDescent="0.35">
      <c r="AO8901"/>
      <c r="AP8901"/>
      <c r="AQ8901"/>
      <c r="AR8901"/>
      <c r="AS8901"/>
      <c r="AT8901"/>
      <c r="AU8901"/>
      <c r="AV8901"/>
    </row>
    <row r="8902" spans="41:48" x14ac:dyDescent="0.35">
      <c r="AO8902"/>
      <c r="AP8902"/>
      <c r="AQ8902"/>
      <c r="AR8902"/>
      <c r="AS8902"/>
      <c r="AT8902"/>
      <c r="AU8902"/>
      <c r="AV8902"/>
    </row>
    <row r="8903" spans="41:48" x14ac:dyDescent="0.35">
      <c r="AO8903"/>
      <c r="AP8903"/>
      <c r="AQ8903"/>
      <c r="AR8903"/>
      <c r="AS8903"/>
      <c r="AT8903"/>
      <c r="AU8903"/>
      <c r="AV8903"/>
    </row>
    <row r="8904" spans="41:48" x14ac:dyDescent="0.35">
      <c r="AO8904"/>
      <c r="AP8904"/>
      <c r="AQ8904"/>
      <c r="AR8904"/>
      <c r="AS8904"/>
      <c r="AT8904"/>
      <c r="AU8904"/>
      <c r="AV8904"/>
    </row>
    <row r="8905" spans="41:48" x14ac:dyDescent="0.35">
      <c r="AO8905"/>
      <c r="AP8905"/>
      <c r="AQ8905"/>
      <c r="AR8905"/>
      <c r="AS8905"/>
      <c r="AT8905"/>
      <c r="AU8905"/>
      <c r="AV8905"/>
    </row>
    <row r="8906" spans="41:48" x14ac:dyDescent="0.35">
      <c r="AO8906"/>
      <c r="AP8906"/>
      <c r="AQ8906"/>
      <c r="AR8906"/>
      <c r="AS8906"/>
      <c r="AT8906"/>
      <c r="AU8906"/>
      <c r="AV8906"/>
    </row>
    <row r="8907" spans="41:48" x14ac:dyDescent="0.35">
      <c r="AO8907"/>
      <c r="AP8907"/>
      <c r="AQ8907"/>
      <c r="AR8907"/>
      <c r="AS8907"/>
      <c r="AT8907"/>
      <c r="AU8907"/>
      <c r="AV8907"/>
    </row>
    <row r="8908" spans="41:48" x14ac:dyDescent="0.35">
      <c r="AO8908"/>
      <c r="AP8908"/>
      <c r="AQ8908"/>
      <c r="AR8908"/>
      <c r="AS8908"/>
      <c r="AT8908"/>
      <c r="AU8908"/>
      <c r="AV8908"/>
    </row>
    <row r="8909" spans="41:48" x14ac:dyDescent="0.35">
      <c r="AO8909"/>
      <c r="AP8909"/>
      <c r="AQ8909"/>
      <c r="AR8909"/>
      <c r="AS8909"/>
      <c r="AT8909"/>
      <c r="AU8909"/>
      <c r="AV8909"/>
    </row>
    <row r="8910" spans="41:48" x14ac:dyDescent="0.35">
      <c r="AO8910"/>
      <c r="AP8910"/>
      <c r="AQ8910"/>
      <c r="AR8910"/>
      <c r="AS8910"/>
      <c r="AT8910"/>
      <c r="AU8910"/>
      <c r="AV8910"/>
    </row>
    <row r="8911" spans="41:48" x14ac:dyDescent="0.35">
      <c r="AO8911"/>
      <c r="AP8911"/>
      <c r="AQ8911"/>
      <c r="AR8911"/>
      <c r="AS8911"/>
      <c r="AT8911"/>
      <c r="AU8911"/>
      <c r="AV8911"/>
    </row>
    <row r="8912" spans="41:48" x14ac:dyDescent="0.35">
      <c r="AO8912"/>
      <c r="AP8912"/>
      <c r="AQ8912"/>
      <c r="AR8912"/>
      <c r="AS8912"/>
      <c r="AT8912"/>
      <c r="AU8912"/>
      <c r="AV8912"/>
    </row>
    <row r="8913" spans="41:48" x14ac:dyDescent="0.35">
      <c r="AO8913"/>
      <c r="AP8913"/>
      <c r="AQ8913"/>
      <c r="AR8913"/>
      <c r="AS8913"/>
      <c r="AT8913"/>
      <c r="AU8913"/>
      <c r="AV8913"/>
    </row>
    <row r="8914" spans="41:48" x14ac:dyDescent="0.35">
      <c r="AO8914"/>
      <c r="AP8914"/>
      <c r="AQ8914"/>
      <c r="AR8914"/>
      <c r="AS8914"/>
      <c r="AT8914"/>
      <c r="AU8914"/>
      <c r="AV8914"/>
    </row>
    <row r="8915" spans="41:48" x14ac:dyDescent="0.35">
      <c r="AO8915"/>
      <c r="AP8915"/>
      <c r="AQ8915"/>
      <c r="AR8915"/>
      <c r="AS8915"/>
      <c r="AT8915"/>
      <c r="AU8915"/>
      <c r="AV8915"/>
    </row>
    <row r="8916" spans="41:48" x14ac:dyDescent="0.35">
      <c r="AO8916"/>
      <c r="AP8916"/>
      <c r="AQ8916"/>
      <c r="AR8916"/>
      <c r="AS8916"/>
      <c r="AT8916"/>
      <c r="AU8916"/>
      <c r="AV8916"/>
    </row>
    <row r="8917" spans="41:48" x14ac:dyDescent="0.35">
      <c r="AO8917"/>
      <c r="AP8917"/>
      <c r="AQ8917"/>
      <c r="AR8917"/>
      <c r="AS8917"/>
      <c r="AT8917"/>
      <c r="AU8917"/>
      <c r="AV8917"/>
    </row>
    <row r="8918" spans="41:48" x14ac:dyDescent="0.35">
      <c r="AO8918"/>
      <c r="AP8918"/>
      <c r="AQ8918"/>
      <c r="AR8918"/>
      <c r="AS8918"/>
      <c r="AT8918"/>
      <c r="AU8918"/>
      <c r="AV8918"/>
    </row>
    <row r="8919" spans="41:48" x14ac:dyDescent="0.35">
      <c r="AO8919"/>
      <c r="AP8919"/>
      <c r="AQ8919"/>
      <c r="AR8919"/>
      <c r="AS8919"/>
      <c r="AT8919"/>
      <c r="AU8919"/>
      <c r="AV8919"/>
    </row>
    <row r="8920" spans="41:48" x14ac:dyDescent="0.35">
      <c r="AO8920"/>
      <c r="AP8920"/>
      <c r="AQ8920"/>
      <c r="AR8920"/>
      <c r="AS8920"/>
      <c r="AT8920"/>
      <c r="AU8920"/>
      <c r="AV8920"/>
    </row>
    <row r="8921" spans="41:48" x14ac:dyDescent="0.35">
      <c r="AO8921"/>
      <c r="AP8921"/>
      <c r="AQ8921"/>
      <c r="AR8921"/>
      <c r="AS8921"/>
      <c r="AT8921"/>
      <c r="AU8921"/>
      <c r="AV8921"/>
    </row>
    <row r="8922" spans="41:48" x14ac:dyDescent="0.35">
      <c r="AO8922"/>
      <c r="AP8922"/>
      <c r="AQ8922"/>
      <c r="AR8922"/>
      <c r="AS8922"/>
      <c r="AT8922"/>
      <c r="AU8922"/>
      <c r="AV8922"/>
    </row>
    <row r="8923" spans="41:48" x14ac:dyDescent="0.35">
      <c r="AO8923"/>
      <c r="AP8923"/>
      <c r="AQ8923"/>
      <c r="AR8923"/>
      <c r="AS8923"/>
      <c r="AT8923"/>
      <c r="AU8923"/>
      <c r="AV8923"/>
    </row>
    <row r="8924" spans="41:48" x14ac:dyDescent="0.35">
      <c r="AO8924"/>
      <c r="AP8924"/>
      <c r="AQ8924"/>
      <c r="AR8924"/>
      <c r="AS8924"/>
      <c r="AT8924"/>
      <c r="AU8924"/>
      <c r="AV8924"/>
    </row>
    <row r="8925" spans="41:48" x14ac:dyDescent="0.35">
      <c r="AO8925"/>
      <c r="AP8925"/>
      <c r="AQ8925"/>
      <c r="AR8925"/>
      <c r="AS8925"/>
      <c r="AT8925"/>
      <c r="AU8925"/>
      <c r="AV8925"/>
    </row>
    <row r="8926" spans="41:48" x14ac:dyDescent="0.35">
      <c r="AO8926"/>
      <c r="AP8926"/>
      <c r="AQ8926"/>
      <c r="AR8926"/>
      <c r="AS8926"/>
      <c r="AT8926"/>
      <c r="AU8926"/>
      <c r="AV8926"/>
    </row>
    <row r="8927" spans="41:48" x14ac:dyDescent="0.35">
      <c r="AO8927"/>
      <c r="AP8927"/>
      <c r="AQ8927"/>
      <c r="AR8927"/>
      <c r="AS8927"/>
      <c r="AT8927"/>
      <c r="AU8927"/>
      <c r="AV8927"/>
    </row>
    <row r="8928" spans="41:48" x14ac:dyDescent="0.35">
      <c r="AO8928"/>
      <c r="AP8928"/>
      <c r="AQ8928"/>
      <c r="AR8928"/>
      <c r="AS8928"/>
      <c r="AT8928"/>
      <c r="AU8928"/>
      <c r="AV8928"/>
    </row>
    <row r="8929" spans="41:48" x14ac:dyDescent="0.35">
      <c r="AO8929"/>
      <c r="AP8929"/>
      <c r="AQ8929"/>
      <c r="AR8929"/>
      <c r="AS8929"/>
      <c r="AT8929"/>
      <c r="AU8929"/>
      <c r="AV8929"/>
    </row>
    <row r="8930" spans="41:48" x14ac:dyDescent="0.35">
      <c r="AO8930"/>
      <c r="AP8930"/>
      <c r="AQ8930"/>
      <c r="AR8930"/>
      <c r="AS8930"/>
      <c r="AT8930"/>
      <c r="AU8930"/>
      <c r="AV8930"/>
    </row>
    <row r="8931" spans="41:48" x14ac:dyDescent="0.35">
      <c r="AO8931"/>
      <c r="AP8931"/>
      <c r="AQ8931"/>
      <c r="AR8931"/>
      <c r="AS8931"/>
      <c r="AT8931"/>
      <c r="AU8931"/>
      <c r="AV8931"/>
    </row>
    <row r="8932" spans="41:48" x14ac:dyDescent="0.35">
      <c r="AO8932"/>
      <c r="AP8932"/>
      <c r="AQ8932"/>
      <c r="AR8932"/>
      <c r="AS8932"/>
      <c r="AT8932"/>
      <c r="AU8932"/>
      <c r="AV8932"/>
    </row>
    <row r="8933" spans="41:48" x14ac:dyDescent="0.35">
      <c r="AO8933"/>
      <c r="AP8933"/>
      <c r="AQ8933"/>
      <c r="AR8933"/>
      <c r="AS8933"/>
      <c r="AT8933"/>
      <c r="AU8933"/>
      <c r="AV8933"/>
    </row>
    <row r="8934" spans="41:48" x14ac:dyDescent="0.35">
      <c r="AO8934"/>
      <c r="AP8934"/>
      <c r="AQ8934"/>
      <c r="AR8934"/>
      <c r="AS8934"/>
      <c r="AT8934"/>
      <c r="AU8934"/>
      <c r="AV8934"/>
    </row>
    <row r="8935" spans="41:48" x14ac:dyDescent="0.35">
      <c r="AO8935"/>
      <c r="AP8935"/>
      <c r="AQ8935"/>
      <c r="AR8935"/>
      <c r="AS8935"/>
      <c r="AT8935"/>
      <c r="AU8935"/>
      <c r="AV8935"/>
    </row>
    <row r="8936" spans="41:48" x14ac:dyDescent="0.35">
      <c r="AO8936"/>
      <c r="AP8936"/>
      <c r="AQ8936"/>
      <c r="AR8936"/>
      <c r="AS8936"/>
      <c r="AT8936"/>
      <c r="AU8936"/>
      <c r="AV8936"/>
    </row>
    <row r="8937" spans="41:48" x14ac:dyDescent="0.35">
      <c r="AO8937"/>
      <c r="AP8937"/>
      <c r="AQ8937"/>
      <c r="AR8937"/>
      <c r="AS8937"/>
      <c r="AT8937"/>
      <c r="AU8937"/>
      <c r="AV8937"/>
    </row>
    <row r="8938" spans="41:48" x14ac:dyDescent="0.35">
      <c r="AO8938"/>
      <c r="AP8938"/>
      <c r="AQ8938"/>
      <c r="AR8938"/>
      <c r="AS8938"/>
      <c r="AT8938"/>
      <c r="AU8938"/>
      <c r="AV8938"/>
    </row>
    <row r="8939" spans="41:48" x14ac:dyDescent="0.35">
      <c r="AO8939"/>
      <c r="AP8939"/>
      <c r="AQ8939"/>
      <c r="AR8939"/>
      <c r="AS8939"/>
      <c r="AT8939"/>
      <c r="AU8939"/>
      <c r="AV8939"/>
    </row>
    <row r="8940" spans="41:48" x14ac:dyDescent="0.35">
      <c r="AO8940"/>
      <c r="AP8940"/>
      <c r="AQ8940"/>
      <c r="AR8940"/>
      <c r="AS8940"/>
      <c r="AT8940"/>
      <c r="AU8940"/>
      <c r="AV8940"/>
    </row>
    <row r="8941" spans="41:48" x14ac:dyDescent="0.35">
      <c r="AO8941"/>
      <c r="AP8941"/>
      <c r="AQ8941"/>
      <c r="AR8941"/>
      <c r="AS8941"/>
      <c r="AT8941"/>
      <c r="AU8941"/>
      <c r="AV8941"/>
    </row>
    <row r="8942" spans="41:48" x14ac:dyDescent="0.35">
      <c r="AO8942"/>
      <c r="AP8942"/>
      <c r="AQ8942"/>
      <c r="AR8942"/>
      <c r="AS8942"/>
      <c r="AT8942"/>
      <c r="AU8942"/>
      <c r="AV8942"/>
    </row>
    <row r="8943" spans="41:48" x14ac:dyDescent="0.35">
      <c r="AO8943"/>
      <c r="AP8943"/>
      <c r="AQ8943"/>
      <c r="AR8943"/>
      <c r="AS8943"/>
      <c r="AT8943"/>
      <c r="AU8943"/>
      <c r="AV8943"/>
    </row>
    <row r="8944" spans="41:48" x14ac:dyDescent="0.35">
      <c r="AO8944"/>
      <c r="AP8944"/>
      <c r="AQ8944"/>
      <c r="AR8944"/>
      <c r="AS8944"/>
      <c r="AT8944"/>
      <c r="AU8944"/>
      <c r="AV8944"/>
    </row>
    <row r="8945" spans="41:48" x14ac:dyDescent="0.35">
      <c r="AO8945"/>
      <c r="AP8945"/>
      <c r="AQ8945"/>
      <c r="AR8945"/>
      <c r="AS8945"/>
      <c r="AT8945"/>
      <c r="AU8945"/>
      <c r="AV8945"/>
    </row>
    <row r="8946" spans="41:48" x14ac:dyDescent="0.35">
      <c r="AO8946"/>
      <c r="AP8946"/>
      <c r="AQ8946"/>
      <c r="AR8946"/>
      <c r="AS8946"/>
      <c r="AT8946"/>
      <c r="AU8946"/>
      <c r="AV8946"/>
    </row>
    <row r="8947" spans="41:48" x14ac:dyDescent="0.35">
      <c r="AO8947"/>
      <c r="AP8947"/>
      <c r="AQ8947"/>
      <c r="AR8947"/>
      <c r="AS8947"/>
      <c r="AT8947"/>
      <c r="AU8947"/>
      <c r="AV8947"/>
    </row>
    <row r="8948" spans="41:48" x14ac:dyDescent="0.35">
      <c r="AO8948"/>
      <c r="AP8948"/>
      <c r="AQ8948"/>
      <c r="AR8948"/>
      <c r="AS8948"/>
      <c r="AT8948"/>
      <c r="AU8948"/>
      <c r="AV8948"/>
    </row>
    <row r="8949" spans="41:48" x14ac:dyDescent="0.35">
      <c r="AO8949"/>
      <c r="AP8949"/>
      <c r="AQ8949"/>
      <c r="AR8949"/>
      <c r="AS8949"/>
      <c r="AT8949"/>
      <c r="AU8949"/>
      <c r="AV8949"/>
    </row>
    <row r="8950" spans="41:48" x14ac:dyDescent="0.35">
      <c r="AO8950"/>
      <c r="AP8950"/>
      <c r="AQ8950"/>
      <c r="AR8950"/>
      <c r="AS8950"/>
      <c r="AT8950"/>
      <c r="AU8950"/>
      <c r="AV8950"/>
    </row>
    <row r="8951" spans="41:48" x14ac:dyDescent="0.35">
      <c r="AO8951"/>
      <c r="AP8951"/>
      <c r="AQ8951"/>
      <c r="AR8951"/>
      <c r="AS8951"/>
      <c r="AT8951"/>
      <c r="AU8951"/>
      <c r="AV8951"/>
    </row>
    <row r="8952" spans="41:48" x14ac:dyDescent="0.35">
      <c r="AO8952"/>
      <c r="AP8952"/>
      <c r="AQ8952"/>
      <c r="AR8952"/>
      <c r="AS8952"/>
      <c r="AT8952"/>
      <c r="AU8952"/>
      <c r="AV8952"/>
    </row>
    <row r="8953" spans="41:48" x14ac:dyDescent="0.35">
      <c r="AO8953"/>
      <c r="AP8953"/>
      <c r="AQ8953"/>
      <c r="AR8953"/>
      <c r="AS8953"/>
      <c r="AT8953"/>
      <c r="AU8953"/>
      <c r="AV8953"/>
    </row>
    <row r="8954" spans="41:48" x14ac:dyDescent="0.35">
      <c r="AO8954"/>
      <c r="AP8954"/>
      <c r="AQ8954"/>
      <c r="AR8954"/>
      <c r="AS8954"/>
      <c r="AT8954"/>
      <c r="AU8954"/>
      <c r="AV8954"/>
    </row>
    <row r="8955" spans="41:48" x14ac:dyDescent="0.35">
      <c r="AO8955"/>
      <c r="AP8955"/>
      <c r="AQ8955"/>
      <c r="AR8955"/>
      <c r="AS8955"/>
      <c r="AT8955"/>
      <c r="AU8955"/>
      <c r="AV8955"/>
    </row>
    <row r="8956" spans="41:48" x14ac:dyDescent="0.35">
      <c r="AO8956"/>
      <c r="AP8956"/>
      <c r="AQ8956"/>
      <c r="AR8956"/>
      <c r="AS8956"/>
      <c r="AT8956"/>
      <c r="AU8956"/>
      <c r="AV8956"/>
    </row>
    <row r="8957" spans="41:48" x14ac:dyDescent="0.35">
      <c r="AO8957"/>
      <c r="AP8957"/>
      <c r="AQ8957"/>
      <c r="AR8957"/>
      <c r="AS8957"/>
      <c r="AT8957"/>
      <c r="AU8957"/>
      <c r="AV8957"/>
    </row>
    <row r="8958" spans="41:48" x14ac:dyDescent="0.35">
      <c r="AO8958"/>
      <c r="AP8958"/>
      <c r="AQ8958"/>
      <c r="AR8958"/>
      <c r="AS8958"/>
      <c r="AT8958"/>
      <c r="AU8958"/>
      <c r="AV8958"/>
    </row>
    <row r="8959" spans="41:48" x14ac:dyDescent="0.35">
      <c r="AO8959"/>
      <c r="AP8959"/>
      <c r="AQ8959"/>
      <c r="AR8959"/>
      <c r="AS8959"/>
      <c r="AT8959"/>
      <c r="AU8959"/>
      <c r="AV8959"/>
    </row>
    <row r="8960" spans="41:48" x14ac:dyDescent="0.35">
      <c r="AO8960"/>
      <c r="AP8960"/>
      <c r="AQ8960"/>
      <c r="AR8960"/>
      <c r="AS8960"/>
      <c r="AT8960"/>
      <c r="AU8960"/>
      <c r="AV8960"/>
    </row>
    <row r="8961" spans="41:48" x14ac:dyDescent="0.35">
      <c r="AO8961"/>
      <c r="AP8961"/>
      <c r="AQ8961"/>
      <c r="AR8961"/>
      <c r="AS8961"/>
      <c r="AT8961"/>
      <c r="AU8961"/>
      <c r="AV8961"/>
    </row>
    <row r="8962" spans="41:48" x14ac:dyDescent="0.35">
      <c r="AO8962"/>
      <c r="AP8962"/>
      <c r="AQ8962"/>
      <c r="AR8962"/>
      <c r="AS8962"/>
      <c r="AT8962"/>
      <c r="AU8962"/>
      <c r="AV8962"/>
    </row>
    <row r="8963" spans="41:48" x14ac:dyDescent="0.35">
      <c r="AO8963"/>
      <c r="AP8963"/>
      <c r="AQ8963"/>
      <c r="AR8963"/>
      <c r="AS8963"/>
      <c r="AT8963"/>
      <c r="AU8963"/>
      <c r="AV8963"/>
    </row>
    <row r="8964" spans="41:48" x14ac:dyDescent="0.35">
      <c r="AO8964"/>
      <c r="AP8964"/>
      <c r="AQ8964"/>
      <c r="AR8964"/>
      <c r="AS8964"/>
      <c r="AT8964"/>
      <c r="AU8964"/>
      <c r="AV8964"/>
    </row>
    <row r="8965" spans="41:48" x14ac:dyDescent="0.35">
      <c r="AO8965"/>
      <c r="AP8965"/>
      <c r="AQ8965"/>
      <c r="AR8965"/>
      <c r="AS8965"/>
      <c r="AT8965"/>
      <c r="AU8965"/>
      <c r="AV8965"/>
    </row>
    <row r="8966" spans="41:48" x14ac:dyDescent="0.35">
      <c r="AO8966"/>
      <c r="AP8966"/>
      <c r="AQ8966"/>
      <c r="AR8966"/>
      <c r="AS8966"/>
      <c r="AT8966"/>
      <c r="AU8966"/>
      <c r="AV8966"/>
    </row>
    <row r="8967" spans="41:48" x14ac:dyDescent="0.35">
      <c r="AO8967"/>
      <c r="AP8967"/>
      <c r="AQ8967"/>
      <c r="AR8967"/>
      <c r="AS8967"/>
      <c r="AT8967"/>
      <c r="AU8967"/>
      <c r="AV8967"/>
    </row>
    <row r="8968" spans="41:48" x14ac:dyDescent="0.35">
      <c r="AO8968"/>
      <c r="AP8968"/>
      <c r="AQ8968"/>
      <c r="AR8968"/>
      <c r="AS8968"/>
      <c r="AT8968"/>
      <c r="AU8968"/>
      <c r="AV8968"/>
    </row>
    <row r="8969" spans="41:48" x14ac:dyDescent="0.35">
      <c r="AO8969"/>
      <c r="AP8969"/>
      <c r="AQ8969"/>
      <c r="AR8969"/>
      <c r="AS8969"/>
      <c r="AT8969"/>
      <c r="AU8969"/>
      <c r="AV8969"/>
    </row>
    <row r="8970" spans="41:48" x14ac:dyDescent="0.35">
      <c r="AO8970"/>
      <c r="AP8970"/>
      <c r="AQ8970"/>
      <c r="AR8970"/>
      <c r="AS8970"/>
      <c r="AT8970"/>
      <c r="AU8970"/>
      <c r="AV8970"/>
    </row>
    <row r="8971" spans="41:48" x14ac:dyDescent="0.35">
      <c r="AO8971"/>
      <c r="AP8971"/>
      <c r="AQ8971"/>
      <c r="AR8971"/>
      <c r="AS8971"/>
      <c r="AT8971"/>
      <c r="AU8971"/>
      <c r="AV8971"/>
    </row>
    <row r="8972" spans="41:48" x14ac:dyDescent="0.35">
      <c r="AO8972"/>
      <c r="AP8972"/>
      <c r="AQ8972"/>
      <c r="AR8972"/>
      <c r="AS8972"/>
      <c r="AT8972"/>
      <c r="AU8972"/>
      <c r="AV8972"/>
    </row>
    <row r="8973" spans="41:48" x14ac:dyDescent="0.35">
      <c r="AO8973"/>
      <c r="AP8973"/>
      <c r="AQ8973"/>
      <c r="AR8973"/>
      <c r="AS8973"/>
      <c r="AT8973"/>
      <c r="AU8973"/>
      <c r="AV8973"/>
    </row>
    <row r="8974" spans="41:48" x14ac:dyDescent="0.35">
      <c r="AO8974"/>
      <c r="AP8974"/>
      <c r="AQ8974"/>
      <c r="AR8974"/>
      <c r="AS8974"/>
      <c r="AT8974"/>
      <c r="AU8974"/>
      <c r="AV8974"/>
    </row>
    <row r="8975" spans="41:48" x14ac:dyDescent="0.35">
      <c r="AO8975"/>
      <c r="AP8975"/>
      <c r="AQ8975"/>
      <c r="AR8975"/>
      <c r="AS8975"/>
      <c r="AT8975"/>
      <c r="AU8975"/>
      <c r="AV8975"/>
    </row>
    <row r="8976" spans="41:48" x14ac:dyDescent="0.35">
      <c r="AO8976"/>
      <c r="AP8976"/>
      <c r="AQ8976"/>
      <c r="AR8976"/>
      <c r="AS8976"/>
      <c r="AT8976"/>
      <c r="AU8976"/>
      <c r="AV8976"/>
    </row>
    <row r="8977" spans="41:48" x14ac:dyDescent="0.35">
      <c r="AO8977"/>
      <c r="AP8977"/>
      <c r="AQ8977"/>
      <c r="AR8977"/>
      <c r="AS8977"/>
      <c r="AT8977"/>
      <c r="AU8977"/>
      <c r="AV8977"/>
    </row>
    <row r="8978" spans="41:48" x14ac:dyDescent="0.35">
      <c r="AO8978"/>
      <c r="AP8978"/>
      <c r="AQ8978"/>
      <c r="AR8978"/>
      <c r="AS8978"/>
      <c r="AT8978"/>
      <c r="AU8978"/>
      <c r="AV8978"/>
    </row>
    <row r="8979" spans="41:48" x14ac:dyDescent="0.35">
      <c r="AO8979"/>
      <c r="AP8979"/>
      <c r="AQ8979"/>
      <c r="AR8979"/>
      <c r="AS8979"/>
      <c r="AT8979"/>
      <c r="AU8979"/>
      <c r="AV8979"/>
    </row>
    <row r="8980" spans="41:48" x14ac:dyDescent="0.35">
      <c r="AO8980"/>
      <c r="AP8980"/>
      <c r="AQ8980"/>
      <c r="AR8980"/>
      <c r="AS8980"/>
      <c r="AT8980"/>
      <c r="AU8980"/>
      <c r="AV8980"/>
    </row>
    <row r="8981" spans="41:48" x14ac:dyDescent="0.35">
      <c r="AO8981"/>
      <c r="AP8981"/>
      <c r="AQ8981"/>
      <c r="AR8981"/>
      <c r="AS8981"/>
      <c r="AT8981"/>
      <c r="AU8981"/>
      <c r="AV8981"/>
    </row>
    <row r="8982" spans="41:48" x14ac:dyDescent="0.35">
      <c r="AO8982"/>
      <c r="AP8982"/>
      <c r="AQ8982"/>
      <c r="AR8982"/>
      <c r="AS8982"/>
      <c r="AT8982"/>
      <c r="AU8982"/>
      <c r="AV8982"/>
    </row>
    <row r="8983" spans="41:48" x14ac:dyDescent="0.35">
      <c r="AO8983"/>
      <c r="AP8983"/>
      <c r="AQ8983"/>
      <c r="AR8983"/>
      <c r="AS8983"/>
      <c r="AT8983"/>
      <c r="AU8983"/>
      <c r="AV8983"/>
    </row>
    <row r="8984" spans="41:48" x14ac:dyDescent="0.35">
      <c r="AO8984"/>
      <c r="AP8984"/>
      <c r="AQ8984"/>
      <c r="AR8984"/>
      <c r="AS8984"/>
      <c r="AT8984"/>
      <c r="AU8984"/>
      <c r="AV8984"/>
    </row>
    <row r="8985" spans="41:48" x14ac:dyDescent="0.35">
      <c r="AO8985"/>
      <c r="AP8985"/>
      <c r="AQ8985"/>
      <c r="AR8985"/>
      <c r="AS8985"/>
      <c r="AT8985"/>
      <c r="AU8985"/>
      <c r="AV8985"/>
    </row>
    <row r="8986" spans="41:48" x14ac:dyDescent="0.35">
      <c r="AO8986"/>
      <c r="AP8986"/>
      <c r="AQ8986"/>
      <c r="AR8986"/>
      <c r="AS8986"/>
      <c r="AT8986"/>
      <c r="AU8986"/>
      <c r="AV8986"/>
    </row>
    <row r="8987" spans="41:48" x14ac:dyDescent="0.35">
      <c r="AO8987"/>
      <c r="AP8987"/>
      <c r="AQ8987"/>
      <c r="AR8987"/>
      <c r="AS8987"/>
      <c r="AT8987"/>
      <c r="AU8987"/>
      <c r="AV8987"/>
    </row>
    <row r="8988" spans="41:48" x14ac:dyDescent="0.35">
      <c r="AO8988"/>
      <c r="AP8988"/>
      <c r="AQ8988"/>
      <c r="AR8988"/>
      <c r="AS8988"/>
      <c r="AT8988"/>
      <c r="AU8988"/>
      <c r="AV8988"/>
    </row>
    <row r="8989" spans="41:48" x14ac:dyDescent="0.35">
      <c r="AO8989"/>
      <c r="AP8989"/>
      <c r="AQ8989"/>
      <c r="AR8989"/>
      <c r="AS8989"/>
      <c r="AT8989"/>
      <c r="AU8989"/>
      <c r="AV8989"/>
    </row>
    <row r="8990" spans="41:48" x14ac:dyDescent="0.35">
      <c r="AO8990"/>
      <c r="AP8990"/>
      <c r="AQ8990"/>
      <c r="AR8990"/>
      <c r="AS8990"/>
      <c r="AT8990"/>
      <c r="AU8990"/>
      <c r="AV8990"/>
    </row>
    <row r="8991" spans="41:48" x14ac:dyDescent="0.35">
      <c r="AO8991"/>
      <c r="AP8991"/>
      <c r="AQ8991"/>
      <c r="AR8991"/>
      <c r="AS8991"/>
      <c r="AT8991"/>
      <c r="AU8991"/>
      <c r="AV8991"/>
    </row>
    <row r="8992" spans="41:48" x14ac:dyDescent="0.35">
      <c r="AO8992"/>
      <c r="AP8992"/>
      <c r="AQ8992"/>
      <c r="AR8992"/>
      <c r="AS8992"/>
      <c r="AT8992"/>
      <c r="AU8992"/>
      <c r="AV8992"/>
    </row>
    <row r="8993" spans="41:48" x14ac:dyDescent="0.35">
      <c r="AO8993"/>
      <c r="AP8993"/>
      <c r="AQ8993"/>
      <c r="AR8993"/>
      <c r="AS8993"/>
      <c r="AT8993"/>
      <c r="AU8993"/>
      <c r="AV8993"/>
    </row>
    <row r="8994" spans="41:48" x14ac:dyDescent="0.35">
      <c r="AO8994"/>
      <c r="AP8994"/>
      <c r="AQ8994"/>
      <c r="AR8994"/>
      <c r="AS8994"/>
      <c r="AT8994"/>
      <c r="AU8994"/>
      <c r="AV8994"/>
    </row>
    <row r="8995" spans="41:48" x14ac:dyDescent="0.35">
      <c r="AO8995"/>
      <c r="AP8995"/>
      <c r="AQ8995"/>
      <c r="AR8995"/>
      <c r="AS8995"/>
      <c r="AT8995"/>
      <c r="AU8995"/>
      <c r="AV8995"/>
    </row>
    <row r="8996" spans="41:48" x14ac:dyDescent="0.35">
      <c r="AO8996"/>
      <c r="AP8996"/>
      <c r="AQ8996"/>
      <c r="AR8996"/>
      <c r="AS8996"/>
      <c r="AT8996"/>
      <c r="AU8996"/>
      <c r="AV8996"/>
    </row>
    <row r="8997" spans="41:48" x14ac:dyDescent="0.35">
      <c r="AO8997"/>
      <c r="AP8997"/>
      <c r="AQ8997"/>
      <c r="AR8997"/>
      <c r="AS8997"/>
      <c r="AT8997"/>
      <c r="AU8997"/>
      <c r="AV8997"/>
    </row>
    <row r="8998" spans="41:48" x14ac:dyDescent="0.35">
      <c r="AO8998"/>
      <c r="AP8998"/>
      <c r="AQ8998"/>
      <c r="AR8998"/>
      <c r="AS8998"/>
      <c r="AT8998"/>
      <c r="AU8998"/>
      <c r="AV8998"/>
    </row>
    <row r="8999" spans="41:48" x14ac:dyDescent="0.35">
      <c r="AO8999"/>
      <c r="AP8999"/>
      <c r="AQ8999"/>
      <c r="AR8999"/>
      <c r="AS8999"/>
      <c r="AT8999"/>
      <c r="AU8999"/>
      <c r="AV8999"/>
    </row>
    <row r="9000" spans="41:48" x14ac:dyDescent="0.35">
      <c r="AO9000"/>
      <c r="AP9000"/>
      <c r="AQ9000"/>
      <c r="AR9000"/>
      <c r="AS9000"/>
      <c r="AT9000"/>
      <c r="AU9000"/>
      <c r="AV9000"/>
    </row>
    <row r="9001" spans="41:48" x14ac:dyDescent="0.35">
      <c r="AO9001"/>
      <c r="AP9001"/>
      <c r="AQ9001"/>
      <c r="AR9001"/>
      <c r="AS9001"/>
      <c r="AT9001"/>
      <c r="AU9001"/>
      <c r="AV9001"/>
    </row>
    <row r="9002" spans="41:48" x14ac:dyDescent="0.35">
      <c r="AO9002"/>
      <c r="AP9002"/>
      <c r="AQ9002"/>
      <c r="AR9002"/>
      <c r="AS9002"/>
      <c r="AT9002"/>
      <c r="AU9002"/>
      <c r="AV9002"/>
    </row>
    <row r="9003" spans="41:48" x14ac:dyDescent="0.35">
      <c r="AO9003"/>
      <c r="AP9003"/>
      <c r="AQ9003"/>
      <c r="AR9003"/>
      <c r="AS9003"/>
      <c r="AT9003"/>
      <c r="AU9003"/>
      <c r="AV9003"/>
    </row>
    <row r="9004" spans="41:48" x14ac:dyDescent="0.35">
      <c r="AO9004"/>
      <c r="AP9004"/>
      <c r="AQ9004"/>
      <c r="AR9004"/>
      <c r="AS9004"/>
      <c r="AT9004"/>
      <c r="AU9004"/>
      <c r="AV9004"/>
    </row>
    <row r="9005" spans="41:48" x14ac:dyDescent="0.35">
      <c r="AO9005"/>
      <c r="AP9005"/>
      <c r="AQ9005"/>
      <c r="AR9005"/>
      <c r="AS9005"/>
      <c r="AT9005"/>
      <c r="AU9005"/>
      <c r="AV9005"/>
    </row>
    <row r="9006" spans="41:48" x14ac:dyDescent="0.35">
      <c r="AO9006"/>
      <c r="AP9006"/>
      <c r="AQ9006"/>
      <c r="AR9006"/>
      <c r="AS9006"/>
      <c r="AT9006"/>
      <c r="AU9006"/>
      <c r="AV9006"/>
    </row>
    <row r="9007" spans="41:48" x14ac:dyDescent="0.35">
      <c r="AO9007"/>
      <c r="AP9007"/>
      <c r="AQ9007"/>
      <c r="AR9007"/>
      <c r="AS9007"/>
      <c r="AT9007"/>
      <c r="AU9007"/>
      <c r="AV9007"/>
    </row>
    <row r="9008" spans="41:48" x14ac:dyDescent="0.35">
      <c r="AO9008"/>
      <c r="AP9008"/>
      <c r="AQ9008"/>
      <c r="AR9008"/>
      <c r="AS9008"/>
      <c r="AT9008"/>
      <c r="AU9008"/>
      <c r="AV9008"/>
    </row>
    <row r="9009" spans="41:48" x14ac:dyDescent="0.35">
      <c r="AO9009"/>
      <c r="AP9009"/>
      <c r="AQ9009"/>
      <c r="AR9009"/>
      <c r="AS9009"/>
      <c r="AT9009"/>
      <c r="AU9009"/>
      <c r="AV9009"/>
    </row>
    <row r="9010" spans="41:48" x14ac:dyDescent="0.35">
      <c r="AO9010"/>
      <c r="AP9010"/>
      <c r="AQ9010"/>
      <c r="AR9010"/>
      <c r="AS9010"/>
      <c r="AT9010"/>
      <c r="AU9010"/>
      <c r="AV9010"/>
    </row>
    <row r="9011" spans="41:48" x14ac:dyDescent="0.35">
      <c r="AO9011"/>
      <c r="AP9011"/>
      <c r="AQ9011"/>
      <c r="AR9011"/>
      <c r="AS9011"/>
      <c r="AT9011"/>
      <c r="AU9011"/>
      <c r="AV9011"/>
    </row>
    <row r="9012" spans="41:48" x14ac:dyDescent="0.35">
      <c r="AO9012"/>
      <c r="AP9012"/>
      <c r="AQ9012"/>
      <c r="AR9012"/>
      <c r="AS9012"/>
      <c r="AT9012"/>
      <c r="AU9012"/>
      <c r="AV9012"/>
    </row>
    <row r="9013" spans="41:48" x14ac:dyDescent="0.35">
      <c r="AO9013"/>
      <c r="AP9013"/>
      <c r="AQ9013"/>
      <c r="AR9013"/>
      <c r="AS9013"/>
      <c r="AT9013"/>
      <c r="AU9013"/>
      <c r="AV9013"/>
    </row>
    <row r="9014" spans="41:48" x14ac:dyDescent="0.35">
      <c r="AO9014"/>
      <c r="AP9014"/>
      <c r="AQ9014"/>
      <c r="AR9014"/>
      <c r="AS9014"/>
      <c r="AT9014"/>
      <c r="AU9014"/>
      <c r="AV9014"/>
    </row>
    <row r="9015" spans="41:48" x14ac:dyDescent="0.35">
      <c r="AO9015"/>
      <c r="AP9015"/>
      <c r="AQ9015"/>
      <c r="AR9015"/>
      <c r="AS9015"/>
      <c r="AT9015"/>
      <c r="AU9015"/>
      <c r="AV9015"/>
    </row>
    <row r="9016" spans="41:48" x14ac:dyDescent="0.35">
      <c r="AO9016"/>
      <c r="AP9016"/>
      <c r="AQ9016"/>
      <c r="AR9016"/>
      <c r="AS9016"/>
      <c r="AT9016"/>
      <c r="AU9016"/>
      <c r="AV9016"/>
    </row>
    <row r="9017" spans="41:48" x14ac:dyDescent="0.35">
      <c r="AO9017"/>
      <c r="AP9017"/>
      <c r="AQ9017"/>
      <c r="AR9017"/>
      <c r="AS9017"/>
      <c r="AT9017"/>
      <c r="AU9017"/>
      <c r="AV9017"/>
    </row>
    <row r="9018" spans="41:48" x14ac:dyDescent="0.35">
      <c r="AO9018"/>
      <c r="AP9018"/>
      <c r="AQ9018"/>
      <c r="AR9018"/>
      <c r="AS9018"/>
      <c r="AT9018"/>
      <c r="AU9018"/>
      <c r="AV9018"/>
    </row>
    <row r="9019" spans="41:48" x14ac:dyDescent="0.35">
      <c r="AO9019"/>
      <c r="AP9019"/>
      <c r="AQ9019"/>
      <c r="AR9019"/>
      <c r="AS9019"/>
      <c r="AT9019"/>
      <c r="AU9019"/>
      <c r="AV9019"/>
    </row>
    <row r="9020" spans="41:48" x14ac:dyDescent="0.35">
      <c r="AO9020"/>
      <c r="AP9020"/>
      <c r="AQ9020"/>
      <c r="AR9020"/>
      <c r="AS9020"/>
      <c r="AT9020"/>
      <c r="AU9020"/>
      <c r="AV9020"/>
    </row>
    <row r="9021" spans="41:48" x14ac:dyDescent="0.35">
      <c r="AO9021"/>
      <c r="AP9021"/>
      <c r="AQ9021"/>
      <c r="AR9021"/>
      <c r="AS9021"/>
      <c r="AT9021"/>
      <c r="AU9021"/>
      <c r="AV9021"/>
    </row>
    <row r="9022" spans="41:48" x14ac:dyDescent="0.35">
      <c r="AO9022"/>
      <c r="AP9022"/>
      <c r="AQ9022"/>
      <c r="AR9022"/>
      <c r="AS9022"/>
      <c r="AT9022"/>
      <c r="AU9022"/>
      <c r="AV9022"/>
    </row>
    <row r="9023" spans="41:48" x14ac:dyDescent="0.35">
      <c r="AO9023"/>
      <c r="AP9023"/>
      <c r="AQ9023"/>
      <c r="AR9023"/>
      <c r="AS9023"/>
      <c r="AT9023"/>
      <c r="AU9023"/>
      <c r="AV9023"/>
    </row>
    <row r="9024" spans="41:48" x14ac:dyDescent="0.35">
      <c r="AO9024"/>
      <c r="AP9024"/>
      <c r="AQ9024"/>
      <c r="AR9024"/>
      <c r="AS9024"/>
      <c r="AT9024"/>
      <c r="AU9024"/>
      <c r="AV9024"/>
    </row>
    <row r="9025" spans="41:48" x14ac:dyDescent="0.35">
      <c r="AO9025"/>
      <c r="AP9025"/>
      <c r="AQ9025"/>
      <c r="AR9025"/>
      <c r="AS9025"/>
      <c r="AT9025"/>
      <c r="AU9025"/>
      <c r="AV9025"/>
    </row>
    <row r="9026" spans="41:48" x14ac:dyDescent="0.35">
      <c r="AO9026"/>
      <c r="AP9026"/>
      <c r="AQ9026"/>
      <c r="AR9026"/>
      <c r="AS9026"/>
      <c r="AT9026"/>
      <c r="AU9026"/>
      <c r="AV9026"/>
    </row>
    <row r="9027" spans="41:48" x14ac:dyDescent="0.35">
      <c r="AO9027"/>
      <c r="AP9027"/>
      <c r="AQ9027"/>
      <c r="AR9027"/>
      <c r="AS9027"/>
      <c r="AT9027"/>
      <c r="AU9027"/>
      <c r="AV9027"/>
    </row>
    <row r="9028" spans="41:48" x14ac:dyDescent="0.35">
      <c r="AO9028"/>
      <c r="AP9028"/>
      <c r="AQ9028"/>
      <c r="AR9028"/>
      <c r="AS9028"/>
      <c r="AT9028"/>
      <c r="AU9028"/>
      <c r="AV9028"/>
    </row>
    <row r="9029" spans="41:48" x14ac:dyDescent="0.35">
      <c r="AO9029"/>
      <c r="AP9029"/>
      <c r="AQ9029"/>
      <c r="AR9029"/>
      <c r="AS9029"/>
      <c r="AT9029"/>
      <c r="AU9029"/>
      <c r="AV9029"/>
    </row>
    <row r="9030" spans="41:48" x14ac:dyDescent="0.35">
      <c r="AO9030"/>
      <c r="AP9030"/>
      <c r="AQ9030"/>
      <c r="AR9030"/>
      <c r="AS9030"/>
      <c r="AT9030"/>
      <c r="AU9030"/>
      <c r="AV9030"/>
    </row>
    <row r="9031" spans="41:48" x14ac:dyDescent="0.35">
      <c r="AO9031"/>
      <c r="AP9031"/>
      <c r="AQ9031"/>
      <c r="AR9031"/>
      <c r="AS9031"/>
      <c r="AT9031"/>
      <c r="AU9031"/>
      <c r="AV9031"/>
    </row>
    <row r="9032" spans="41:48" x14ac:dyDescent="0.35">
      <c r="AO9032"/>
      <c r="AP9032"/>
      <c r="AQ9032"/>
      <c r="AR9032"/>
      <c r="AS9032"/>
      <c r="AT9032"/>
      <c r="AU9032"/>
      <c r="AV9032"/>
    </row>
    <row r="9033" spans="41:48" x14ac:dyDescent="0.35">
      <c r="AO9033"/>
      <c r="AP9033"/>
      <c r="AQ9033"/>
      <c r="AR9033"/>
      <c r="AS9033"/>
      <c r="AT9033"/>
      <c r="AU9033"/>
      <c r="AV9033"/>
    </row>
    <row r="9034" spans="41:48" x14ac:dyDescent="0.35">
      <c r="AO9034"/>
      <c r="AP9034"/>
      <c r="AQ9034"/>
      <c r="AR9034"/>
      <c r="AS9034"/>
      <c r="AT9034"/>
      <c r="AU9034"/>
      <c r="AV9034"/>
    </row>
    <row r="9035" spans="41:48" x14ac:dyDescent="0.35">
      <c r="AO9035"/>
      <c r="AP9035"/>
      <c r="AQ9035"/>
      <c r="AR9035"/>
      <c r="AS9035"/>
      <c r="AT9035"/>
      <c r="AU9035"/>
      <c r="AV9035"/>
    </row>
    <row r="9036" spans="41:48" x14ac:dyDescent="0.35">
      <c r="AO9036"/>
      <c r="AP9036"/>
      <c r="AQ9036"/>
      <c r="AR9036"/>
      <c r="AS9036"/>
      <c r="AT9036"/>
      <c r="AU9036"/>
      <c r="AV9036"/>
    </row>
    <row r="9037" spans="41:48" x14ac:dyDescent="0.35">
      <c r="AO9037"/>
      <c r="AP9037"/>
      <c r="AQ9037"/>
      <c r="AR9037"/>
      <c r="AS9037"/>
      <c r="AT9037"/>
      <c r="AU9037"/>
      <c r="AV9037"/>
    </row>
    <row r="9038" spans="41:48" x14ac:dyDescent="0.35">
      <c r="AO9038"/>
      <c r="AP9038"/>
      <c r="AQ9038"/>
      <c r="AR9038"/>
      <c r="AS9038"/>
      <c r="AT9038"/>
      <c r="AU9038"/>
      <c r="AV9038"/>
    </row>
    <row r="9039" spans="41:48" x14ac:dyDescent="0.35">
      <c r="AO9039"/>
      <c r="AP9039"/>
      <c r="AQ9039"/>
      <c r="AR9039"/>
      <c r="AS9039"/>
      <c r="AT9039"/>
      <c r="AU9039"/>
      <c r="AV9039"/>
    </row>
    <row r="9040" spans="41:48" x14ac:dyDescent="0.35">
      <c r="AO9040"/>
      <c r="AP9040"/>
      <c r="AQ9040"/>
      <c r="AR9040"/>
      <c r="AS9040"/>
      <c r="AT9040"/>
      <c r="AU9040"/>
      <c r="AV9040"/>
    </row>
    <row r="9041" spans="41:48" x14ac:dyDescent="0.35">
      <c r="AO9041"/>
      <c r="AP9041"/>
      <c r="AQ9041"/>
      <c r="AR9041"/>
      <c r="AS9041"/>
      <c r="AT9041"/>
      <c r="AU9041"/>
      <c r="AV9041"/>
    </row>
    <row r="9042" spans="41:48" x14ac:dyDescent="0.35">
      <c r="AO9042"/>
      <c r="AP9042"/>
      <c r="AQ9042"/>
      <c r="AR9042"/>
      <c r="AS9042"/>
      <c r="AT9042"/>
      <c r="AU9042"/>
      <c r="AV9042"/>
    </row>
    <row r="9043" spans="41:48" x14ac:dyDescent="0.35">
      <c r="AO9043"/>
      <c r="AP9043"/>
      <c r="AQ9043"/>
      <c r="AR9043"/>
      <c r="AS9043"/>
      <c r="AT9043"/>
      <c r="AU9043"/>
      <c r="AV9043"/>
    </row>
    <row r="9044" spans="41:48" x14ac:dyDescent="0.35">
      <c r="AO9044"/>
      <c r="AP9044"/>
      <c r="AQ9044"/>
      <c r="AR9044"/>
      <c r="AS9044"/>
      <c r="AT9044"/>
      <c r="AU9044"/>
      <c r="AV9044"/>
    </row>
    <row r="9045" spans="41:48" x14ac:dyDescent="0.35">
      <c r="AO9045"/>
      <c r="AP9045"/>
      <c r="AQ9045"/>
      <c r="AR9045"/>
      <c r="AS9045"/>
      <c r="AT9045"/>
      <c r="AU9045"/>
      <c r="AV9045"/>
    </row>
    <row r="9046" spans="41:48" x14ac:dyDescent="0.35">
      <c r="AO9046"/>
      <c r="AP9046"/>
      <c r="AQ9046"/>
      <c r="AR9046"/>
      <c r="AS9046"/>
      <c r="AT9046"/>
      <c r="AU9046"/>
      <c r="AV9046"/>
    </row>
    <row r="9047" spans="41:48" x14ac:dyDescent="0.35">
      <c r="AO9047"/>
      <c r="AP9047"/>
      <c r="AQ9047"/>
      <c r="AR9047"/>
      <c r="AS9047"/>
      <c r="AT9047"/>
      <c r="AU9047"/>
      <c r="AV9047"/>
    </row>
    <row r="9048" spans="41:48" x14ac:dyDescent="0.35">
      <c r="AO9048"/>
      <c r="AP9048"/>
      <c r="AQ9048"/>
      <c r="AR9048"/>
      <c r="AS9048"/>
      <c r="AT9048"/>
      <c r="AU9048"/>
      <c r="AV9048"/>
    </row>
    <row r="9049" spans="41:48" x14ac:dyDescent="0.35">
      <c r="AO9049"/>
      <c r="AP9049"/>
      <c r="AQ9049"/>
      <c r="AR9049"/>
      <c r="AS9049"/>
      <c r="AT9049"/>
      <c r="AU9049"/>
      <c r="AV9049"/>
    </row>
    <row r="9050" spans="41:48" x14ac:dyDescent="0.35">
      <c r="AO9050"/>
      <c r="AP9050"/>
      <c r="AQ9050"/>
      <c r="AR9050"/>
      <c r="AS9050"/>
      <c r="AT9050"/>
      <c r="AU9050"/>
      <c r="AV9050"/>
    </row>
    <row r="9051" spans="41:48" x14ac:dyDescent="0.35">
      <c r="AO9051"/>
      <c r="AP9051"/>
      <c r="AQ9051"/>
      <c r="AR9051"/>
      <c r="AS9051"/>
      <c r="AT9051"/>
      <c r="AU9051"/>
      <c r="AV9051"/>
    </row>
    <row r="9052" spans="41:48" x14ac:dyDescent="0.35">
      <c r="AO9052"/>
      <c r="AP9052"/>
      <c r="AQ9052"/>
      <c r="AR9052"/>
      <c r="AS9052"/>
      <c r="AT9052"/>
      <c r="AU9052"/>
      <c r="AV9052"/>
    </row>
    <row r="9053" spans="41:48" x14ac:dyDescent="0.35">
      <c r="AO9053"/>
      <c r="AP9053"/>
      <c r="AQ9053"/>
      <c r="AR9053"/>
      <c r="AS9053"/>
      <c r="AT9053"/>
      <c r="AU9053"/>
      <c r="AV9053"/>
    </row>
    <row r="9054" spans="41:48" x14ac:dyDescent="0.35">
      <c r="AO9054"/>
      <c r="AP9054"/>
      <c r="AQ9054"/>
      <c r="AR9054"/>
      <c r="AS9054"/>
      <c r="AT9054"/>
      <c r="AU9054"/>
      <c r="AV9054"/>
    </row>
    <row r="9055" spans="41:48" x14ac:dyDescent="0.35">
      <c r="AO9055"/>
      <c r="AP9055"/>
      <c r="AQ9055"/>
      <c r="AR9055"/>
      <c r="AS9055"/>
      <c r="AT9055"/>
      <c r="AU9055"/>
      <c r="AV9055"/>
    </row>
    <row r="9056" spans="41:48" x14ac:dyDescent="0.35">
      <c r="AO9056"/>
      <c r="AP9056"/>
      <c r="AQ9056"/>
      <c r="AR9056"/>
      <c r="AS9056"/>
      <c r="AT9056"/>
      <c r="AU9056"/>
      <c r="AV9056"/>
    </row>
    <row r="9057" spans="41:48" x14ac:dyDescent="0.35">
      <c r="AO9057"/>
      <c r="AP9057"/>
      <c r="AQ9057"/>
      <c r="AR9057"/>
      <c r="AS9057"/>
      <c r="AT9057"/>
      <c r="AU9057"/>
      <c r="AV9057"/>
    </row>
    <row r="9058" spans="41:48" x14ac:dyDescent="0.35">
      <c r="AO9058"/>
      <c r="AP9058"/>
      <c r="AQ9058"/>
      <c r="AR9058"/>
      <c r="AS9058"/>
      <c r="AT9058"/>
      <c r="AU9058"/>
      <c r="AV9058"/>
    </row>
    <row r="9059" spans="41:48" x14ac:dyDescent="0.35">
      <c r="AO9059"/>
      <c r="AP9059"/>
      <c r="AQ9059"/>
      <c r="AR9059"/>
      <c r="AS9059"/>
      <c r="AT9059"/>
      <c r="AU9059"/>
      <c r="AV9059"/>
    </row>
    <row r="9060" spans="41:48" x14ac:dyDescent="0.35">
      <c r="AO9060"/>
      <c r="AP9060"/>
      <c r="AQ9060"/>
      <c r="AR9060"/>
      <c r="AS9060"/>
      <c r="AT9060"/>
      <c r="AU9060"/>
      <c r="AV9060"/>
    </row>
    <row r="9061" spans="41:48" x14ac:dyDescent="0.35">
      <c r="AO9061"/>
      <c r="AP9061"/>
      <c r="AQ9061"/>
      <c r="AR9061"/>
      <c r="AS9061"/>
      <c r="AT9061"/>
      <c r="AU9061"/>
      <c r="AV9061"/>
    </row>
    <row r="9062" spans="41:48" x14ac:dyDescent="0.35">
      <c r="AO9062"/>
      <c r="AP9062"/>
      <c r="AQ9062"/>
      <c r="AR9062"/>
      <c r="AS9062"/>
      <c r="AT9062"/>
      <c r="AU9062"/>
      <c r="AV9062"/>
    </row>
    <row r="9063" spans="41:48" x14ac:dyDescent="0.35">
      <c r="AO9063"/>
      <c r="AP9063"/>
      <c r="AQ9063"/>
      <c r="AR9063"/>
      <c r="AS9063"/>
      <c r="AT9063"/>
      <c r="AU9063"/>
      <c r="AV9063"/>
    </row>
    <row r="9064" spans="41:48" x14ac:dyDescent="0.35">
      <c r="AO9064"/>
      <c r="AP9064"/>
      <c r="AQ9064"/>
      <c r="AR9064"/>
      <c r="AS9064"/>
      <c r="AT9064"/>
      <c r="AU9064"/>
      <c r="AV9064"/>
    </row>
    <row r="9065" spans="41:48" x14ac:dyDescent="0.35">
      <c r="AO9065"/>
      <c r="AP9065"/>
      <c r="AQ9065"/>
      <c r="AR9065"/>
      <c r="AS9065"/>
      <c r="AT9065"/>
      <c r="AU9065"/>
      <c r="AV9065"/>
    </row>
    <row r="9066" spans="41:48" x14ac:dyDescent="0.35">
      <c r="AO9066"/>
      <c r="AP9066"/>
      <c r="AQ9066"/>
      <c r="AR9066"/>
      <c r="AS9066"/>
      <c r="AT9066"/>
      <c r="AU9066"/>
      <c r="AV9066"/>
    </row>
    <row r="9067" spans="41:48" x14ac:dyDescent="0.35">
      <c r="AO9067"/>
      <c r="AP9067"/>
      <c r="AQ9067"/>
      <c r="AR9067"/>
      <c r="AS9067"/>
      <c r="AT9067"/>
      <c r="AU9067"/>
      <c r="AV9067"/>
    </row>
    <row r="9068" spans="41:48" x14ac:dyDescent="0.35">
      <c r="AO9068"/>
      <c r="AP9068"/>
      <c r="AQ9068"/>
      <c r="AR9068"/>
      <c r="AS9068"/>
      <c r="AT9068"/>
      <c r="AU9068"/>
      <c r="AV9068"/>
    </row>
    <row r="9069" spans="41:48" x14ac:dyDescent="0.35">
      <c r="AO9069"/>
      <c r="AP9069"/>
      <c r="AQ9069"/>
      <c r="AR9069"/>
      <c r="AS9069"/>
      <c r="AT9069"/>
      <c r="AU9069"/>
      <c r="AV9069"/>
    </row>
    <row r="9070" spans="41:48" x14ac:dyDescent="0.35">
      <c r="AO9070"/>
      <c r="AP9070"/>
      <c r="AQ9070"/>
      <c r="AR9070"/>
      <c r="AS9070"/>
      <c r="AT9070"/>
      <c r="AU9070"/>
      <c r="AV9070"/>
    </row>
    <row r="9071" spans="41:48" x14ac:dyDescent="0.35">
      <c r="AO9071"/>
      <c r="AP9071"/>
      <c r="AQ9071"/>
      <c r="AR9071"/>
      <c r="AS9071"/>
      <c r="AT9071"/>
      <c r="AU9071"/>
      <c r="AV9071"/>
    </row>
    <row r="9072" spans="41:48" x14ac:dyDescent="0.35">
      <c r="AO9072"/>
      <c r="AP9072"/>
      <c r="AQ9072"/>
      <c r="AR9072"/>
      <c r="AS9072"/>
      <c r="AT9072"/>
      <c r="AU9072"/>
      <c r="AV9072"/>
    </row>
    <row r="9073" spans="41:48" x14ac:dyDescent="0.35">
      <c r="AO9073"/>
      <c r="AP9073"/>
      <c r="AQ9073"/>
      <c r="AR9073"/>
      <c r="AS9073"/>
      <c r="AT9073"/>
      <c r="AU9073"/>
      <c r="AV9073"/>
    </row>
    <row r="9074" spans="41:48" x14ac:dyDescent="0.35">
      <c r="AO9074"/>
      <c r="AP9074"/>
      <c r="AQ9074"/>
      <c r="AR9074"/>
      <c r="AS9074"/>
      <c r="AT9074"/>
      <c r="AU9074"/>
      <c r="AV9074"/>
    </row>
    <row r="9075" spans="41:48" x14ac:dyDescent="0.35">
      <c r="AO9075"/>
      <c r="AP9075"/>
      <c r="AQ9075"/>
      <c r="AR9075"/>
      <c r="AS9075"/>
      <c r="AT9075"/>
      <c r="AU9075"/>
      <c r="AV9075"/>
    </row>
    <row r="9076" spans="41:48" x14ac:dyDescent="0.35">
      <c r="AO9076"/>
      <c r="AP9076"/>
      <c r="AQ9076"/>
      <c r="AR9076"/>
      <c r="AS9076"/>
      <c r="AT9076"/>
      <c r="AU9076"/>
      <c r="AV9076"/>
    </row>
    <row r="9077" spans="41:48" x14ac:dyDescent="0.35">
      <c r="AO9077"/>
      <c r="AP9077"/>
      <c r="AQ9077"/>
      <c r="AR9077"/>
      <c r="AS9077"/>
      <c r="AT9077"/>
      <c r="AU9077"/>
      <c r="AV9077"/>
    </row>
    <row r="9078" spans="41:48" x14ac:dyDescent="0.35">
      <c r="AO9078"/>
      <c r="AP9078"/>
      <c r="AQ9078"/>
      <c r="AR9078"/>
      <c r="AS9078"/>
      <c r="AT9078"/>
      <c r="AU9078"/>
      <c r="AV9078"/>
    </row>
    <row r="9079" spans="41:48" x14ac:dyDescent="0.35">
      <c r="AO9079"/>
      <c r="AP9079"/>
      <c r="AQ9079"/>
      <c r="AR9079"/>
      <c r="AS9079"/>
      <c r="AT9079"/>
      <c r="AU9079"/>
      <c r="AV9079"/>
    </row>
    <row r="9080" spans="41:48" x14ac:dyDescent="0.35">
      <c r="AO9080"/>
      <c r="AP9080"/>
      <c r="AQ9080"/>
      <c r="AR9080"/>
      <c r="AS9080"/>
      <c r="AT9080"/>
      <c r="AU9080"/>
      <c r="AV9080"/>
    </row>
    <row r="9081" spans="41:48" x14ac:dyDescent="0.35">
      <c r="AO9081"/>
      <c r="AP9081"/>
      <c r="AQ9081"/>
      <c r="AR9081"/>
      <c r="AS9081"/>
      <c r="AT9081"/>
      <c r="AU9081"/>
      <c r="AV9081"/>
    </row>
    <row r="9082" spans="41:48" x14ac:dyDescent="0.35">
      <c r="AO9082"/>
      <c r="AP9082"/>
      <c r="AQ9082"/>
      <c r="AR9082"/>
      <c r="AS9082"/>
      <c r="AT9082"/>
      <c r="AU9082"/>
      <c r="AV9082"/>
    </row>
    <row r="9083" spans="41:48" x14ac:dyDescent="0.35">
      <c r="AO9083"/>
      <c r="AP9083"/>
      <c r="AQ9083"/>
      <c r="AR9083"/>
      <c r="AS9083"/>
      <c r="AT9083"/>
      <c r="AU9083"/>
      <c r="AV9083"/>
    </row>
    <row r="9084" spans="41:48" x14ac:dyDescent="0.35">
      <c r="AO9084"/>
      <c r="AP9084"/>
      <c r="AQ9084"/>
      <c r="AR9084"/>
      <c r="AS9084"/>
      <c r="AT9084"/>
      <c r="AU9084"/>
      <c r="AV9084"/>
    </row>
    <row r="9085" spans="41:48" x14ac:dyDescent="0.35">
      <c r="AO9085"/>
      <c r="AP9085"/>
      <c r="AQ9085"/>
      <c r="AR9085"/>
      <c r="AS9085"/>
      <c r="AT9085"/>
      <c r="AU9085"/>
      <c r="AV9085"/>
    </row>
    <row r="9086" spans="41:48" x14ac:dyDescent="0.35">
      <c r="AO9086"/>
      <c r="AP9086"/>
      <c r="AQ9086"/>
      <c r="AR9086"/>
      <c r="AS9086"/>
      <c r="AT9086"/>
      <c r="AU9086"/>
      <c r="AV9086"/>
    </row>
    <row r="9087" spans="41:48" x14ac:dyDescent="0.35">
      <c r="AO9087"/>
      <c r="AP9087"/>
      <c r="AQ9087"/>
      <c r="AR9087"/>
      <c r="AS9087"/>
      <c r="AT9087"/>
      <c r="AU9087"/>
      <c r="AV9087"/>
    </row>
    <row r="9088" spans="41:48" x14ac:dyDescent="0.35">
      <c r="AO9088"/>
      <c r="AP9088"/>
      <c r="AQ9088"/>
      <c r="AR9088"/>
      <c r="AS9088"/>
      <c r="AT9088"/>
      <c r="AU9088"/>
      <c r="AV9088"/>
    </row>
    <row r="9089" spans="41:48" x14ac:dyDescent="0.35">
      <c r="AO9089"/>
      <c r="AP9089"/>
      <c r="AQ9089"/>
      <c r="AR9089"/>
      <c r="AS9089"/>
      <c r="AT9089"/>
      <c r="AU9089"/>
      <c r="AV9089"/>
    </row>
    <row r="9090" spans="41:48" x14ac:dyDescent="0.35">
      <c r="AO9090"/>
      <c r="AP9090"/>
      <c r="AQ9090"/>
      <c r="AR9090"/>
      <c r="AS9090"/>
      <c r="AT9090"/>
      <c r="AU9090"/>
      <c r="AV9090"/>
    </row>
    <row r="9091" spans="41:48" x14ac:dyDescent="0.35">
      <c r="AO9091"/>
      <c r="AP9091"/>
      <c r="AQ9091"/>
      <c r="AR9091"/>
      <c r="AS9091"/>
      <c r="AT9091"/>
      <c r="AU9091"/>
      <c r="AV9091"/>
    </row>
    <row r="9092" spans="41:48" x14ac:dyDescent="0.35">
      <c r="AO9092"/>
      <c r="AP9092"/>
      <c r="AQ9092"/>
      <c r="AR9092"/>
      <c r="AS9092"/>
      <c r="AT9092"/>
      <c r="AU9092"/>
      <c r="AV9092"/>
    </row>
    <row r="9093" spans="41:48" x14ac:dyDescent="0.35">
      <c r="AO9093"/>
      <c r="AP9093"/>
      <c r="AQ9093"/>
      <c r="AR9093"/>
      <c r="AS9093"/>
      <c r="AT9093"/>
      <c r="AU9093"/>
      <c r="AV9093"/>
    </row>
    <row r="9094" spans="41:48" x14ac:dyDescent="0.35">
      <c r="AO9094"/>
      <c r="AP9094"/>
      <c r="AQ9094"/>
      <c r="AR9094"/>
      <c r="AS9094"/>
      <c r="AT9094"/>
      <c r="AU9094"/>
      <c r="AV9094"/>
    </row>
    <row r="9095" spans="41:48" x14ac:dyDescent="0.35">
      <c r="AO9095"/>
      <c r="AP9095"/>
      <c r="AQ9095"/>
      <c r="AR9095"/>
      <c r="AS9095"/>
      <c r="AT9095"/>
      <c r="AU9095"/>
      <c r="AV9095"/>
    </row>
    <row r="9096" spans="41:48" x14ac:dyDescent="0.35">
      <c r="AO9096"/>
      <c r="AP9096"/>
      <c r="AQ9096"/>
      <c r="AR9096"/>
      <c r="AS9096"/>
      <c r="AT9096"/>
      <c r="AU9096"/>
      <c r="AV9096"/>
    </row>
    <row r="9097" spans="41:48" x14ac:dyDescent="0.35">
      <c r="AO9097"/>
      <c r="AP9097"/>
      <c r="AQ9097"/>
      <c r="AR9097"/>
      <c r="AS9097"/>
      <c r="AT9097"/>
      <c r="AU9097"/>
      <c r="AV9097"/>
    </row>
    <row r="9098" spans="41:48" x14ac:dyDescent="0.35">
      <c r="AO9098"/>
      <c r="AP9098"/>
      <c r="AQ9098"/>
      <c r="AR9098"/>
      <c r="AS9098"/>
      <c r="AT9098"/>
      <c r="AU9098"/>
      <c r="AV9098"/>
    </row>
    <row r="9099" spans="41:48" x14ac:dyDescent="0.35">
      <c r="AO9099"/>
      <c r="AP9099"/>
      <c r="AQ9099"/>
      <c r="AR9099"/>
      <c r="AS9099"/>
      <c r="AT9099"/>
      <c r="AU9099"/>
      <c r="AV9099"/>
    </row>
    <row r="9100" spans="41:48" x14ac:dyDescent="0.35">
      <c r="AO9100"/>
      <c r="AP9100"/>
      <c r="AQ9100"/>
      <c r="AR9100"/>
      <c r="AS9100"/>
      <c r="AT9100"/>
      <c r="AU9100"/>
      <c r="AV9100"/>
    </row>
    <row r="9101" spans="41:48" x14ac:dyDescent="0.35">
      <c r="AO9101"/>
      <c r="AP9101"/>
      <c r="AQ9101"/>
      <c r="AR9101"/>
      <c r="AS9101"/>
      <c r="AT9101"/>
      <c r="AU9101"/>
      <c r="AV9101"/>
    </row>
    <row r="9102" spans="41:48" x14ac:dyDescent="0.35">
      <c r="AO9102"/>
      <c r="AP9102"/>
      <c r="AQ9102"/>
      <c r="AR9102"/>
      <c r="AS9102"/>
      <c r="AT9102"/>
      <c r="AU9102"/>
      <c r="AV9102"/>
    </row>
    <row r="9103" spans="41:48" x14ac:dyDescent="0.35">
      <c r="AO9103"/>
      <c r="AP9103"/>
      <c r="AQ9103"/>
      <c r="AR9103"/>
      <c r="AS9103"/>
      <c r="AT9103"/>
      <c r="AU9103"/>
      <c r="AV9103"/>
    </row>
    <row r="9104" spans="41:48" x14ac:dyDescent="0.35">
      <c r="AO9104"/>
      <c r="AP9104"/>
      <c r="AQ9104"/>
      <c r="AR9104"/>
      <c r="AS9104"/>
      <c r="AT9104"/>
      <c r="AU9104"/>
      <c r="AV9104"/>
    </row>
    <row r="9105" spans="41:48" x14ac:dyDescent="0.35">
      <c r="AO9105"/>
      <c r="AP9105"/>
      <c r="AQ9105"/>
      <c r="AR9105"/>
      <c r="AS9105"/>
      <c r="AT9105"/>
      <c r="AU9105"/>
      <c r="AV9105"/>
    </row>
    <row r="9106" spans="41:48" x14ac:dyDescent="0.35">
      <c r="AO9106"/>
      <c r="AP9106"/>
      <c r="AQ9106"/>
      <c r="AR9106"/>
      <c r="AS9106"/>
      <c r="AT9106"/>
      <c r="AU9106"/>
      <c r="AV9106"/>
    </row>
    <row r="9107" spans="41:48" x14ac:dyDescent="0.35">
      <c r="AO9107"/>
      <c r="AP9107"/>
      <c r="AQ9107"/>
      <c r="AR9107"/>
      <c r="AS9107"/>
      <c r="AT9107"/>
      <c r="AU9107"/>
      <c r="AV9107"/>
    </row>
    <row r="9108" spans="41:48" x14ac:dyDescent="0.35">
      <c r="AO9108"/>
      <c r="AP9108"/>
      <c r="AQ9108"/>
      <c r="AR9108"/>
      <c r="AS9108"/>
      <c r="AT9108"/>
      <c r="AU9108"/>
      <c r="AV9108"/>
    </row>
    <row r="9109" spans="41:48" x14ac:dyDescent="0.35">
      <c r="AO9109"/>
      <c r="AP9109"/>
      <c r="AQ9109"/>
      <c r="AR9109"/>
      <c r="AS9109"/>
      <c r="AT9109"/>
      <c r="AU9109"/>
      <c r="AV9109"/>
    </row>
    <row r="9110" spans="41:48" x14ac:dyDescent="0.35">
      <c r="AO9110"/>
      <c r="AP9110"/>
      <c r="AQ9110"/>
      <c r="AR9110"/>
      <c r="AS9110"/>
      <c r="AT9110"/>
      <c r="AU9110"/>
      <c r="AV9110"/>
    </row>
    <row r="9111" spans="41:48" x14ac:dyDescent="0.35">
      <c r="AO9111"/>
      <c r="AP9111"/>
      <c r="AQ9111"/>
      <c r="AR9111"/>
      <c r="AS9111"/>
      <c r="AT9111"/>
      <c r="AU9111"/>
      <c r="AV9111"/>
    </row>
    <row r="9112" spans="41:48" x14ac:dyDescent="0.35">
      <c r="AO9112"/>
      <c r="AP9112"/>
      <c r="AQ9112"/>
      <c r="AR9112"/>
      <c r="AS9112"/>
      <c r="AT9112"/>
      <c r="AU9112"/>
      <c r="AV9112"/>
    </row>
    <row r="9113" spans="41:48" x14ac:dyDescent="0.35">
      <c r="AO9113"/>
      <c r="AP9113"/>
      <c r="AQ9113"/>
      <c r="AR9113"/>
      <c r="AS9113"/>
      <c r="AT9113"/>
      <c r="AU9113"/>
      <c r="AV9113"/>
    </row>
    <row r="9114" spans="41:48" x14ac:dyDescent="0.35">
      <c r="AO9114"/>
      <c r="AP9114"/>
      <c r="AQ9114"/>
      <c r="AR9114"/>
      <c r="AS9114"/>
      <c r="AT9114"/>
      <c r="AU9114"/>
      <c r="AV9114"/>
    </row>
    <row r="9115" spans="41:48" x14ac:dyDescent="0.35">
      <c r="AO9115"/>
      <c r="AP9115"/>
      <c r="AQ9115"/>
      <c r="AR9115"/>
      <c r="AS9115"/>
      <c r="AT9115"/>
      <c r="AU9115"/>
      <c r="AV9115"/>
    </row>
    <row r="9116" spans="41:48" x14ac:dyDescent="0.35">
      <c r="AO9116"/>
      <c r="AP9116"/>
      <c r="AQ9116"/>
      <c r="AR9116"/>
      <c r="AS9116"/>
      <c r="AT9116"/>
      <c r="AU9116"/>
      <c r="AV9116"/>
    </row>
    <row r="9117" spans="41:48" x14ac:dyDescent="0.35">
      <c r="AO9117"/>
      <c r="AP9117"/>
      <c r="AQ9117"/>
      <c r="AR9117"/>
      <c r="AS9117"/>
      <c r="AT9117"/>
      <c r="AU9117"/>
      <c r="AV9117"/>
    </row>
    <row r="9118" spans="41:48" x14ac:dyDescent="0.35">
      <c r="AO9118"/>
      <c r="AP9118"/>
      <c r="AQ9118"/>
      <c r="AR9118"/>
      <c r="AS9118"/>
      <c r="AT9118"/>
      <c r="AU9118"/>
      <c r="AV9118"/>
    </row>
    <row r="9119" spans="41:48" x14ac:dyDescent="0.35">
      <c r="AO9119"/>
      <c r="AP9119"/>
      <c r="AQ9119"/>
      <c r="AR9119"/>
      <c r="AS9119"/>
      <c r="AT9119"/>
      <c r="AU9119"/>
      <c r="AV9119"/>
    </row>
    <row r="9120" spans="41:48" x14ac:dyDescent="0.35">
      <c r="AO9120"/>
      <c r="AP9120"/>
      <c r="AQ9120"/>
      <c r="AR9120"/>
      <c r="AS9120"/>
      <c r="AT9120"/>
      <c r="AU9120"/>
      <c r="AV9120"/>
    </row>
    <row r="9121" spans="41:48" x14ac:dyDescent="0.35">
      <c r="AO9121"/>
      <c r="AP9121"/>
      <c r="AQ9121"/>
      <c r="AR9121"/>
      <c r="AS9121"/>
      <c r="AT9121"/>
      <c r="AU9121"/>
      <c r="AV9121"/>
    </row>
    <row r="9122" spans="41:48" x14ac:dyDescent="0.35">
      <c r="AO9122"/>
      <c r="AP9122"/>
      <c r="AQ9122"/>
      <c r="AR9122"/>
      <c r="AS9122"/>
      <c r="AT9122"/>
      <c r="AU9122"/>
      <c r="AV9122"/>
    </row>
    <row r="9123" spans="41:48" x14ac:dyDescent="0.35">
      <c r="AO9123"/>
      <c r="AP9123"/>
      <c r="AQ9123"/>
      <c r="AR9123"/>
      <c r="AS9123"/>
      <c r="AT9123"/>
      <c r="AU9123"/>
      <c r="AV9123"/>
    </row>
    <row r="9124" spans="41:48" x14ac:dyDescent="0.35">
      <c r="AO9124"/>
      <c r="AP9124"/>
      <c r="AQ9124"/>
      <c r="AR9124"/>
      <c r="AS9124"/>
      <c r="AT9124"/>
      <c r="AU9124"/>
      <c r="AV9124"/>
    </row>
    <row r="9125" spans="41:48" x14ac:dyDescent="0.35">
      <c r="AO9125"/>
      <c r="AP9125"/>
      <c r="AQ9125"/>
      <c r="AR9125"/>
      <c r="AS9125"/>
      <c r="AT9125"/>
      <c r="AU9125"/>
      <c r="AV9125"/>
    </row>
    <row r="9126" spans="41:48" x14ac:dyDescent="0.35">
      <c r="AO9126"/>
      <c r="AP9126"/>
      <c r="AQ9126"/>
      <c r="AR9126"/>
      <c r="AS9126"/>
      <c r="AT9126"/>
      <c r="AU9126"/>
      <c r="AV9126"/>
    </row>
    <row r="9127" spans="41:48" x14ac:dyDescent="0.35">
      <c r="AO9127"/>
      <c r="AP9127"/>
      <c r="AQ9127"/>
      <c r="AR9127"/>
      <c r="AS9127"/>
      <c r="AT9127"/>
      <c r="AU9127"/>
      <c r="AV9127"/>
    </row>
    <row r="9128" spans="41:48" x14ac:dyDescent="0.35">
      <c r="AO9128"/>
      <c r="AP9128"/>
      <c r="AQ9128"/>
      <c r="AR9128"/>
      <c r="AS9128"/>
      <c r="AT9128"/>
      <c r="AU9128"/>
      <c r="AV9128"/>
    </row>
    <row r="9129" spans="41:48" x14ac:dyDescent="0.35">
      <c r="AO9129"/>
      <c r="AP9129"/>
      <c r="AQ9129"/>
      <c r="AR9129"/>
      <c r="AS9129"/>
      <c r="AT9129"/>
      <c r="AU9129"/>
      <c r="AV9129"/>
    </row>
    <row r="9130" spans="41:48" x14ac:dyDescent="0.35">
      <c r="AO9130"/>
      <c r="AP9130"/>
      <c r="AQ9130"/>
      <c r="AR9130"/>
      <c r="AS9130"/>
      <c r="AT9130"/>
      <c r="AU9130"/>
      <c r="AV9130"/>
    </row>
    <row r="9131" spans="41:48" x14ac:dyDescent="0.35">
      <c r="AO9131"/>
      <c r="AP9131"/>
      <c r="AQ9131"/>
      <c r="AR9131"/>
      <c r="AS9131"/>
      <c r="AT9131"/>
      <c r="AU9131"/>
      <c r="AV9131"/>
    </row>
    <row r="9132" spans="41:48" x14ac:dyDescent="0.35">
      <c r="AO9132"/>
      <c r="AP9132"/>
      <c r="AQ9132"/>
      <c r="AR9132"/>
      <c r="AS9132"/>
      <c r="AT9132"/>
      <c r="AU9132"/>
      <c r="AV9132"/>
    </row>
    <row r="9133" spans="41:48" x14ac:dyDescent="0.35">
      <c r="AO9133"/>
      <c r="AP9133"/>
      <c r="AQ9133"/>
      <c r="AR9133"/>
      <c r="AS9133"/>
      <c r="AT9133"/>
      <c r="AU9133"/>
      <c r="AV9133"/>
    </row>
    <row r="9134" spans="41:48" x14ac:dyDescent="0.35">
      <c r="AO9134"/>
      <c r="AP9134"/>
      <c r="AQ9134"/>
      <c r="AR9134"/>
      <c r="AS9134"/>
      <c r="AT9134"/>
      <c r="AU9134"/>
      <c r="AV9134"/>
    </row>
    <row r="9135" spans="41:48" x14ac:dyDescent="0.35">
      <c r="AO9135"/>
      <c r="AP9135"/>
      <c r="AQ9135"/>
      <c r="AR9135"/>
      <c r="AS9135"/>
      <c r="AT9135"/>
      <c r="AU9135"/>
      <c r="AV9135"/>
    </row>
    <row r="9136" spans="41:48" x14ac:dyDescent="0.35">
      <c r="AO9136"/>
      <c r="AP9136"/>
      <c r="AQ9136"/>
      <c r="AR9136"/>
      <c r="AS9136"/>
      <c r="AT9136"/>
      <c r="AU9136"/>
      <c r="AV9136"/>
    </row>
    <row r="9137" spans="41:48" x14ac:dyDescent="0.35">
      <c r="AO9137"/>
      <c r="AP9137"/>
      <c r="AQ9137"/>
      <c r="AR9137"/>
      <c r="AS9137"/>
      <c r="AT9137"/>
      <c r="AU9137"/>
      <c r="AV9137"/>
    </row>
    <row r="9138" spans="41:48" x14ac:dyDescent="0.35">
      <c r="AO9138"/>
      <c r="AP9138"/>
      <c r="AQ9138"/>
      <c r="AR9138"/>
      <c r="AS9138"/>
      <c r="AT9138"/>
      <c r="AU9138"/>
      <c r="AV9138"/>
    </row>
    <row r="9139" spans="41:48" x14ac:dyDescent="0.35">
      <c r="AO9139"/>
      <c r="AP9139"/>
      <c r="AQ9139"/>
      <c r="AR9139"/>
      <c r="AS9139"/>
      <c r="AT9139"/>
      <c r="AU9139"/>
      <c r="AV9139"/>
    </row>
    <row r="9140" spans="41:48" x14ac:dyDescent="0.35">
      <c r="AO9140"/>
      <c r="AP9140"/>
      <c r="AQ9140"/>
      <c r="AR9140"/>
      <c r="AS9140"/>
      <c r="AT9140"/>
      <c r="AU9140"/>
      <c r="AV9140"/>
    </row>
    <row r="9141" spans="41:48" x14ac:dyDescent="0.35">
      <c r="AO9141"/>
      <c r="AP9141"/>
      <c r="AQ9141"/>
      <c r="AR9141"/>
      <c r="AS9141"/>
      <c r="AT9141"/>
      <c r="AU9141"/>
      <c r="AV9141"/>
    </row>
    <row r="9142" spans="41:48" x14ac:dyDescent="0.35">
      <c r="AO9142"/>
      <c r="AP9142"/>
      <c r="AQ9142"/>
      <c r="AR9142"/>
      <c r="AS9142"/>
      <c r="AT9142"/>
      <c r="AU9142"/>
      <c r="AV9142"/>
    </row>
    <row r="9143" spans="41:48" x14ac:dyDescent="0.35">
      <c r="AO9143"/>
      <c r="AP9143"/>
      <c r="AQ9143"/>
      <c r="AR9143"/>
      <c r="AS9143"/>
      <c r="AT9143"/>
      <c r="AU9143"/>
      <c r="AV9143"/>
    </row>
    <row r="9144" spans="41:48" x14ac:dyDescent="0.35">
      <c r="AO9144"/>
      <c r="AP9144"/>
      <c r="AQ9144"/>
      <c r="AR9144"/>
      <c r="AS9144"/>
      <c r="AT9144"/>
      <c r="AU9144"/>
      <c r="AV9144"/>
    </row>
    <row r="9145" spans="41:48" x14ac:dyDescent="0.35">
      <c r="AO9145"/>
      <c r="AP9145"/>
      <c r="AQ9145"/>
      <c r="AR9145"/>
      <c r="AS9145"/>
      <c r="AT9145"/>
      <c r="AU9145"/>
      <c r="AV9145"/>
    </row>
    <row r="9146" spans="41:48" x14ac:dyDescent="0.35">
      <c r="AO9146"/>
      <c r="AP9146"/>
      <c r="AQ9146"/>
      <c r="AR9146"/>
      <c r="AS9146"/>
      <c r="AT9146"/>
      <c r="AU9146"/>
      <c r="AV9146"/>
    </row>
    <row r="9147" spans="41:48" x14ac:dyDescent="0.35">
      <c r="AO9147"/>
      <c r="AP9147"/>
      <c r="AQ9147"/>
      <c r="AR9147"/>
      <c r="AS9147"/>
      <c r="AT9147"/>
      <c r="AU9147"/>
      <c r="AV9147"/>
    </row>
    <row r="9148" spans="41:48" x14ac:dyDescent="0.35">
      <c r="AO9148"/>
      <c r="AP9148"/>
      <c r="AQ9148"/>
      <c r="AR9148"/>
      <c r="AS9148"/>
      <c r="AT9148"/>
      <c r="AU9148"/>
      <c r="AV9148"/>
    </row>
    <row r="9149" spans="41:48" x14ac:dyDescent="0.35">
      <c r="AO9149"/>
      <c r="AP9149"/>
      <c r="AQ9149"/>
      <c r="AR9149"/>
      <c r="AS9149"/>
      <c r="AT9149"/>
      <c r="AU9149"/>
      <c r="AV9149"/>
    </row>
    <row r="9150" spans="41:48" x14ac:dyDescent="0.35">
      <c r="AO9150"/>
      <c r="AP9150"/>
      <c r="AQ9150"/>
      <c r="AR9150"/>
      <c r="AS9150"/>
      <c r="AT9150"/>
      <c r="AU9150"/>
      <c r="AV9150"/>
    </row>
    <row r="9151" spans="41:48" x14ac:dyDescent="0.35">
      <c r="AO9151"/>
      <c r="AP9151"/>
      <c r="AQ9151"/>
      <c r="AR9151"/>
      <c r="AS9151"/>
      <c r="AT9151"/>
      <c r="AU9151"/>
      <c r="AV9151"/>
    </row>
    <row r="9152" spans="41:48" x14ac:dyDescent="0.35">
      <c r="AO9152"/>
      <c r="AP9152"/>
      <c r="AQ9152"/>
      <c r="AR9152"/>
      <c r="AS9152"/>
      <c r="AT9152"/>
      <c r="AU9152"/>
      <c r="AV9152"/>
    </row>
    <row r="9153" spans="41:48" x14ac:dyDescent="0.35">
      <c r="AO9153"/>
      <c r="AP9153"/>
      <c r="AQ9153"/>
      <c r="AR9153"/>
      <c r="AS9153"/>
      <c r="AT9153"/>
      <c r="AU9153"/>
      <c r="AV9153"/>
    </row>
    <row r="9154" spans="41:48" x14ac:dyDescent="0.35">
      <c r="AO9154"/>
      <c r="AP9154"/>
      <c r="AQ9154"/>
      <c r="AR9154"/>
      <c r="AS9154"/>
      <c r="AT9154"/>
      <c r="AU9154"/>
      <c r="AV9154"/>
    </row>
    <row r="9155" spans="41:48" x14ac:dyDescent="0.35">
      <c r="AO9155"/>
      <c r="AP9155"/>
      <c r="AQ9155"/>
      <c r="AR9155"/>
      <c r="AS9155"/>
      <c r="AT9155"/>
      <c r="AU9155"/>
      <c r="AV9155"/>
    </row>
    <row r="9156" spans="41:48" x14ac:dyDescent="0.35">
      <c r="AO9156"/>
      <c r="AP9156"/>
      <c r="AQ9156"/>
      <c r="AR9156"/>
      <c r="AS9156"/>
      <c r="AT9156"/>
      <c r="AU9156"/>
      <c r="AV9156"/>
    </row>
    <row r="9157" spans="41:48" x14ac:dyDescent="0.35">
      <c r="AO9157"/>
      <c r="AP9157"/>
      <c r="AQ9157"/>
      <c r="AR9157"/>
      <c r="AS9157"/>
      <c r="AT9157"/>
      <c r="AU9157"/>
      <c r="AV9157"/>
    </row>
    <row r="9158" spans="41:48" x14ac:dyDescent="0.35">
      <c r="AO9158"/>
      <c r="AP9158"/>
      <c r="AQ9158"/>
      <c r="AR9158"/>
      <c r="AS9158"/>
      <c r="AT9158"/>
      <c r="AU9158"/>
      <c r="AV9158"/>
    </row>
    <row r="9159" spans="41:48" x14ac:dyDescent="0.35">
      <c r="AO9159"/>
      <c r="AP9159"/>
      <c r="AQ9159"/>
      <c r="AR9159"/>
      <c r="AS9159"/>
      <c r="AT9159"/>
      <c r="AU9159"/>
      <c r="AV9159"/>
    </row>
    <row r="9160" spans="41:48" x14ac:dyDescent="0.35">
      <c r="AO9160"/>
      <c r="AP9160"/>
      <c r="AQ9160"/>
      <c r="AR9160"/>
      <c r="AS9160"/>
      <c r="AT9160"/>
      <c r="AU9160"/>
      <c r="AV9160"/>
    </row>
    <row r="9161" spans="41:48" x14ac:dyDescent="0.35">
      <c r="AO9161"/>
      <c r="AP9161"/>
      <c r="AQ9161"/>
      <c r="AR9161"/>
      <c r="AS9161"/>
      <c r="AT9161"/>
      <c r="AU9161"/>
      <c r="AV9161"/>
    </row>
    <row r="9162" spans="41:48" x14ac:dyDescent="0.35">
      <c r="AO9162"/>
      <c r="AP9162"/>
      <c r="AQ9162"/>
      <c r="AR9162"/>
      <c r="AS9162"/>
      <c r="AT9162"/>
      <c r="AU9162"/>
      <c r="AV9162"/>
    </row>
    <row r="9163" spans="41:48" x14ac:dyDescent="0.35">
      <c r="AO9163"/>
      <c r="AP9163"/>
      <c r="AQ9163"/>
      <c r="AR9163"/>
      <c r="AS9163"/>
      <c r="AT9163"/>
      <c r="AU9163"/>
      <c r="AV9163"/>
    </row>
    <row r="9164" spans="41:48" x14ac:dyDescent="0.35">
      <c r="AO9164"/>
      <c r="AP9164"/>
      <c r="AQ9164"/>
      <c r="AR9164"/>
      <c r="AS9164"/>
      <c r="AT9164"/>
      <c r="AU9164"/>
      <c r="AV9164"/>
    </row>
    <row r="9165" spans="41:48" x14ac:dyDescent="0.35">
      <c r="AO9165"/>
      <c r="AP9165"/>
      <c r="AQ9165"/>
      <c r="AR9165"/>
      <c r="AS9165"/>
      <c r="AT9165"/>
      <c r="AU9165"/>
      <c r="AV9165"/>
    </row>
    <row r="9166" spans="41:48" x14ac:dyDescent="0.35">
      <c r="AO9166"/>
      <c r="AP9166"/>
      <c r="AQ9166"/>
      <c r="AR9166"/>
      <c r="AS9166"/>
      <c r="AT9166"/>
      <c r="AU9166"/>
      <c r="AV9166"/>
    </row>
    <row r="9167" spans="41:48" x14ac:dyDescent="0.35">
      <c r="AO9167"/>
      <c r="AP9167"/>
      <c r="AQ9167"/>
      <c r="AR9167"/>
      <c r="AS9167"/>
      <c r="AT9167"/>
      <c r="AU9167"/>
      <c r="AV9167"/>
    </row>
    <row r="9168" spans="41:48" x14ac:dyDescent="0.35">
      <c r="AO9168"/>
      <c r="AP9168"/>
      <c r="AQ9168"/>
      <c r="AR9168"/>
      <c r="AS9168"/>
      <c r="AT9168"/>
      <c r="AU9168"/>
      <c r="AV9168"/>
    </row>
    <row r="9169" spans="41:48" x14ac:dyDescent="0.35">
      <c r="AO9169"/>
      <c r="AP9169"/>
      <c r="AQ9169"/>
      <c r="AR9169"/>
      <c r="AS9169"/>
      <c r="AT9169"/>
      <c r="AU9169"/>
      <c r="AV9169"/>
    </row>
    <row r="9170" spans="41:48" x14ac:dyDescent="0.35">
      <c r="AO9170"/>
      <c r="AP9170"/>
      <c r="AQ9170"/>
      <c r="AR9170"/>
      <c r="AS9170"/>
      <c r="AT9170"/>
      <c r="AU9170"/>
      <c r="AV9170"/>
    </row>
    <row r="9171" spans="41:48" x14ac:dyDescent="0.35">
      <c r="AO9171"/>
      <c r="AP9171"/>
      <c r="AQ9171"/>
      <c r="AR9171"/>
      <c r="AS9171"/>
      <c r="AT9171"/>
      <c r="AU9171"/>
      <c r="AV9171"/>
    </row>
    <row r="9172" spans="41:48" x14ac:dyDescent="0.35">
      <c r="AO9172"/>
      <c r="AP9172"/>
      <c r="AQ9172"/>
      <c r="AR9172"/>
      <c r="AS9172"/>
      <c r="AT9172"/>
      <c r="AU9172"/>
      <c r="AV9172"/>
    </row>
    <row r="9173" spans="41:48" x14ac:dyDescent="0.35">
      <c r="AO9173"/>
      <c r="AP9173"/>
      <c r="AQ9173"/>
      <c r="AR9173"/>
      <c r="AS9173"/>
      <c r="AT9173"/>
      <c r="AU9173"/>
      <c r="AV9173"/>
    </row>
    <row r="9174" spans="41:48" x14ac:dyDescent="0.35">
      <c r="AO9174"/>
      <c r="AP9174"/>
      <c r="AQ9174"/>
      <c r="AR9174"/>
      <c r="AS9174"/>
      <c r="AT9174"/>
      <c r="AU9174"/>
      <c r="AV9174"/>
    </row>
    <row r="9175" spans="41:48" x14ac:dyDescent="0.35">
      <c r="AO9175"/>
      <c r="AP9175"/>
      <c r="AQ9175"/>
      <c r="AR9175"/>
      <c r="AS9175"/>
      <c r="AT9175"/>
      <c r="AU9175"/>
      <c r="AV9175"/>
    </row>
    <row r="9176" spans="41:48" x14ac:dyDescent="0.35">
      <c r="AO9176"/>
      <c r="AP9176"/>
      <c r="AQ9176"/>
      <c r="AR9176"/>
      <c r="AS9176"/>
      <c r="AT9176"/>
      <c r="AU9176"/>
      <c r="AV9176"/>
    </row>
    <row r="9177" spans="41:48" x14ac:dyDescent="0.35">
      <c r="AO9177"/>
      <c r="AP9177"/>
      <c r="AQ9177"/>
      <c r="AR9177"/>
      <c r="AS9177"/>
      <c r="AT9177"/>
      <c r="AU9177"/>
      <c r="AV9177"/>
    </row>
    <row r="9178" spans="41:48" x14ac:dyDescent="0.35">
      <c r="AO9178"/>
      <c r="AP9178"/>
      <c r="AQ9178"/>
      <c r="AR9178"/>
      <c r="AS9178"/>
      <c r="AT9178"/>
      <c r="AU9178"/>
      <c r="AV9178"/>
    </row>
    <row r="9179" spans="41:48" x14ac:dyDescent="0.35">
      <c r="AO9179"/>
      <c r="AP9179"/>
      <c r="AQ9179"/>
      <c r="AR9179"/>
      <c r="AS9179"/>
      <c r="AT9179"/>
      <c r="AU9179"/>
      <c r="AV9179"/>
    </row>
    <row r="9180" spans="41:48" x14ac:dyDescent="0.35">
      <c r="AO9180"/>
      <c r="AP9180"/>
      <c r="AQ9180"/>
      <c r="AR9180"/>
      <c r="AS9180"/>
      <c r="AT9180"/>
      <c r="AU9180"/>
      <c r="AV9180"/>
    </row>
    <row r="9181" spans="41:48" x14ac:dyDescent="0.35">
      <c r="AO9181"/>
      <c r="AP9181"/>
      <c r="AQ9181"/>
      <c r="AR9181"/>
      <c r="AS9181"/>
      <c r="AT9181"/>
      <c r="AU9181"/>
      <c r="AV9181"/>
    </row>
    <row r="9182" spans="41:48" x14ac:dyDescent="0.35">
      <c r="AO9182"/>
      <c r="AP9182"/>
      <c r="AQ9182"/>
      <c r="AR9182"/>
      <c r="AS9182"/>
      <c r="AT9182"/>
      <c r="AU9182"/>
      <c r="AV9182"/>
    </row>
    <row r="9183" spans="41:48" x14ac:dyDescent="0.35">
      <c r="AO9183"/>
      <c r="AP9183"/>
      <c r="AQ9183"/>
      <c r="AR9183"/>
      <c r="AS9183"/>
      <c r="AT9183"/>
      <c r="AU9183"/>
      <c r="AV9183"/>
    </row>
    <row r="9184" spans="41:48" x14ac:dyDescent="0.35">
      <c r="AO9184"/>
      <c r="AP9184"/>
      <c r="AQ9184"/>
      <c r="AR9184"/>
      <c r="AS9184"/>
      <c r="AT9184"/>
      <c r="AU9184"/>
      <c r="AV9184"/>
    </row>
    <row r="9185" spans="41:48" x14ac:dyDescent="0.35">
      <c r="AO9185"/>
      <c r="AP9185"/>
      <c r="AQ9185"/>
      <c r="AR9185"/>
      <c r="AS9185"/>
      <c r="AT9185"/>
      <c r="AU9185"/>
      <c r="AV9185"/>
    </row>
    <row r="9186" spans="41:48" x14ac:dyDescent="0.35">
      <c r="AO9186"/>
      <c r="AP9186"/>
      <c r="AQ9186"/>
      <c r="AR9186"/>
      <c r="AS9186"/>
      <c r="AT9186"/>
      <c r="AU9186"/>
      <c r="AV9186"/>
    </row>
    <row r="9187" spans="41:48" x14ac:dyDescent="0.35">
      <c r="AO9187"/>
      <c r="AP9187"/>
      <c r="AQ9187"/>
      <c r="AR9187"/>
      <c r="AS9187"/>
      <c r="AT9187"/>
      <c r="AU9187"/>
      <c r="AV9187"/>
    </row>
    <row r="9188" spans="41:48" x14ac:dyDescent="0.35">
      <c r="AO9188"/>
      <c r="AP9188"/>
      <c r="AQ9188"/>
      <c r="AR9188"/>
      <c r="AS9188"/>
      <c r="AT9188"/>
      <c r="AU9188"/>
      <c r="AV9188"/>
    </row>
    <row r="9189" spans="41:48" x14ac:dyDescent="0.35">
      <c r="AO9189"/>
      <c r="AP9189"/>
      <c r="AQ9189"/>
      <c r="AR9189"/>
      <c r="AS9189"/>
      <c r="AT9189"/>
      <c r="AU9189"/>
      <c r="AV9189"/>
    </row>
    <row r="9190" spans="41:48" x14ac:dyDescent="0.35">
      <c r="AO9190"/>
      <c r="AP9190"/>
      <c r="AQ9190"/>
      <c r="AR9190"/>
      <c r="AS9190"/>
      <c r="AT9190"/>
      <c r="AU9190"/>
      <c r="AV9190"/>
    </row>
    <row r="9191" spans="41:48" x14ac:dyDescent="0.35">
      <c r="AO9191"/>
      <c r="AP9191"/>
      <c r="AQ9191"/>
      <c r="AR9191"/>
      <c r="AS9191"/>
      <c r="AT9191"/>
      <c r="AU9191"/>
      <c r="AV9191"/>
    </row>
    <row r="9192" spans="41:48" x14ac:dyDescent="0.35">
      <c r="AO9192"/>
      <c r="AP9192"/>
      <c r="AQ9192"/>
      <c r="AR9192"/>
      <c r="AS9192"/>
      <c r="AT9192"/>
      <c r="AU9192"/>
      <c r="AV9192"/>
    </row>
    <row r="9193" spans="41:48" x14ac:dyDescent="0.35">
      <c r="AO9193"/>
      <c r="AP9193"/>
      <c r="AQ9193"/>
      <c r="AR9193"/>
      <c r="AS9193"/>
      <c r="AT9193"/>
      <c r="AU9193"/>
      <c r="AV9193"/>
    </row>
    <row r="9194" spans="41:48" x14ac:dyDescent="0.35">
      <c r="AO9194"/>
      <c r="AP9194"/>
      <c r="AQ9194"/>
      <c r="AR9194"/>
      <c r="AS9194"/>
      <c r="AT9194"/>
      <c r="AU9194"/>
      <c r="AV9194"/>
    </row>
    <row r="9195" spans="41:48" x14ac:dyDescent="0.35">
      <c r="AO9195"/>
      <c r="AP9195"/>
      <c r="AQ9195"/>
      <c r="AR9195"/>
      <c r="AS9195"/>
      <c r="AT9195"/>
      <c r="AU9195"/>
      <c r="AV9195"/>
    </row>
    <row r="9196" spans="41:48" x14ac:dyDescent="0.35">
      <c r="AO9196"/>
      <c r="AP9196"/>
      <c r="AQ9196"/>
      <c r="AR9196"/>
      <c r="AS9196"/>
      <c r="AT9196"/>
      <c r="AU9196"/>
      <c r="AV9196"/>
    </row>
    <row r="9197" spans="41:48" x14ac:dyDescent="0.35">
      <c r="AO9197"/>
      <c r="AP9197"/>
      <c r="AQ9197"/>
      <c r="AR9197"/>
      <c r="AS9197"/>
      <c r="AT9197"/>
      <c r="AU9197"/>
      <c r="AV9197"/>
    </row>
    <row r="9198" spans="41:48" x14ac:dyDescent="0.35">
      <c r="AO9198"/>
      <c r="AP9198"/>
      <c r="AQ9198"/>
      <c r="AR9198"/>
      <c r="AS9198"/>
      <c r="AT9198"/>
      <c r="AU9198"/>
      <c r="AV9198"/>
    </row>
    <row r="9199" spans="41:48" x14ac:dyDescent="0.35">
      <c r="AO9199"/>
      <c r="AP9199"/>
      <c r="AQ9199"/>
      <c r="AR9199"/>
      <c r="AS9199"/>
      <c r="AT9199"/>
      <c r="AU9199"/>
      <c r="AV9199"/>
    </row>
    <row r="9200" spans="41:48" x14ac:dyDescent="0.35">
      <c r="AO9200"/>
      <c r="AP9200"/>
      <c r="AQ9200"/>
      <c r="AR9200"/>
      <c r="AS9200"/>
      <c r="AT9200"/>
      <c r="AU9200"/>
      <c r="AV9200"/>
    </row>
    <row r="9201" spans="41:48" x14ac:dyDescent="0.35">
      <c r="AO9201"/>
      <c r="AP9201"/>
      <c r="AQ9201"/>
      <c r="AR9201"/>
      <c r="AS9201"/>
      <c r="AT9201"/>
      <c r="AU9201"/>
      <c r="AV9201"/>
    </row>
    <row r="9202" spans="41:48" x14ac:dyDescent="0.35">
      <c r="AO9202"/>
      <c r="AP9202"/>
      <c r="AQ9202"/>
      <c r="AR9202"/>
      <c r="AS9202"/>
      <c r="AT9202"/>
      <c r="AU9202"/>
      <c r="AV9202"/>
    </row>
    <row r="9203" spans="41:48" x14ac:dyDescent="0.35">
      <c r="AO9203"/>
      <c r="AP9203"/>
      <c r="AQ9203"/>
      <c r="AR9203"/>
      <c r="AS9203"/>
      <c r="AT9203"/>
      <c r="AU9203"/>
      <c r="AV9203"/>
    </row>
    <row r="9204" spans="41:48" x14ac:dyDescent="0.35">
      <c r="AO9204"/>
      <c r="AP9204"/>
      <c r="AQ9204"/>
      <c r="AR9204"/>
      <c r="AS9204"/>
      <c r="AT9204"/>
      <c r="AU9204"/>
      <c r="AV9204"/>
    </row>
    <row r="9205" spans="41:48" x14ac:dyDescent="0.35">
      <c r="AO9205"/>
      <c r="AP9205"/>
      <c r="AQ9205"/>
      <c r="AR9205"/>
      <c r="AS9205"/>
      <c r="AT9205"/>
      <c r="AU9205"/>
      <c r="AV9205"/>
    </row>
    <row r="9206" spans="41:48" x14ac:dyDescent="0.35">
      <c r="AO9206"/>
      <c r="AP9206"/>
      <c r="AQ9206"/>
      <c r="AR9206"/>
      <c r="AS9206"/>
      <c r="AT9206"/>
      <c r="AU9206"/>
      <c r="AV9206"/>
    </row>
    <row r="9207" spans="41:48" x14ac:dyDescent="0.35">
      <c r="AO9207"/>
      <c r="AP9207"/>
      <c r="AQ9207"/>
      <c r="AR9207"/>
      <c r="AS9207"/>
      <c r="AT9207"/>
      <c r="AU9207"/>
      <c r="AV9207"/>
    </row>
    <row r="9208" spans="41:48" x14ac:dyDescent="0.35">
      <c r="AO9208"/>
      <c r="AP9208"/>
      <c r="AQ9208"/>
      <c r="AR9208"/>
      <c r="AS9208"/>
      <c r="AT9208"/>
      <c r="AU9208"/>
      <c r="AV9208"/>
    </row>
    <row r="9209" spans="41:48" x14ac:dyDescent="0.35">
      <c r="AO9209"/>
      <c r="AP9209"/>
      <c r="AQ9209"/>
      <c r="AR9209"/>
      <c r="AS9209"/>
      <c r="AT9209"/>
      <c r="AU9209"/>
      <c r="AV9209"/>
    </row>
    <row r="9210" spans="41:48" x14ac:dyDescent="0.35">
      <c r="AO9210"/>
      <c r="AP9210"/>
      <c r="AQ9210"/>
      <c r="AR9210"/>
      <c r="AS9210"/>
      <c r="AT9210"/>
      <c r="AU9210"/>
      <c r="AV9210"/>
    </row>
    <row r="9211" spans="41:48" x14ac:dyDescent="0.35">
      <c r="AO9211"/>
      <c r="AP9211"/>
      <c r="AQ9211"/>
      <c r="AR9211"/>
      <c r="AS9211"/>
      <c r="AT9211"/>
      <c r="AU9211"/>
      <c r="AV9211"/>
    </row>
    <row r="9212" spans="41:48" x14ac:dyDescent="0.35">
      <c r="AO9212"/>
      <c r="AP9212"/>
      <c r="AQ9212"/>
      <c r="AR9212"/>
      <c r="AS9212"/>
      <c r="AT9212"/>
      <c r="AU9212"/>
      <c r="AV9212"/>
    </row>
    <row r="9213" spans="41:48" x14ac:dyDescent="0.35">
      <c r="AO9213"/>
      <c r="AP9213"/>
      <c r="AQ9213"/>
      <c r="AR9213"/>
      <c r="AS9213"/>
      <c r="AT9213"/>
      <c r="AU9213"/>
      <c r="AV9213"/>
    </row>
    <row r="9214" spans="41:48" x14ac:dyDescent="0.35">
      <c r="AO9214"/>
      <c r="AP9214"/>
      <c r="AQ9214"/>
      <c r="AR9214"/>
      <c r="AS9214"/>
      <c r="AT9214"/>
      <c r="AU9214"/>
      <c r="AV9214"/>
    </row>
    <row r="9215" spans="41:48" x14ac:dyDescent="0.35">
      <c r="AO9215"/>
      <c r="AP9215"/>
      <c r="AQ9215"/>
      <c r="AR9215"/>
      <c r="AS9215"/>
      <c r="AT9215"/>
      <c r="AU9215"/>
      <c r="AV9215"/>
    </row>
    <row r="9216" spans="41:48" x14ac:dyDescent="0.35">
      <c r="AO9216"/>
      <c r="AP9216"/>
      <c r="AQ9216"/>
      <c r="AR9216"/>
      <c r="AS9216"/>
      <c r="AT9216"/>
      <c r="AU9216"/>
      <c r="AV9216"/>
    </row>
    <row r="9217" spans="41:48" x14ac:dyDescent="0.35">
      <c r="AO9217"/>
      <c r="AP9217"/>
      <c r="AQ9217"/>
      <c r="AR9217"/>
      <c r="AS9217"/>
      <c r="AT9217"/>
      <c r="AU9217"/>
      <c r="AV9217"/>
    </row>
    <row r="9218" spans="41:48" x14ac:dyDescent="0.35">
      <c r="AO9218"/>
      <c r="AP9218"/>
      <c r="AQ9218"/>
      <c r="AR9218"/>
      <c r="AS9218"/>
      <c r="AT9218"/>
      <c r="AU9218"/>
      <c r="AV9218"/>
    </row>
    <row r="9219" spans="41:48" x14ac:dyDescent="0.35">
      <c r="AO9219"/>
      <c r="AP9219"/>
      <c r="AQ9219"/>
      <c r="AR9219"/>
      <c r="AS9219"/>
      <c r="AT9219"/>
      <c r="AU9219"/>
      <c r="AV9219"/>
    </row>
    <row r="9220" spans="41:48" x14ac:dyDescent="0.35">
      <c r="AO9220"/>
      <c r="AP9220"/>
      <c r="AQ9220"/>
      <c r="AR9220"/>
      <c r="AS9220"/>
      <c r="AT9220"/>
      <c r="AU9220"/>
      <c r="AV9220"/>
    </row>
    <row r="9221" spans="41:48" x14ac:dyDescent="0.35">
      <c r="AO9221"/>
      <c r="AP9221"/>
      <c r="AQ9221"/>
      <c r="AR9221"/>
      <c r="AS9221"/>
      <c r="AT9221"/>
      <c r="AU9221"/>
      <c r="AV9221"/>
    </row>
    <row r="9222" spans="41:48" x14ac:dyDescent="0.35">
      <c r="AO9222"/>
      <c r="AP9222"/>
      <c r="AQ9222"/>
      <c r="AR9222"/>
      <c r="AS9222"/>
      <c r="AT9222"/>
      <c r="AU9222"/>
      <c r="AV9222"/>
    </row>
    <row r="9223" spans="41:48" x14ac:dyDescent="0.35">
      <c r="AO9223"/>
      <c r="AP9223"/>
      <c r="AQ9223"/>
      <c r="AR9223"/>
      <c r="AS9223"/>
      <c r="AT9223"/>
      <c r="AU9223"/>
      <c r="AV9223"/>
    </row>
    <row r="9224" spans="41:48" x14ac:dyDescent="0.35">
      <c r="AO9224"/>
      <c r="AP9224"/>
      <c r="AQ9224"/>
      <c r="AR9224"/>
      <c r="AS9224"/>
      <c r="AT9224"/>
      <c r="AU9224"/>
      <c r="AV9224"/>
    </row>
    <row r="9225" spans="41:48" x14ac:dyDescent="0.35">
      <c r="AO9225"/>
      <c r="AP9225"/>
      <c r="AQ9225"/>
      <c r="AR9225"/>
      <c r="AS9225"/>
      <c r="AT9225"/>
      <c r="AU9225"/>
      <c r="AV9225"/>
    </row>
    <row r="9226" spans="41:48" x14ac:dyDescent="0.35">
      <c r="AO9226"/>
      <c r="AP9226"/>
      <c r="AQ9226"/>
      <c r="AR9226"/>
      <c r="AS9226"/>
      <c r="AT9226"/>
      <c r="AU9226"/>
      <c r="AV9226"/>
    </row>
    <row r="9227" spans="41:48" x14ac:dyDescent="0.35">
      <c r="AO9227"/>
      <c r="AP9227"/>
      <c r="AQ9227"/>
      <c r="AR9227"/>
      <c r="AS9227"/>
      <c r="AT9227"/>
      <c r="AU9227"/>
      <c r="AV9227"/>
    </row>
    <row r="9228" spans="41:48" x14ac:dyDescent="0.35">
      <c r="AO9228"/>
      <c r="AP9228"/>
      <c r="AQ9228"/>
      <c r="AR9228"/>
      <c r="AS9228"/>
      <c r="AT9228"/>
      <c r="AU9228"/>
      <c r="AV9228"/>
    </row>
    <row r="9229" spans="41:48" x14ac:dyDescent="0.35">
      <c r="AO9229"/>
      <c r="AP9229"/>
      <c r="AQ9229"/>
      <c r="AR9229"/>
      <c r="AS9229"/>
      <c r="AT9229"/>
      <c r="AU9229"/>
      <c r="AV9229"/>
    </row>
    <row r="9230" spans="41:48" x14ac:dyDescent="0.35">
      <c r="AO9230"/>
      <c r="AP9230"/>
      <c r="AQ9230"/>
      <c r="AR9230"/>
      <c r="AS9230"/>
      <c r="AT9230"/>
      <c r="AU9230"/>
      <c r="AV9230"/>
    </row>
    <row r="9231" spans="41:48" x14ac:dyDescent="0.35">
      <c r="AO9231"/>
      <c r="AP9231"/>
      <c r="AQ9231"/>
      <c r="AR9231"/>
      <c r="AS9231"/>
      <c r="AT9231"/>
      <c r="AU9231"/>
      <c r="AV9231"/>
    </row>
    <row r="9232" spans="41:48" x14ac:dyDescent="0.35">
      <c r="AO9232"/>
      <c r="AP9232"/>
      <c r="AQ9232"/>
      <c r="AR9232"/>
      <c r="AS9232"/>
      <c r="AT9232"/>
      <c r="AU9232"/>
      <c r="AV9232"/>
    </row>
    <row r="9233" spans="41:48" x14ac:dyDescent="0.35">
      <c r="AO9233"/>
      <c r="AP9233"/>
      <c r="AQ9233"/>
      <c r="AR9233"/>
      <c r="AS9233"/>
      <c r="AT9233"/>
      <c r="AU9233"/>
      <c r="AV9233"/>
    </row>
    <row r="9234" spans="41:48" x14ac:dyDescent="0.35">
      <c r="AO9234"/>
      <c r="AP9234"/>
      <c r="AQ9234"/>
      <c r="AR9234"/>
      <c r="AS9234"/>
      <c r="AT9234"/>
      <c r="AU9234"/>
      <c r="AV9234"/>
    </row>
    <row r="9235" spans="41:48" x14ac:dyDescent="0.35">
      <c r="AO9235"/>
      <c r="AP9235"/>
      <c r="AQ9235"/>
      <c r="AR9235"/>
      <c r="AS9235"/>
      <c r="AT9235"/>
      <c r="AU9235"/>
      <c r="AV9235"/>
    </row>
    <row r="9236" spans="41:48" x14ac:dyDescent="0.35">
      <c r="AO9236"/>
      <c r="AP9236"/>
      <c r="AQ9236"/>
      <c r="AR9236"/>
      <c r="AS9236"/>
      <c r="AT9236"/>
      <c r="AU9236"/>
      <c r="AV9236"/>
    </row>
    <row r="9237" spans="41:48" x14ac:dyDescent="0.35">
      <c r="AO9237"/>
      <c r="AP9237"/>
      <c r="AQ9237"/>
      <c r="AR9237"/>
      <c r="AS9237"/>
      <c r="AT9237"/>
      <c r="AU9237"/>
      <c r="AV9237"/>
    </row>
    <row r="9238" spans="41:48" x14ac:dyDescent="0.35">
      <c r="AO9238"/>
      <c r="AP9238"/>
      <c r="AQ9238"/>
      <c r="AR9238"/>
      <c r="AS9238"/>
      <c r="AT9238"/>
      <c r="AU9238"/>
      <c r="AV9238"/>
    </row>
    <row r="9239" spans="41:48" x14ac:dyDescent="0.35">
      <c r="AO9239"/>
      <c r="AP9239"/>
      <c r="AQ9239"/>
      <c r="AR9239"/>
      <c r="AS9239"/>
      <c r="AT9239"/>
      <c r="AU9239"/>
      <c r="AV9239"/>
    </row>
    <row r="9240" spans="41:48" x14ac:dyDescent="0.35">
      <c r="AO9240"/>
      <c r="AP9240"/>
      <c r="AQ9240"/>
      <c r="AR9240"/>
      <c r="AS9240"/>
      <c r="AT9240"/>
      <c r="AU9240"/>
      <c r="AV9240"/>
    </row>
    <row r="9241" spans="41:48" x14ac:dyDescent="0.35">
      <c r="AO9241"/>
      <c r="AP9241"/>
      <c r="AQ9241"/>
      <c r="AR9241"/>
      <c r="AS9241"/>
      <c r="AT9241"/>
      <c r="AU9241"/>
      <c r="AV9241"/>
    </row>
    <row r="9242" spans="41:48" x14ac:dyDescent="0.35">
      <c r="AO9242"/>
      <c r="AP9242"/>
      <c r="AQ9242"/>
      <c r="AR9242"/>
      <c r="AS9242"/>
      <c r="AT9242"/>
      <c r="AU9242"/>
      <c r="AV9242"/>
    </row>
    <row r="9243" spans="41:48" x14ac:dyDescent="0.35">
      <c r="AO9243"/>
      <c r="AP9243"/>
      <c r="AQ9243"/>
      <c r="AR9243"/>
      <c r="AS9243"/>
      <c r="AT9243"/>
      <c r="AU9243"/>
      <c r="AV9243"/>
    </row>
    <row r="9244" spans="41:48" x14ac:dyDescent="0.35">
      <c r="AO9244"/>
      <c r="AP9244"/>
      <c r="AQ9244"/>
      <c r="AR9244"/>
      <c r="AS9244"/>
      <c r="AT9244"/>
      <c r="AU9244"/>
      <c r="AV9244"/>
    </row>
    <row r="9245" spans="41:48" x14ac:dyDescent="0.35">
      <c r="AO9245"/>
      <c r="AP9245"/>
      <c r="AQ9245"/>
      <c r="AR9245"/>
      <c r="AS9245"/>
      <c r="AT9245"/>
      <c r="AU9245"/>
      <c r="AV9245"/>
    </row>
    <row r="9246" spans="41:48" x14ac:dyDescent="0.35">
      <c r="AO9246"/>
      <c r="AP9246"/>
      <c r="AQ9246"/>
      <c r="AR9246"/>
      <c r="AS9246"/>
      <c r="AT9246"/>
      <c r="AU9246"/>
      <c r="AV9246"/>
    </row>
    <row r="9247" spans="41:48" x14ac:dyDescent="0.35">
      <c r="AO9247"/>
      <c r="AP9247"/>
      <c r="AQ9247"/>
      <c r="AR9247"/>
      <c r="AS9247"/>
      <c r="AT9247"/>
      <c r="AU9247"/>
      <c r="AV9247"/>
    </row>
    <row r="9248" spans="41:48" x14ac:dyDescent="0.35">
      <c r="AO9248"/>
      <c r="AP9248"/>
      <c r="AQ9248"/>
      <c r="AR9248"/>
      <c r="AS9248"/>
      <c r="AT9248"/>
      <c r="AU9248"/>
      <c r="AV9248"/>
    </row>
    <row r="9249" spans="41:48" x14ac:dyDescent="0.35">
      <c r="AO9249"/>
      <c r="AP9249"/>
      <c r="AQ9249"/>
      <c r="AR9249"/>
      <c r="AS9249"/>
      <c r="AT9249"/>
      <c r="AU9249"/>
      <c r="AV9249"/>
    </row>
    <row r="9250" spans="41:48" x14ac:dyDescent="0.35">
      <c r="AO9250"/>
      <c r="AP9250"/>
      <c r="AQ9250"/>
      <c r="AR9250"/>
      <c r="AS9250"/>
      <c r="AT9250"/>
      <c r="AU9250"/>
      <c r="AV9250"/>
    </row>
    <row r="9251" spans="41:48" x14ac:dyDescent="0.35">
      <c r="AO9251"/>
      <c r="AP9251"/>
      <c r="AQ9251"/>
      <c r="AR9251"/>
      <c r="AS9251"/>
      <c r="AT9251"/>
      <c r="AU9251"/>
      <c r="AV9251"/>
    </row>
    <row r="9252" spans="41:48" x14ac:dyDescent="0.35">
      <c r="AO9252"/>
      <c r="AP9252"/>
      <c r="AQ9252"/>
      <c r="AR9252"/>
      <c r="AS9252"/>
      <c r="AT9252"/>
      <c r="AU9252"/>
      <c r="AV9252"/>
    </row>
    <row r="9253" spans="41:48" x14ac:dyDescent="0.35">
      <c r="AO9253"/>
      <c r="AP9253"/>
      <c r="AQ9253"/>
      <c r="AR9253"/>
      <c r="AS9253"/>
      <c r="AT9253"/>
      <c r="AU9253"/>
      <c r="AV9253"/>
    </row>
    <row r="9254" spans="41:48" x14ac:dyDescent="0.35">
      <c r="AO9254"/>
      <c r="AP9254"/>
      <c r="AQ9254"/>
      <c r="AR9254"/>
      <c r="AS9254"/>
      <c r="AT9254"/>
      <c r="AU9254"/>
      <c r="AV9254"/>
    </row>
    <row r="9255" spans="41:48" x14ac:dyDescent="0.35">
      <c r="AO9255"/>
      <c r="AP9255"/>
      <c r="AQ9255"/>
      <c r="AR9255"/>
      <c r="AS9255"/>
      <c r="AT9255"/>
      <c r="AU9255"/>
      <c r="AV9255"/>
    </row>
    <row r="9256" spans="41:48" x14ac:dyDescent="0.35">
      <c r="AO9256"/>
      <c r="AP9256"/>
      <c r="AQ9256"/>
      <c r="AR9256"/>
      <c r="AS9256"/>
      <c r="AT9256"/>
      <c r="AU9256"/>
      <c r="AV9256"/>
    </row>
    <row r="9257" spans="41:48" x14ac:dyDescent="0.35">
      <c r="AO9257"/>
      <c r="AP9257"/>
      <c r="AQ9257"/>
      <c r="AR9257"/>
      <c r="AS9257"/>
      <c r="AT9257"/>
      <c r="AU9257"/>
      <c r="AV9257"/>
    </row>
    <row r="9258" spans="41:48" x14ac:dyDescent="0.35">
      <c r="AO9258"/>
      <c r="AP9258"/>
      <c r="AQ9258"/>
      <c r="AR9258"/>
      <c r="AS9258"/>
      <c r="AT9258"/>
      <c r="AU9258"/>
      <c r="AV9258"/>
    </row>
    <row r="9259" spans="41:48" x14ac:dyDescent="0.35">
      <c r="AO9259"/>
      <c r="AP9259"/>
      <c r="AQ9259"/>
      <c r="AR9259"/>
      <c r="AS9259"/>
      <c r="AT9259"/>
      <c r="AU9259"/>
      <c r="AV9259"/>
    </row>
    <row r="9260" spans="41:48" x14ac:dyDescent="0.35">
      <c r="AO9260"/>
      <c r="AP9260"/>
      <c r="AQ9260"/>
      <c r="AR9260"/>
      <c r="AS9260"/>
      <c r="AT9260"/>
      <c r="AU9260"/>
      <c r="AV9260"/>
    </row>
    <row r="9261" spans="41:48" x14ac:dyDescent="0.35">
      <c r="AO9261"/>
      <c r="AP9261"/>
      <c r="AQ9261"/>
      <c r="AR9261"/>
      <c r="AS9261"/>
      <c r="AT9261"/>
      <c r="AU9261"/>
      <c r="AV9261"/>
    </row>
    <row r="9262" spans="41:48" x14ac:dyDescent="0.35">
      <c r="AO9262"/>
      <c r="AP9262"/>
      <c r="AQ9262"/>
      <c r="AR9262"/>
      <c r="AS9262"/>
      <c r="AT9262"/>
      <c r="AU9262"/>
      <c r="AV9262"/>
    </row>
    <row r="9263" spans="41:48" x14ac:dyDescent="0.35">
      <c r="AO9263"/>
      <c r="AP9263"/>
      <c r="AQ9263"/>
      <c r="AR9263"/>
      <c r="AS9263"/>
      <c r="AT9263"/>
      <c r="AU9263"/>
      <c r="AV9263"/>
    </row>
    <row r="9264" spans="41:48" x14ac:dyDescent="0.35">
      <c r="AO9264"/>
      <c r="AP9264"/>
      <c r="AQ9264"/>
      <c r="AR9264"/>
      <c r="AS9264"/>
      <c r="AT9264"/>
      <c r="AU9264"/>
      <c r="AV9264"/>
    </row>
    <row r="9265" spans="41:48" x14ac:dyDescent="0.35">
      <c r="AO9265"/>
      <c r="AP9265"/>
      <c r="AQ9265"/>
      <c r="AR9265"/>
      <c r="AS9265"/>
      <c r="AT9265"/>
      <c r="AU9265"/>
      <c r="AV9265"/>
    </row>
    <row r="9266" spans="41:48" x14ac:dyDescent="0.35">
      <c r="AO9266"/>
      <c r="AP9266"/>
      <c r="AQ9266"/>
      <c r="AR9266"/>
      <c r="AS9266"/>
      <c r="AT9266"/>
      <c r="AU9266"/>
      <c r="AV9266"/>
    </row>
    <row r="9267" spans="41:48" x14ac:dyDescent="0.35">
      <c r="AO9267"/>
      <c r="AP9267"/>
      <c r="AQ9267"/>
      <c r="AR9267"/>
      <c r="AS9267"/>
      <c r="AT9267"/>
      <c r="AU9267"/>
      <c r="AV9267"/>
    </row>
    <row r="9268" spans="41:48" x14ac:dyDescent="0.35">
      <c r="AO9268"/>
      <c r="AP9268"/>
      <c r="AQ9268"/>
      <c r="AR9268"/>
      <c r="AS9268"/>
      <c r="AT9268"/>
      <c r="AU9268"/>
      <c r="AV9268"/>
    </row>
    <row r="9269" spans="41:48" x14ac:dyDescent="0.35">
      <c r="AO9269"/>
      <c r="AP9269"/>
      <c r="AQ9269"/>
      <c r="AR9269"/>
      <c r="AS9269"/>
      <c r="AT9269"/>
      <c r="AU9269"/>
      <c r="AV9269"/>
    </row>
    <row r="9270" spans="41:48" x14ac:dyDescent="0.35">
      <c r="AO9270"/>
      <c r="AP9270"/>
      <c r="AQ9270"/>
      <c r="AR9270"/>
      <c r="AS9270"/>
      <c r="AT9270"/>
      <c r="AU9270"/>
      <c r="AV9270"/>
    </row>
    <row r="9271" spans="41:48" x14ac:dyDescent="0.35">
      <c r="AO9271"/>
      <c r="AP9271"/>
      <c r="AQ9271"/>
      <c r="AR9271"/>
      <c r="AS9271"/>
      <c r="AT9271"/>
      <c r="AU9271"/>
      <c r="AV9271"/>
    </row>
    <row r="9272" spans="41:48" x14ac:dyDescent="0.35">
      <c r="AO9272"/>
      <c r="AP9272"/>
      <c r="AQ9272"/>
      <c r="AR9272"/>
      <c r="AS9272"/>
      <c r="AT9272"/>
      <c r="AU9272"/>
      <c r="AV9272"/>
    </row>
    <row r="9273" spans="41:48" x14ac:dyDescent="0.35">
      <c r="AO9273"/>
      <c r="AP9273"/>
      <c r="AQ9273"/>
      <c r="AR9273"/>
      <c r="AS9273"/>
      <c r="AT9273"/>
      <c r="AU9273"/>
      <c r="AV9273"/>
    </row>
    <row r="9274" spans="41:48" x14ac:dyDescent="0.35">
      <c r="AO9274"/>
      <c r="AP9274"/>
      <c r="AQ9274"/>
      <c r="AR9274"/>
      <c r="AS9274"/>
      <c r="AT9274"/>
      <c r="AU9274"/>
      <c r="AV9274"/>
    </row>
    <row r="9275" spans="41:48" x14ac:dyDescent="0.35">
      <c r="AO9275"/>
      <c r="AP9275"/>
      <c r="AQ9275"/>
      <c r="AR9275"/>
      <c r="AS9275"/>
      <c r="AT9275"/>
      <c r="AU9275"/>
      <c r="AV9275"/>
    </row>
    <row r="9276" spans="41:48" x14ac:dyDescent="0.35">
      <c r="AO9276"/>
      <c r="AP9276"/>
      <c r="AQ9276"/>
      <c r="AR9276"/>
      <c r="AS9276"/>
      <c r="AT9276"/>
      <c r="AU9276"/>
      <c r="AV9276"/>
    </row>
    <row r="9277" spans="41:48" x14ac:dyDescent="0.35">
      <c r="AO9277"/>
      <c r="AP9277"/>
      <c r="AQ9277"/>
      <c r="AR9277"/>
      <c r="AS9277"/>
      <c r="AT9277"/>
      <c r="AU9277"/>
      <c r="AV9277"/>
    </row>
    <row r="9278" spans="41:48" x14ac:dyDescent="0.35">
      <c r="AO9278"/>
      <c r="AP9278"/>
      <c r="AQ9278"/>
      <c r="AR9278"/>
      <c r="AS9278"/>
      <c r="AT9278"/>
      <c r="AU9278"/>
      <c r="AV9278"/>
    </row>
    <row r="9279" spans="41:48" x14ac:dyDescent="0.35">
      <c r="AO9279"/>
      <c r="AP9279"/>
      <c r="AQ9279"/>
      <c r="AR9279"/>
      <c r="AS9279"/>
      <c r="AT9279"/>
      <c r="AU9279"/>
      <c r="AV9279"/>
    </row>
    <row r="9280" spans="41:48" x14ac:dyDescent="0.35">
      <c r="AO9280"/>
      <c r="AP9280"/>
      <c r="AQ9280"/>
      <c r="AR9280"/>
      <c r="AS9280"/>
      <c r="AT9280"/>
      <c r="AU9280"/>
      <c r="AV9280"/>
    </row>
    <row r="9281" spans="41:48" x14ac:dyDescent="0.35">
      <c r="AO9281"/>
      <c r="AP9281"/>
      <c r="AQ9281"/>
      <c r="AR9281"/>
      <c r="AS9281"/>
      <c r="AT9281"/>
      <c r="AU9281"/>
      <c r="AV9281"/>
    </row>
    <row r="9282" spans="41:48" x14ac:dyDescent="0.35">
      <c r="AO9282"/>
      <c r="AP9282"/>
      <c r="AQ9282"/>
      <c r="AR9282"/>
      <c r="AS9282"/>
      <c r="AT9282"/>
      <c r="AU9282"/>
      <c r="AV9282"/>
    </row>
    <row r="9283" spans="41:48" x14ac:dyDescent="0.35">
      <c r="AO9283"/>
      <c r="AP9283"/>
      <c r="AQ9283"/>
      <c r="AR9283"/>
      <c r="AS9283"/>
      <c r="AT9283"/>
      <c r="AU9283"/>
      <c r="AV9283"/>
    </row>
    <row r="9284" spans="41:48" x14ac:dyDescent="0.35">
      <c r="AO9284"/>
      <c r="AP9284"/>
      <c r="AQ9284"/>
      <c r="AR9284"/>
      <c r="AS9284"/>
      <c r="AT9284"/>
      <c r="AU9284"/>
      <c r="AV9284"/>
    </row>
    <row r="9285" spans="41:48" x14ac:dyDescent="0.35">
      <c r="AO9285"/>
      <c r="AP9285"/>
      <c r="AQ9285"/>
      <c r="AR9285"/>
      <c r="AS9285"/>
      <c r="AT9285"/>
      <c r="AU9285"/>
      <c r="AV9285"/>
    </row>
    <row r="9286" spans="41:48" x14ac:dyDescent="0.35">
      <c r="AO9286"/>
      <c r="AP9286"/>
      <c r="AQ9286"/>
      <c r="AR9286"/>
      <c r="AS9286"/>
      <c r="AT9286"/>
      <c r="AU9286"/>
      <c r="AV9286"/>
    </row>
    <row r="9287" spans="41:48" x14ac:dyDescent="0.35">
      <c r="AO9287"/>
      <c r="AP9287"/>
      <c r="AQ9287"/>
      <c r="AR9287"/>
      <c r="AS9287"/>
      <c r="AT9287"/>
      <c r="AU9287"/>
      <c r="AV9287"/>
    </row>
    <row r="9288" spans="41:48" x14ac:dyDescent="0.35">
      <c r="AO9288"/>
      <c r="AP9288"/>
      <c r="AQ9288"/>
      <c r="AR9288"/>
      <c r="AS9288"/>
      <c r="AT9288"/>
      <c r="AU9288"/>
      <c r="AV9288"/>
    </row>
    <row r="9289" spans="41:48" x14ac:dyDescent="0.35">
      <c r="AO9289"/>
      <c r="AP9289"/>
      <c r="AQ9289"/>
      <c r="AR9289"/>
      <c r="AS9289"/>
      <c r="AT9289"/>
      <c r="AU9289"/>
      <c r="AV9289"/>
    </row>
    <row r="9290" spans="41:48" x14ac:dyDescent="0.35">
      <c r="AO9290"/>
      <c r="AP9290"/>
      <c r="AQ9290"/>
      <c r="AR9290"/>
      <c r="AS9290"/>
      <c r="AT9290"/>
      <c r="AU9290"/>
      <c r="AV9290"/>
    </row>
    <row r="9291" spans="41:48" x14ac:dyDescent="0.35">
      <c r="AO9291"/>
      <c r="AP9291"/>
      <c r="AQ9291"/>
      <c r="AR9291"/>
      <c r="AS9291"/>
      <c r="AT9291"/>
      <c r="AU9291"/>
      <c r="AV9291"/>
    </row>
    <row r="9292" spans="41:48" x14ac:dyDescent="0.35">
      <c r="AO9292"/>
      <c r="AP9292"/>
      <c r="AQ9292"/>
      <c r="AR9292"/>
      <c r="AS9292"/>
      <c r="AT9292"/>
      <c r="AU9292"/>
      <c r="AV9292"/>
    </row>
    <row r="9293" spans="41:48" x14ac:dyDescent="0.35">
      <c r="AO9293"/>
      <c r="AP9293"/>
      <c r="AQ9293"/>
      <c r="AR9293"/>
      <c r="AS9293"/>
      <c r="AT9293"/>
      <c r="AU9293"/>
      <c r="AV9293"/>
    </row>
    <row r="9294" spans="41:48" x14ac:dyDescent="0.35">
      <c r="AO9294"/>
      <c r="AP9294"/>
      <c r="AQ9294"/>
      <c r="AR9294"/>
      <c r="AS9294"/>
      <c r="AT9294"/>
      <c r="AU9294"/>
      <c r="AV9294"/>
    </row>
    <row r="9295" spans="41:48" x14ac:dyDescent="0.35">
      <c r="AO9295"/>
      <c r="AP9295"/>
      <c r="AQ9295"/>
      <c r="AR9295"/>
      <c r="AS9295"/>
      <c r="AT9295"/>
      <c r="AU9295"/>
      <c r="AV9295"/>
    </row>
    <row r="9296" spans="41:48" x14ac:dyDescent="0.35">
      <c r="AO9296"/>
      <c r="AP9296"/>
      <c r="AQ9296"/>
      <c r="AR9296"/>
      <c r="AS9296"/>
      <c r="AT9296"/>
      <c r="AU9296"/>
      <c r="AV9296"/>
    </row>
    <row r="9297" spans="41:48" x14ac:dyDescent="0.35">
      <c r="AO9297"/>
      <c r="AP9297"/>
      <c r="AQ9297"/>
      <c r="AR9297"/>
      <c r="AS9297"/>
      <c r="AT9297"/>
      <c r="AU9297"/>
      <c r="AV9297"/>
    </row>
    <row r="9298" spans="41:48" x14ac:dyDescent="0.35">
      <c r="AO9298"/>
      <c r="AP9298"/>
      <c r="AQ9298"/>
      <c r="AR9298"/>
      <c r="AS9298"/>
      <c r="AT9298"/>
      <c r="AU9298"/>
      <c r="AV9298"/>
    </row>
    <row r="9299" spans="41:48" x14ac:dyDescent="0.35">
      <c r="AO9299"/>
      <c r="AP9299"/>
      <c r="AQ9299"/>
      <c r="AR9299"/>
      <c r="AS9299"/>
      <c r="AT9299"/>
      <c r="AU9299"/>
      <c r="AV9299"/>
    </row>
    <row r="9300" spans="41:48" x14ac:dyDescent="0.35">
      <c r="AO9300"/>
      <c r="AP9300"/>
      <c r="AQ9300"/>
      <c r="AR9300"/>
      <c r="AS9300"/>
      <c r="AT9300"/>
      <c r="AU9300"/>
      <c r="AV9300"/>
    </row>
    <row r="9301" spans="41:48" x14ac:dyDescent="0.35">
      <c r="AO9301"/>
      <c r="AP9301"/>
      <c r="AQ9301"/>
      <c r="AR9301"/>
      <c r="AS9301"/>
      <c r="AT9301"/>
      <c r="AU9301"/>
      <c r="AV9301"/>
    </row>
    <row r="9302" spans="41:48" x14ac:dyDescent="0.35">
      <c r="AO9302"/>
      <c r="AP9302"/>
      <c r="AQ9302"/>
      <c r="AR9302"/>
      <c r="AS9302"/>
      <c r="AT9302"/>
      <c r="AU9302"/>
      <c r="AV9302"/>
    </row>
    <row r="9303" spans="41:48" x14ac:dyDescent="0.35">
      <c r="AO9303"/>
      <c r="AP9303"/>
      <c r="AQ9303"/>
      <c r="AR9303"/>
      <c r="AS9303"/>
      <c r="AT9303"/>
      <c r="AU9303"/>
      <c r="AV9303"/>
    </row>
    <row r="9304" spans="41:48" x14ac:dyDescent="0.35">
      <c r="AO9304"/>
      <c r="AP9304"/>
      <c r="AQ9304"/>
      <c r="AR9304"/>
      <c r="AS9304"/>
      <c r="AT9304"/>
      <c r="AU9304"/>
      <c r="AV9304"/>
    </row>
    <row r="9305" spans="41:48" x14ac:dyDescent="0.35">
      <c r="AO9305"/>
      <c r="AP9305"/>
      <c r="AQ9305"/>
      <c r="AR9305"/>
      <c r="AS9305"/>
      <c r="AT9305"/>
      <c r="AU9305"/>
      <c r="AV9305"/>
    </row>
    <row r="9306" spans="41:48" x14ac:dyDescent="0.35">
      <c r="AO9306"/>
      <c r="AP9306"/>
      <c r="AQ9306"/>
      <c r="AR9306"/>
      <c r="AS9306"/>
      <c r="AT9306"/>
      <c r="AU9306"/>
      <c r="AV9306"/>
    </row>
    <row r="9307" spans="41:48" x14ac:dyDescent="0.35">
      <c r="AO9307"/>
      <c r="AP9307"/>
      <c r="AQ9307"/>
      <c r="AR9307"/>
      <c r="AS9307"/>
      <c r="AT9307"/>
      <c r="AU9307"/>
      <c r="AV9307"/>
    </row>
    <row r="9308" spans="41:48" x14ac:dyDescent="0.35">
      <c r="AO9308"/>
      <c r="AP9308"/>
      <c r="AQ9308"/>
      <c r="AR9308"/>
      <c r="AS9308"/>
      <c r="AT9308"/>
      <c r="AU9308"/>
      <c r="AV9308"/>
    </row>
    <row r="9309" spans="41:48" x14ac:dyDescent="0.35">
      <c r="AO9309"/>
      <c r="AP9309"/>
      <c r="AQ9309"/>
      <c r="AR9309"/>
      <c r="AS9309"/>
      <c r="AT9309"/>
      <c r="AU9309"/>
      <c r="AV9309"/>
    </row>
    <row r="9310" spans="41:48" x14ac:dyDescent="0.35">
      <c r="AO9310"/>
      <c r="AP9310"/>
      <c r="AQ9310"/>
      <c r="AR9310"/>
      <c r="AS9310"/>
      <c r="AT9310"/>
      <c r="AU9310"/>
      <c r="AV9310"/>
    </row>
    <row r="9311" spans="41:48" x14ac:dyDescent="0.35">
      <c r="AO9311"/>
      <c r="AP9311"/>
      <c r="AQ9311"/>
      <c r="AR9311"/>
      <c r="AS9311"/>
      <c r="AT9311"/>
      <c r="AU9311"/>
      <c r="AV9311"/>
    </row>
    <row r="9312" spans="41:48" x14ac:dyDescent="0.35">
      <c r="AO9312"/>
      <c r="AP9312"/>
      <c r="AQ9312"/>
      <c r="AR9312"/>
      <c r="AS9312"/>
      <c r="AT9312"/>
      <c r="AU9312"/>
      <c r="AV9312"/>
    </row>
    <row r="9313" spans="41:48" x14ac:dyDescent="0.35">
      <c r="AO9313"/>
      <c r="AP9313"/>
      <c r="AQ9313"/>
      <c r="AR9313"/>
      <c r="AS9313"/>
      <c r="AT9313"/>
      <c r="AU9313"/>
      <c r="AV9313"/>
    </row>
    <row r="9314" spans="41:48" x14ac:dyDescent="0.35">
      <c r="AO9314"/>
      <c r="AP9314"/>
      <c r="AQ9314"/>
      <c r="AR9314"/>
      <c r="AS9314"/>
      <c r="AT9314"/>
      <c r="AU9314"/>
      <c r="AV9314"/>
    </row>
    <row r="9315" spans="41:48" x14ac:dyDescent="0.35">
      <c r="AO9315"/>
      <c r="AP9315"/>
      <c r="AQ9315"/>
      <c r="AR9315"/>
      <c r="AS9315"/>
      <c r="AT9315"/>
      <c r="AU9315"/>
      <c r="AV9315"/>
    </row>
    <row r="9316" spans="41:48" x14ac:dyDescent="0.35">
      <c r="AO9316"/>
      <c r="AP9316"/>
      <c r="AQ9316"/>
      <c r="AR9316"/>
      <c r="AS9316"/>
      <c r="AT9316"/>
      <c r="AU9316"/>
      <c r="AV9316"/>
    </row>
    <row r="9317" spans="41:48" x14ac:dyDescent="0.35">
      <c r="AO9317"/>
      <c r="AP9317"/>
      <c r="AQ9317"/>
      <c r="AR9317"/>
      <c r="AS9317"/>
      <c r="AT9317"/>
      <c r="AU9317"/>
      <c r="AV9317"/>
    </row>
    <row r="9318" spans="41:48" x14ac:dyDescent="0.35">
      <c r="AO9318"/>
      <c r="AP9318"/>
      <c r="AQ9318"/>
      <c r="AR9318"/>
      <c r="AS9318"/>
      <c r="AT9318"/>
      <c r="AU9318"/>
      <c r="AV9318"/>
    </row>
    <row r="9319" spans="41:48" x14ac:dyDescent="0.35">
      <c r="AO9319"/>
      <c r="AP9319"/>
      <c r="AQ9319"/>
      <c r="AR9319"/>
      <c r="AS9319"/>
      <c r="AT9319"/>
      <c r="AU9319"/>
      <c r="AV9319"/>
    </row>
    <row r="9320" spans="41:48" x14ac:dyDescent="0.35">
      <c r="AO9320"/>
      <c r="AP9320"/>
      <c r="AQ9320"/>
      <c r="AR9320"/>
      <c r="AS9320"/>
      <c r="AT9320"/>
      <c r="AU9320"/>
      <c r="AV9320"/>
    </row>
    <row r="9321" spans="41:48" x14ac:dyDescent="0.35">
      <c r="AO9321"/>
      <c r="AP9321"/>
      <c r="AQ9321"/>
      <c r="AR9321"/>
      <c r="AS9321"/>
      <c r="AT9321"/>
      <c r="AU9321"/>
      <c r="AV9321"/>
    </row>
    <row r="9322" spans="41:48" x14ac:dyDescent="0.35">
      <c r="AO9322"/>
      <c r="AP9322"/>
      <c r="AQ9322"/>
      <c r="AR9322"/>
      <c r="AS9322"/>
      <c r="AT9322"/>
      <c r="AU9322"/>
      <c r="AV9322"/>
    </row>
    <row r="9323" spans="41:48" x14ac:dyDescent="0.35">
      <c r="AO9323"/>
      <c r="AP9323"/>
      <c r="AQ9323"/>
      <c r="AR9323"/>
      <c r="AS9323"/>
      <c r="AT9323"/>
      <c r="AU9323"/>
      <c r="AV9323"/>
    </row>
    <row r="9324" spans="41:48" x14ac:dyDescent="0.35">
      <c r="AO9324"/>
      <c r="AP9324"/>
      <c r="AQ9324"/>
      <c r="AR9324"/>
      <c r="AS9324"/>
      <c r="AT9324"/>
      <c r="AU9324"/>
      <c r="AV9324"/>
    </row>
    <row r="9325" spans="41:48" x14ac:dyDescent="0.35">
      <c r="AO9325"/>
      <c r="AP9325"/>
      <c r="AQ9325"/>
      <c r="AR9325"/>
      <c r="AS9325"/>
      <c r="AT9325"/>
      <c r="AU9325"/>
      <c r="AV9325"/>
    </row>
    <row r="9326" spans="41:48" x14ac:dyDescent="0.35">
      <c r="AO9326"/>
      <c r="AP9326"/>
      <c r="AQ9326"/>
      <c r="AR9326"/>
      <c r="AS9326"/>
      <c r="AT9326"/>
      <c r="AU9326"/>
      <c r="AV9326"/>
    </row>
    <row r="9327" spans="41:48" x14ac:dyDescent="0.35">
      <c r="AO9327"/>
      <c r="AP9327"/>
      <c r="AQ9327"/>
      <c r="AR9327"/>
      <c r="AS9327"/>
      <c r="AT9327"/>
      <c r="AU9327"/>
      <c r="AV9327"/>
    </row>
    <row r="9328" spans="41:48" x14ac:dyDescent="0.35">
      <c r="AO9328"/>
      <c r="AP9328"/>
      <c r="AQ9328"/>
      <c r="AR9328"/>
      <c r="AS9328"/>
      <c r="AT9328"/>
      <c r="AU9328"/>
      <c r="AV9328"/>
    </row>
    <row r="9329" spans="41:48" x14ac:dyDescent="0.35">
      <c r="AO9329"/>
      <c r="AP9329"/>
      <c r="AQ9329"/>
      <c r="AR9329"/>
      <c r="AS9329"/>
      <c r="AT9329"/>
      <c r="AU9329"/>
      <c r="AV9329"/>
    </row>
    <row r="9330" spans="41:48" x14ac:dyDescent="0.35">
      <c r="AO9330"/>
      <c r="AP9330"/>
      <c r="AQ9330"/>
      <c r="AR9330"/>
      <c r="AS9330"/>
      <c r="AT9330"/>
      <c r="AU9330"/>
      <c r="AV9330"/>
    </row>
    <row r="9331" spans="41:48" x14ac:dyDescent="0.35">
      <c r="AO9331"/>
      <c r="AP9331"/>
      <c r="AQ9331"/>
      <c r="AR9331"/>
      <c r="AS9331"/>
      <c r="AT9331"/>
      <c r="AU9331"/>
      <c r="AV9331"/>
    </row>
    <row r="9332" spans="41:48" x14ac:dyDescent="0.35">
      <c r="AO9332"/>
      <c r="AP9332"/>
      <c r="AQ9332"/>
      <c r="AR9332"/>
      <c r="AS9332"/>
      <c r="AT9332"/>
      <c r="AU9332"/>
      <c r="AV9332"/>
    </row>
    <row r="9333" spans="41:48" x14ac:dyDescent="0.35">
      <c r="AO9333"/>
      <c r="AP9333"/>
      <c r="AQ9333"/>
      <c r="AR9333"/>
      <c r="AS9333"/>
      <c r="AT9333"/>
      <c r="AU9333"/>
      <c r="AV9333"/>
    </row>
    <row r="9334" spans="41:48" x14ac:dyDescent="0.35">
      <c r="AO9334"/>
      <c r="AP9334"/>
      <c r="AQ9334"/>
      <c r="AR9334"/>
      <c r="AS9334"/>
      <c r="AT9334"/>
      <c r="AU9334"/>
      <c r="AV9334"/>
    </row>
    <row r="9335" spans="41:48" x14ac:dyDescent="0.35">
      <c r="AO9335"/>
      <c r="AP9335"/>
      <c r="AQ9335"/>
      <c r="AR9335"/>
      <c r="AS9335"/>
      <c r="AT9335"/>
      <c r="AU9335"/>
      <c r="AV9335"/>
    </row>
    <row r="9336" spans="41:48" x14ac:dyDescent="0.35">
      <c r="AO9336"/>
      <c r="AP9336"/>
      <c r="AQ9336"/>
      <c r="AR9336"/>
      <c r="AS9336"/>
      <c r="AT9336"/>
      <c r="AU9336"/>
      <c r="AV9336"/>
    </row>
    <row r="9337" spans="41:48" x14ac:dyDescent="0.35">
      <c r="AO9337"/>
      <c r="AP9337"/>
      <c r="AQ9337"/>
      <c r="AR9337"/>
      <c r="AS9337"/>
      <c r="AT9337"/>
      <c r="AU9337"/>
      <c r="AV9337"/>
    </row>
    <row r="9338" spans="41:48" x14ac:dyDescent="0.35">
      <c r="AO9338"/>
      <c r="AP9338"/>
      <c r="AQ9338"/>
      <c r="AR9338"/>
      <c r="AS9338"/>
      <c r="AT9338"/>
      <c r="AU9338"/>
      <c r="AV9338"/>
    </row>
    <row r="9339" spans="41:48" x14ac:dyDescent="0.35">
      <c r="AO9339"/>
      <c r="AP9339"/>
      <c r="AQ9339"/>
      <c r="AR9339"/>
      <c r="AS9339"/>
      <c r="AT9339"/>
      <c r="AU9339"/>
      <c r="AV9339"/>
    </row>
    <row r="9340" spans="41:48" x14ac:dyDescent="0.35">
      <c r="AO9340"/>
      <c r="AP9340"/>
      <c r="AQ9340"/>
      <c r="AR9340"/>
      <c r="AS9340"/>
      <c r="AT9340"/>
      <c r="AU9340"/>
      <c r="AV9340"/>
    </row>
    <row r="9341" spans="41:48" x14ac:dyDescent="0.35">
      <c r="AO9341"/>
      <c r="AP9341"/>
      <c r="AQ9341"/>
      <c r="AR9341"/>
      <c r="AS9341"/>
      <c r="AT9341"/>
      <c r="AU9341"/>
      <c r="AV9341"/>
    </row>
    <row r="9342" spans="41:48" x14ac:dyDescent="0.35">
      <c r="AO9342"/>
      <c r="AP9342"/>
      <c r="AQ9342"/>
      <c r="AR9342"/>
      <c r="AS9342"/>
      <c r="AT9342"/>
      <c r="AU9342"/>
      <c r="AV9342"/>
    </row>
    <row r="9343" spans="41:48" x14ac:dyDescent="0.35">
      <c r="AO9343"/>
      <c r="AP9343"/>
      <c r="AQ9343"/>
      <c r="AR9343"/>
      <c r="AS9343"/>
      <c r="AT9343"/>
      <c r="AU9343"/>
      <c r="AV9343"/>
    </row>
    <row r="9344" spans="41:48" x14ac:dyDescent="0.35">
      <c r="AO9344"/>
      <c r="AP9344"/>
      <c r="AQ9344"/>
      <c r="AR9344"/>
      <c r="AS9344"/>
      <c r="AT9344"/>
      <c r="AU9344"/>
      <c r="AV9344"/>
    </row>
    <row r="9345" spans="41:48" x14ac:dyDescent="0.35">
      <c r="AO9345"/>
      <c r="AP9345"/>
      <c r="AQ9345"/>
      <c r="AR9345"/>
      <c r="AS9345"/>
      <c r="AT9345"/>
      <c r="AU9345"/>
      <c r="AV9345"/>
    </row>
    <row r="9346" spans="41:48" x14ac:dyDescent="0.35">
      <c r="AO9346"/>
      <c r="AP9346"/>
      <c r="AQ9346"/>
      <c r="AR9346"/>
      <c r="AS9346"/>
      <c r="AT9346"/>
      <c r="AU9346"/>
      <c r="AV9346"/>
    </row>
    <row r="9347" spans="41:48" x14ac:dyDescent="0.35">
      <c r="AO9347"/>
      <c r="AP9347"/>
      <c r="AQ9347"/>
      <c r="AR9347"/>
      <c r="AS9347"/>
      <c r="AT9347"/>
      <c r="AU9347"/>
      <c r="AV9347"/>
    </row>
    <row r="9348" spans="41:48" x14ac:dyDescent="0.35">
      <c r="AO9348"/>
      <c r="AP9348"/>
      <c r="AQ9348"/>
      <c r="AR9348"/>
      <c r="AS9348"/>
      <c r="AT9348"/>
      <c r="AU9348"/>
      <c r="AV9348"/>
    </row>
    <row r="9349" spans="41:48" x14ac:dyDescent="0.35">
      <c r="AO9349"/>
      <c r="AP9349"/>
      <c r="AQ9349"/>
      <c r="AR9349"/>
      <c r="AS9349"/>
      <c r="AT9349"/>
      <c r="AU9349"/>
      <c r="AV9349"/>
    </row>
    <row r="9350" spans="41:48" x14ac:dyDescent="0.35">
      <c r="AO9350"/>
      <c r="AP9350"/>
      <c r="AQ9350"/>
      <c r="AR9350"/>
      <c r="AS9350"/>
      <c r="AT9350"/>
      <c r="AU9350"/>
      <c r="AV9350"/>
    </row>
    <row r="9351" spans="41:48" x14ac:dyDescent="0.35">
      <c r="AO9351"/>
      <c r="AP9351"/>
      <c r="AQ9351"/>
      <c r="AR9351"/>
      <c r="AS9351"/>
      <c r="AT9351"/>
      <c r="AU9351"/>
      <c r="AV9351"/>
    </row>
    <row r="9352" spans="41:48" x14ac:dyDescent="0.35">
      <c r="AO9352"/>
      <c r="AP9352"/>
      <c r="AQ9352"/>
      <c r="AR9352"/>
      <c r="AS9352"/>
      <c r="AT9352"/>
      <c r="AU9352"/>
      <c r="AV9352"/>
    </row>
    <row r="9353" spans="41:48" x14ac:dyDescent="0.35">
      <c r="AO9353"/>
      <c r="AP9353"/>
      <c r="AQ9353"/>
      <c r="AR9353"/>
      <c r="AS9353"/>
      <c r="AT9353"/>
      <c r="AU9353"/>
      <c r="AV9353"/>
    </row>
    <row r="9354" spans="41:48" x14ac:dyDescent="0.35">
      <c r="AO9354"/>
      <c r="AP9354"/>
      <c r="AQ9354"/>
      <c r="AR9354"/>
      <c r="AS9354"/>
      <c r="AT9354"/>
      <c r="AU9354"/>
      <c r="AV9354"/>
    </row>
    <row r="9355" spans="41:48" x14ac:dyDescent="0.35">
      <c r="AO9355"/>
      <c r="AP9355"/>
      <c r="AQ9355"/>
      <c r="AR9355"/>
      <c r="AS9355"/>
      <c r="AT9355"/>
      <c r="AU9355"/>
      <c r="AV9355"/>
    </row>
    <row r="9356" spans="41:48" x14ac:dyDescent="0.35">
      <c r="AO9356"/>
      <c r="AP9356"/>
      <c r="AQ9356"/>
      <c r="AR9356"/>
      <c r="AS9356"/>
      <c r="AT9356"/>
      <c r="AU9356"/>
      <c r="AV9356"/>
    </row>
    <row r="9357" spans="41:48" x14ac:dyDescent="0.35">
      <c r="AO9357"/>
      <c r="AP9357"/>
      <c r="AQ9357"/>
      <c r="AR9357"/>
      <c r="AS9357"/>
      <c r="AT9357"/>
      <c r="AU9357"/>
      <c r="AV9357"/>
    </row>
    <row r="9358" spans="41:48" x14ac:dyDescent="0.35">
      <c r="AO9358"/>
      <c r="AP9358"/>
      <c r="AQ9358"/>
      <c r="AR9358"/>
      <c r="AS9358"/>
      <c r="AT9358"/>
      <c r="AU9358"/>
      <c r="AV9358"/>
    </row>
    <row r="9359" spans="41:48" x14ac:dyDescent="0.35">
      <c r="AO9359"/>
      <c r="AP9359"/>
      <c r="AQ9359"/>
      <c r="AR9359"/>
      <c r="AS9359"/>
      <c r="AT9359"/>
      <c r="AU9359"/>
      <c r="AV9359"/>
    </row>
    <row r="9360" spans="41:48" x14ac:dyDescent="0.35">
      <c r="AO9360"/>
      <c r="AP9360"/>
      <c r="AQ9360"/>
      <c r="AR9360"/>
      <c r="AS9360"/>
      <c r="AT9360"/>
      <c r="AU9360"/>
      <c r="AV9360"/>
    </row>
    <row r="9361" spans="41:48" x14ac:dyDescent="0.35">
      <c r="AO9361"/>
      <c r="AP9361"/>
      <c r="AQ9361"/>
      <c r="AR9361"/>
      <c r="AS9361"/>
      <c r="AT9361"/>
      <c r="AU9361"/>
      <c r="AV9361"/>
    </row>
    <row r="9362" spans="41:48" x14ac:dyDescent="0.35">
      <c r="AO9362"/>
      <c r="AP9362"/>
      <c r="AQ9362"/>
      <c r="AR9362"/>
      <c r="AS9362"/>
      <c r="AT9362"/>
      <c r="AU9362"/>
      <c r="AV9362"/>
    </row>
    <row r="9363" spans="41:48" x14ac:dyDescent="0.35">
      <c r="AO9363"/>
      <c r="AP9363"/>
      <c r="AQ9363"/>
      <c r="AR9363"/>
      <c r="AS9363"/>
      <c r="AT9363"/>
      <c r="AU9363"/>
      <c r="AV9363"/>
    </row>
    <row r="9364" spans="41:48" x14ac:dyDescent="0.35">
      <c r="AO9364"/>
      <c r="AP9364"/>
      <c r="AQ9364"/>
      <c r="AR9364"/>
      <c r="AS9364"/>
      <c r="AT9364"/>
      <c r="AU9364"/>
      <c r="AV9364"/>
    </row>
    <row r="9365" spans="41:48" x14ac:dyDescent="0.35">
      <c r="AO9365"/>
      <c r="AP9365"/>
      <c r="AQ9365"/>
      <c r="AR9365"/>
      <c r="AS9365"/>
      <c r="AT9365"/>
      <c r="AU9365"/>
      <c r="AV9365"/>
    </row>
    <row r="9366" spans="41:48" x14ac:dyDescent="0.35">
      <c r="AO9366"/>
      <c r="AP9366"/>
      <c r="AQ9366"/>
      <c r="AR9366"/>
      <c r="AS9366"/>
      <c r="AT9366"/>
      <c r="AU9366"/>
      <c r="AV9366"/>
    </row>
    <row r="9367" spans="41:48" x14ac:dyDescent="0.35">
      <c r="AO9367"/>
      <c r="AP9367"/>
      <c r="AQ9367"/>
      <c r="AR9367"/>
      <c r="AS9367"/>
      <c r="AT9367"/>
      <c r="AU9367"/>
      <c r="AV9367"/>
    </row>
    <row r="9368" spans="41:48" x14ac:dyDescent="0.35">
      <c r="AO9368"/>
      <c r="AP9368"/>
      <c r="AQ9368"/>
      <c r="AR9368"/>
      <c r="AS9368"/>
      <c r="AT9368"/>
      <c r="AU9368"/>
      <c r="AV9368"/>
    </row>
    <row r="9369" spans="41:48" x14ac:dyDescent="0.35">
      <c r="AO9369"/>
      <c r="AP9369"/>
      <c r="AQ9369"/>
      <c r="AR9369"/>
      <c r="AS9369"/>
      <c r="AT9369"/>
      <c r="AU9369"/>
      <c r="AV9369"/>
    </row>
    <row r="9370" spans="41:48" x14ac:dyDescent="0.35">
      <c r="AO9370"/>
      <c r="AP9370"/>
      <c r="AQ9370"/>
      <c r="AR9370"/>
      <c r="AS9370"/>
      <c r="AT9370"/>
      <c r="AU9370"/>
      <c r="AV9370"/>
    </row>
    <row r="9371" spans="41:48" x14ac:dyDescent="0.35">
      <c r="AO9371"/>
      <c r="AP9371"/>
      <c r="AQ9371"/>
      <c r="AR9371"/>
      <c r="AS9371"/>
      <c r="AT9371"/>
      <c r="AU9371"/>
      <c r="AV9371"/>
    </row>
    <row r="9372" spans="41:48" x14ac:dyDescent="0.35">
      <c r="AO9372"/>
      <c r="AP9372"/>
      <c r="AQ9372"/>
      <c r="AR9372"/>
      <c r="AS9372"/>
      <c r="AT9372"/>
      <c r="AU9372"/>
      <c r="AV9372"/>
    </row>
    <row r="9373" spans="41:48" x14ac:dyDescent="0.35">
      <c r="AO9373"/>
      <c r="AP9373"/>
      <c r="AQ9373"/>
      <c r="AR9373"/>
      <c r="AS9373"/>
      <c r="AT9373"/>
      <c r="AU9373"/>
      <c r="AV9373"/>
    </row>
    <row r="9374" spans="41:48" x14ac:dyDescent="0.35">
      <c r="AO9374"/>
      <c r="AP9374"/>
      <c r="AQ9374"/>
      <c r="AR9374"/>
      <c r="AS9374"/>
      <c r="AT9374"/>
      <c r="AU9374"/>
      <c r="AV9374"/>
    </row>
    <row r="9375" spans="41:48" x14ac:dyDescent="0.35">
      <c r="AO9375"/>
      <c r="AP9375"/>
      <c r="AQ9375"/>
      <c r="AR9375"/>
      <c r="AS9375"/>
      <c r="AT9375"/>
      <c r="AU9375"/>
      <c r="AV9375"/>
    </row>
    <row r="9376" spans="41:48" x14ac:dyDescent="0.35">
      <c r="AO9376"/>
      <c r="AP9376"/>
      <c r="AQ9376"/>
      <c r="AR9376"/>
      <c r="AS9376"/>
      <c r="AT9376"/>
      <c r="AU9376"/>
      <c r="AV9376"/>
    </row>
    <row r="9377" spans="41:48" x14ac:dyDescent="0.35">
      <c r="AO9377"/>
      <c r="AP9377"/>
      <c r="AQ9377"/>
      <c r="AR9377"/>
      <c r="AS9377"/>
      <c r="AT9377"/>
      <c r="AU9377"/>
      <c r="AV9377"/>
    </row>
    <row r="9378" spans="41:48" x14ac:dyDescent="0.35">
      <c r="AO9378"/>
      <c r="AP9378"/>
      <c r="AQ9378"/>
      <c r="AR9378"/>
      <c r="AS9378"/>
      <c r="AT9378"/>
      <c r="AU9378"/>
      <c r="AV9378"/>
    </row>
    <row r="9379" spans="41:48" x14ac:dyDescent="0.35">
      <c r="AO9379"/>
      <c r="AP9379"/>
      <c r="AQ9379"/>
      <c r="AR9379"/>
      <c r="AS9379"/>
      <c r="AT9379"/>
      <c r="AU9379"/>
      <c r="AV9379"/>
    </row>
    <row r="9380" spans="41:48" x14ac:dyDescent="0.35">
      <c r="AO9380"/>
      <c r="AP9380"/>
      <c r="AQ9380"/>
      <c r="AR9380"/>
      <c r="AS9380"/>
      <c r="AT9380"/>
      <c r="AU9380"/>
      <c r="AV9380"/>
    </row>
    <row r="9381" spans="41:48" x14ac:dyDescent="0.35">
      <c r="AO9381"/>
      <c r="AP9381"/>
      <c r="AQ9381"/>
      <c r="AR9381"/>
      <c r="AS9381"/>
      <c r="AT9381"/>
      <c r="AU9381"/>
      <c r="AV9381"/>
    </row>
    <row r="9382" spans="41:48" x14ac:dyDescent="0.35">
      <c r="AO9382"/>
      <c r="AP9382"/>
      <c r="AQ9382"/>
      <c r="AR9382"/>
      <c r="AS9382"/>
      <c r="AT9382"/>
      <c r="AU9382"/>
      <c r="AV9382"/>
    </row>
    <row r="9383" spans="41:48" x14ac:dyDescent="0.35">
      <c r="AO9383"/>
      <c r="AP9383"/>
      <c r="AQ9383"/>
      <c r="AR9383"/>
      <c r="AS9383"/>
      <c r="AT9383"/>
      <c r="AU9383"/>
      <c r="AV9383"/>
    </row>
    <row r="9384" spans="41:48" x14ac:dyDescent="0.35">
      <c r="AO9384"/>
      <c r="AP9384"/>
      <c r="AQ9384"/>
      <c r="AR9384"/>
      <c r="AS9384"/>
      <c r="AT9384"/>
      <c r="AU9384"/>
      <c r="AV9384"/>
    </row>
    <row r="9385" spans="41:48" x14ac:dyDescent="0.35">
      <c r="AO9385"/>
      <c r="AP9385"/>
      <c r="AQ9385"/>
      <c r="AR9385"/>
      <c r="AS9385"/>
      <c r="AT9385"/>
      <c r="AU9385"/>
      <c r="AV9385"/>
    </row>
    <row r="9386" spans="41:48" x14ac:dyDescent="0.35">
      <c r="AO9386"/>
      <c r="AP9386"/>
      <c r="AQ9386"/>
      <c r="AR9386"/>
      <c r="AS9386"/>
      <c r="AT9386"/>
      <c r="AU9386"/>
      <c r="AV9386"/>
    </row>
    <row r="9387" spans="41:48" x14ac:dyDescent="0.35">
      <c r="AO9387"/>
      <c r="AP9387"/>
      <c r="AQ9387"/>
      <c r="AR9387"/>
      <c r="AS9387"/>
      <c r="AT9387"/>
      <c r="AU9387"/>
      <c r="AV9387"/>
    </row>
    <row r="9388" spans="41:48" x14ac:dyDescent="0.35">
      <c r="AO9388"/>
      <c r="AP9388"/>
      <c r="AQ9388"/>
      <c r="AR9388"/>
      <c r="AS9388"/>
      <c r="AT9388"/>
      <c r="AU9388"/>
      <c r="AV9388"/>
    </row>
    <row r="9389" spans="41:48" x14ac:dyDescent="0.35">
      <c r="AO9389"/>
      <c r="AP9389"/>
      <c r="AQ9389"/>
      <c r="AR9389"/>
      <c r="AS9389"/>
      <c r="AT9389"/>
      <c r="AU9389"/>
      <c r="AV9389"/>
    </row>
    <row r="9390" spans="41:48" x14ac:dyDescent="0.35">
      <c r="AO9390"/>
      <c r="AP9390"/>
      <c r="AQ9390"/>
      <c r="AR9390"/>
      <c r="AS9390"/>
      <c r="AT9390"/>
      <c r="AU9390"/>
      <c r="AV9390"/>
    </row>
    <row r="9391" spans="41:48" x14ac:dyDescent="0.35">
      <c r="AO9391"/>
      <c r="AP9391"/>
      <c r="AQ9391"/>
      <c r="AR9391"/>
      <c r="AS9391"/>
      <c r="AT9391"/>
      <c r="AU9391"/>
      <c r="AV9391"/>
    </row>
    <row r="9392" spans="41:48" x14ac:dyDescent="0.35">
      <c r="AO9392"/>
      <c r="AP9392"/>
      <c r="AQ9392"/>
      <c r="AR9392"/>
      <c r="AS9392"/>
      <c r="AT9392"/>
      <c r="AU9392"/>
      <c r="AV9392"/>
    </row>
    <row r="9393" spans="41:48" x14ac:dyDescent="0.35">
      <c r="AO9393"/>
      <c r="AP9393"/>
      <c r="AQ9393"/>
      <c r="AR9393"/>
      <c r="AS9393"/>
      <c r="AT9393"/>
      <c r="AU9393"/>
      <c r="AV9393"/>
    </row>
    <row r="9394" spans="41:48" x14ac:dyDescent="0.35">
      <c r="AO9394"/>
      <c r="AP9394"/>
      <c r="AQ9394"/>
      <c r="AR9394"/>
      <c r="AS9394"/>
      <c r="AT9394"/>
      <c r="AU9394"/>
      <c r="AV9394"/>
    </row>
    <row r="9395" spans="41:48" x14ac:dyDescent="0.35">
      <c r="AO9395"/>
      <c r="AP9395"/>
      <c r="AQ9395"/>
      <c r="AR9395"/>
      <c r="AS9395"/>
      <c r="AT9395"/>
      <c r="AU9395"/>
      <c r="AV9395"/>
    </row>
    <row r="9396" spans="41:48" x14ac:dyDescent="0.35">
      <c r="AO9396"/>
      <c r="AP9396"/>
      <c r="AQ9396"/>
      <c r="AR9396"/>
      <c r="AS9396"/>
      <c r="AT9396"/>
      <c r="AU9396"/>
      <c r="AV9396"/>
    </row>
    <row r="9397" spans="41:48" x14ac:dyDescent="0.35">
      <c r="AO9397"/>
      <c r="AP9397"/>
      <c r="AQ9397"/>
      <c r="AR9397"/>
      <c r="AS9397"/>
      <c r="AT9397"/>
      <c r="AU9397"/>
      <c r="AV9397"/>
    </row>
    <row r="9398" spans="41:48" x14ac:dyDescent="0.35">
      <c r="AO9398"/>
      <c r="AP9398"/>
      <c r="AQ9398"/>
      <c r="AR9398"/>
      <c r="AS9398"/>
      <c r="AT9398"/>
      <c r="AU9398"/>
      <c r="AV9398"/>
    </row>
    <row r="9399" spans="41:48" x14ac:dyDescent="0.35">
      <c r="AO9399"/>
      <c r="AP9399"/>
      <c r="AQ9399"/>
      <c r="AR9399"/>
      <c r="AS9399"/>
      <c r="AT9399"/>
      <c r="AU9399"/>
      <c r="AV9399"/>
    </row>
    <row r="9400" spans="41:48" x14ac:dyDescent="0.35">
      <c r="AO9400"/>
      <c r="AP9400"/>
      <c r="AQ9400"/>
      <c r="AR9400"/>
      <c r="AS9400"/>
      <c r="AT9400"/>
      <c r="AU9400"/>
      <c r="AV9400"/>
    </row>
    <row r="9401" spans="41:48" x14ac:dyDescent="0.35">
      <c r="AO9401"/>
      <c r="AP9401"/>
      <c r="AQ9401"/>
      <c r="AR9401"/>
      <c r="AS9401"/>
      <c r="AT9401"/>
      <c r="AU9401"/>
      <c r="AV9401"/>
    </row>
    <row r="9402" spans="41:48" x14ac:dyDescent="0.35">
      <c r="AO9402"/>
      <c r="AP9402"/>
      <c r="AQ9402"/>
      <c r="AR9402"/>
      <c r="AS9402"/>
      <c r="AT9402"/>
      <c r="AU9402"/>
      <c r="AV9402"/>
    </row>
    <row r="9403" spans="41:48" x14ac:dyDescent="0.35">
      <c r="AO9403"/>
      <c r="AP9403"/>
      <c r="AQ9403"/>
      <c r="AR9403"/>
      <c r="AS9403"/>
      <c r="AT9403"/>
      <c r="AU9403"/>
      <c r="AV9403"/>
    </row>
    <row r="9404" spans="41:48" x14ac:dyDescent="0.35">
      <c r="AO9404"/>
      <c r="AP9404"/>
      <c r="AQ9404"/>
      <c r="AR9404"/>
      <c r="AS9404"/>
      <c r="AT9404"/>
      <c r="AU9404"/>
      <c r="AV9404"/>
    </row>
    <row r="9405" spans="41:48" x14ac:dyDescent="0.35">
      <c r="AO9405"/>
      <c r="AP9405"/>
      <c r="AQ9405"/>
      <c r="AR9405"/>
      <c r="AS9405"/>
      <c r="AT9405"/>
      <c r="AU9405"/>
      <c r="AV9405"/>
    </row>
    <row r="9406" spans="41:48" x14ac:dyDescent="0.35">
      <c r="AO9406"/>
      <c r="AP9406"/>
      <c r="AQ9406"/>
      <c r="AR9406"/>
      <c r="AS9406"/>
      <c r="AT9406"/>
      <c r="AU9406"/>
      <c r="AV9406"/>
    </row>
    <row r="9407" spans="41:48" x14ac:dyDescent="0.35">
      <c r="AO9407"/>
      <c r="AP9407"/>
      <c r="AQ9407"/>
      <c r="AR9407"/>
      <c r="AS9407"/>
      <c r="AT9407"/>
      <c r="AU9407"/>
      <c r="AV9407"/>
    </row>
    <row r="9408" spans="41:48" x14ac:dyDescent="0.35">
      <c r="AO9408"/>
      <c r="AP9408"/>
      <c r="AQ9408"/>
      <c r="AR9408"/>
      <c r="AS9408"/>
      <c r="AT9408"/>
      <c r="AU9408"/>
      <c r="AV9408"/>
    </row>
    <row r="9409" spans="41:48" x14ac:dyDescent="0.35">
      <c r="AO9409"/>
      <c r="AP9409"/>
      <c r="AQ9409"/>
      <c r="AR9409"/>
      <c r="AS9409"/>
      <c r="AT9409"/>
      <c r="AU9409"/>
      <c r="AV9409"/>
    </row>
    <row r="9410" spans="41:48" x14ac:dyDescent="0.35">
      <c r="AO9410"/>
      <c r="AP9410"/>
      <c r="AQ9410"/>
      <c r="AR9410"/>
      <c r="AS9410"/>
      <c r="AT9410"/>
      <c r="AU9410"/>
      <c r="AV9410"/>
    </row>
    <row r="9411" spans="41:48" x14ac:dyDescent="0.35">
      <c r="AO9411"/>
      <c r="AP9411"/>
      <c r="AQ9411"/>
      <c r="AR9411"/>
      <c r="AS9411"/>
      <c r="AT9411"/>
      <c r="AU9411"/>
      <c r="AV9411"/>
    </row>
    <row r="9412" spans="41:48" x14ac:dyDescent="0.35">
      <c r="AO9412"/>
      <c r="AP9412"/>
      <c r="AQ9412"/>
      <c r="AR9412"/>
      <c r="AS9412"/>
      <c r="AT9412"/>
      <c r="AU9412"/>
      <c r="AV9412"/>
    </row>
    <row r="9413" spans="41:48" x14ac:dyDescent="0.35">
      <c r="AO9413"/>
      <c r="AP9413"/>
      <c r="AQ9413"/>
      <c r="AR9413"/>
      <c r="AS9413"/>
      <c r="AT9413"/>
      <c r="AU9413"/>
      <c r="AV9413"/>
    </row>
    <row r="9414" spans="41:48" x14ac:dyDescent="0.35">
      <c r="AO9414"/>
      <c r="AP9414"/>
      <c r="AQ9414"/>
      <c r="AR9414"/>
      <c r="AS9414"/>
      <c r="AT9414"/>
      <c r="AU9414"/>
      <c r="AV9414"/>
    </row>
    <row r="9415" spans="41:48" x14ac:dyDescent="0.35">
      <c r="AO9415"/>
      <c r="AP9415"/>
      <c r="AQ9415"/>
      <c r="AR9415"/>
      <c r="AS9415"/>
      <c r="AT9415"/>
      <c r="AU9415"/>
      <c r="AV9415"/>
    </row>
    <row r="9416" spans="41:48" x14ac:dyDescent="0.35">
      <c r="AO9416"/>
      <c r="AP9416"/>
      <c r="AQ9416"/>
      <c r="AR9416"/>
      <c r="AS9416"/>
      <c r="AT9416"/>
      <c r="AU9416"/>
      <c r="AV9416"/>
    </row>
    <row r="9417" spans="41:48" x14ac:dyDescent="0.35">
      <c r="AO9417"/>
      <c r="AP9417"/>
      <c r="AQ9417"/>
      <c r="AR9417"/>
      <c r="AS9417"/>
      <c r="AT9417"/>
      <c r="AU9417"/>
      <c r="AV9417"/>
    </row>
    <row r="9418" spans="41:48" x14ac:dyDescent="0.35">
      <c r="AO9418"/>
      <c r="AP9418"/>
      <c r="AQ9418"/>
      <c r="AR9418"/>
      <c r="AS9418"/>
      <c r="AT9418"/>
      <c r="AU9418"/>
      <c r="AV9418"/>
    </row>
    <row r="9419" spans="41:48" x14ac:dyDescent="0.35">
      <c r="AO9419"/>
      <c r="AP9419"/>
      <c r="AQ9419"/>
      <c r="AR9419"/>
      <c r="AS9419"/>
      <c r="AT9419"/>
      <c r="AU9419"/>
      <c r="AV9419"/>
    </row>
    <row r="9420" spans="41:48" x14ac:dyDescent="0.35">
      <c r="AO9420"/>
      <c r="AP9420"/>
      <c r="AQ9420"/>
      <c r="AR9420"/>
      <c r="AS9420"/>
      <c r="AT9420"/>
      <c r="AU9420"/>
      <c r="AV9420"/>
    </row>
    <row r="9421" spans="41:48" x14ac:dyDescent="0.35">
      <c r="AO9421"/>
      <c r="AP9421"/>
      <c r="AQ9421"/>
      <c r="AR9421"/>
      <c r="AS9421"/>
      <c r="AT9421"/>
      <c r="AU9421"/>
      <c r="AV9421"/>
    </row>
    <row r="9422" spans="41:48" x14ac:dyDescent="0.35">
      <c r="AO9422"/>
      <c r="AP9422"/>
      <c r="AQ9422"/>
      <c r="AR9422"/>
      <c r="AS9422"/>
      <c r="AT9422"/>
      <c r="AU9422"/>
      <c r="AV9422"/>
    </row>
    <row r="9423" spans="41:48" x14ac:dyDescent="0.35">
      <c r="AO9423"/>
      <c r="AP9423"/>
      <c r="AQ9423"/>
      <c r="AR9423"/>
      <c r="AS9423"/>
      <c r="AT9423"/>
      <c r="AU9423"/>
      <c r="AV9423"/>
    </row>
    <row r="9424" spans="41:48" x14ac:dyDescent="0.35">
      <c r="AO9424"/>
      <c r="AP9424"/>
      <c r="AQ9424"/>
      <c r="AR9424"/>
      <c r="AS9424"/>
      <c r="AT9424"/>
      <c r="AU9424"/>
      <c r="AV9424"/>
    </row>
    <row r="9425" spans="41:48" x14ac:dyDescent="0.35">
      <c r="AO9425"/>
      <c r="AP9425"/>
      <c r="AQ9425"/>
      <c r="AR9425"/>
      <c r="AS9425"/>
      <c r="AT9425"/>
      <c r="AU9425"/>
      <c r="AV9425"/>
    </row>
    <row r="9426" spans="41:48" x14ac:dyDescent="0.35">
      <c r="AO9426"/>
      <c r="AP9426"/>
      <c r="AQ9426"/>
      <c r="AR9426"/>
      <c r="AS9426"/>
      <c r="AT9426"/>
      <c r="AU9426"/>
      <c r="AV9426"/>
    </row>
    <row r="9427" spans="41:48" x14ac:dyDescent="0.35">
      <c r="AO9427"/>
      <c r="AP9427"/>
      <c r="AQ9427"/>
      <c r="AR9427"/>
      <c r="AS9427"/>
      <c r="AT9427"/>
      <c r="AU9427"/>
      <c r="AV9427"/>
    </row>
    <row r="9428" spans="41:48" x14ac:dyDescent="0.35">
      <c r="AO9428"/>
      <c r="AP9428"/>
      <c r="AQ9428"/>
      <c r="AR9428"/>
      <c r="AS9428"/>
      <c r="AT9428"/>
      <c r="AU9428"/>
      <c r="AV9428"/>
    </row>
    <row r="9429" spans="41:48" x14ac:dyDescent="0.35">
      <c r="AO9429"/>
      <c r="AP9429"/>
      <c r="AQ9429"/>
      <c r="AR9429"/>
      <c r="AS9429"/>
      <c r="AT9429"/>
      <c r="AU9429"/>
      <c r="AV9429"/>
    </row>
    <row r="9430" spans="41:48" x14ac:dyDescent="0.35">
      <c r="AO9430"/>
      <c r="AP9430"/>
      <c r="AQ9430"/>
      <c r="AR9430"/>
      <c r="AS9430"/>
      <c r="AT9430"/>
      <c r="AU9430"/>
      <c r="AV9430"/>
    </row>
    <row r="9431" spans="41:48" x14ac:dyDescent="0.35">
      <c r="AO9431"/>
      <c r="AP9431"/>
      <c r="AQ9431"/>
      <c r="AR9431"/>
      <c r="AS9431"/>
      <c r="AT9431"/>
      <c r="AU9431"/>
      <c r="AV9431"/>
    </row>
    <row r="9432" spans="41:48" x14ac:dyDescent="0.35">
      <c r="AO9432"/>
      <c r="AP9432"/>
      <c r="AQ9432"/>
      <c r="AR9432"/>
      <c r="AS9432"/>
      <c r="AT9432"/>
      <c r="AU9432"/>
      <c r="AV9432"/>
    </row>
    <row r="9433" spans="41:48" x14ac:dyDescent="0.35">
      <c r="AO9433"/>
      <c r="AP9433"/>
      <c r="AQ9433"/>
      <c r="AR9433"/>
      <c r="AS9433"/>
      <c r="AT9433"/>
      <c r="AU9433"/>
      <c r="AV9433"/>
    </row>
    <row r="9434" spans="41:48" x14ac:dyDescent="0.35">
      <c r="AO9434"/>
      <c r="AP9434"/>
      <c r="AQ9434"/>
      <c r="AR9434"/>
      <c r="AS9434"/>
      <c r="AT9434"/>
      <c r="AU9434"/>
      <c r="AV9434"/>
    </row>
    <row r="9435" spans="41:48" x14ac:dyDescent="0.35">
      <c r="AO9435"/>
      <c r="AP9435"/>
      <c r="AQ9435"/>
      <c r="AR9435"/>
      <c r="AS9435"/>
      <c r="AT9435"/>
      <c r="AU9435"/>
      <c r="AV9435"/>
    </row>
    <row r="9436" spans="41:48" x14ac:dyDescent="0.35">
      <c r="AO9436"/>
      <c r="AP9436"/>
      <c r="AQ9436"/>
      <c r="AR9436"/>
      <c r="AS9436"/>
      <c r="AT9436"/>
      <c r="AU9436"/>
      <c r="AV9436"/>
    </row>
    <row r="9437" spans="41:48" x14ac:dyDescent="0.35">
      <c r="AO9437"/>
      <c r="AP9437"/>
      <c r="AQ9437"/>
      <c r="AR9437"/>
      <c r="AS9437"/>
      <c r="AT9437"/>
      <c r="AU9437"/>
      <c r="AV9437"/>
    </row>
    <row r="9438" spans="41:48" x14ac:dyDescent="0.35">
      <c r="AO9438"/>
      <c r="AP9438"/>
      <c r="AQ9438"/>
      <c r="AR9438"/>
      <c r="AS9438"/>
      <c r="AT9438"/>
      <c r="AU9438"/>
      <c r="AV9438"/>
    </row>
    <row r="9439" spans="41:48" x14ac:dyDescent="0.35">
      <c r="AO9439"/>
      <c r="AP9439"/>
      <c r="AQ9439"/>
      <c r="AR9439"/>
      <c r="AS9439"/>
      <c r="AT9439"/>
      <c r="AU9439"/>
      <c r="AV9439"/>
    </row>
    <row r="9440" spans="41:48" x14ac:dyDescent="0.35">
      <c r="AO9440"/>
      <c r="AP9440"/>
      <c r="AQ9440"/>
      <c r="AR9440"/>
      <c r="AS9440"/>
      <c r="AT9440"/>
      <c r="AU9440"/>
      <c r="AV9440"/>
    </row>
    <row r="9441" spans="41:48" x14ac:dyDescent="0.35">
      <c r="AO9441"/>
      <c r="AP9441"/>
      <c r="AQ9441"/>
      <c r="AR9441"/>
      <c r="AS9441"/>
      <c r="AT9441"/>
      <c r="AU9441"/>
      <c r="AV9441"/>
    </row>
    <row r="9442" spans="41:48" x14ac:dyDescent="0.35">
      <c r="AO9442"/>
      <c r="AP9442"/>
      <c r="AQ9442"/>
      <c r="AR9442"/>
      <c r="AS9442"/>
      <c r="AT9442"/>
      <c r="AU9442"/>
      <c r="AV9442"/>
    </row>
    <row r="9443" spans="41:48" x14ac:dyDescent="0.35">
      <c r="AO9443"/>
      <c r="AP9443"/>
      <c r="AQ9443"/>
      <c r="AR9443"/>
      <c r="AS9443"/>
      <c r="AT9443"/>
      <c r="AU9443"/>
      <c r="AV9443"/>
    </row>
    <row r="9444" spans="41:48" x14ac:dyDescent="0.35">
      <c r="AO9444"/>
      <c r="AP9444"/>
      <c r="AQ9444"/>
      <c r="AR9444"/>
      <c r="AS9444"/>
      <c r="AT9444"/>
      <c r="AU9444"/>
      <c r="AV9444"/>
    </row>
    <row r="9445" spans="41:48" x14ac:dyDescent="0.35">
      <c r="AO9445"/>
      <c r="AP9445"/>
      <c r="AQ9445"/>
      <c r="AR9445"/>
      <c r="AS9445"/>
      <c r="AT9445"/>
      <c r="AU9445"/>
      <c r="AV9445"/>
    </row>
    <row r="9446" spans="41:48" x14ac:dyDescent="0.35">
      <c r="AO9446"/>
      <c r="AP9446"/>
      <c r="AQ9446"/>
      <c r="AR9446"/>
      <c r="AS9446"/>
      <c r="AT9446"/>
      <c r="AU9446"/>
      <c r="AV9446"/>
    </row>
    <row r="9447" spans="41:48" x14ac:dyDescent="0.35">
      <c r="AO9447"/>
      <c r="AP9447"/>
      <c r="AQ9447"/>
      <c r="AR9447"/>
      <c r="AS9447"/>
      <c r="AT9447"/>
      <c r="AU9447"/>
      <c r="AV9447"/>
    </row>
    <row r="9448" spans="41:48" x14ac:dyDescent="0.35">
      <c r="AO9448"/>
      <c r="AP9448"/>
      <c r="AQ9448"/>
      <c r="AR9448"/>
      <c r="AS9448"/>
      <c r="AT9448"/>
      <c r="AU9448"/>
      <c r="AV9448"/>
    </row>
    <row r="9449" spans="41:48" x14ac:dyDescent="0.35">
      <c r="AO9449"/>
      <c r="AP9449"/>
      <c r="AQ9449"/>
      <c r="AR9449"/>
      <c r="AS9449"/>
      <c r="AT9449"/>
      <c r="AU9449"/>
      <c r="AV9449"/>
    </row>
    <row r="9450" spans="41:48" x14ac:dyDescent="0.35">
      <c r="AO9450"/>
      <c r="AP9450"/>
      <c r="AQ9450"/>
      <c r="AR9450"/>
      <c r="AS9450"/>
      <c r="AT9450"/>
      <c r="AU9450"/>
      <c r="AV9450"/>
    </row>
    <row r="9451" spans="41:48" x14ac:dyDescent="0.35">
      <c r="AO9451"/>
      <c r="AP9451"/>
      <c r="AQ9451"/>
      <c r="AR9451"/>
      <c r="AS9451"/>
      <c r="AT9451"/>
      <c r="AU9451"/>
      <c r="AV9451"/>
    </row>
    <row r="9452" spans="41:48" x14ac:dyDescent="0.35">
      <c r="AO9452"/>
      <c r="AP9452"/>
      <c r="AQ9452"/>
      <c r="AR9452"/>
      <c r="AS9452"/>
      <c r="AT9452"/>
      <c r="AU9452"/>
      <c r="AV9452"/>
    </row>
    <row r="9453" spans="41:48" x14ac:dyDescent="0.35">
      <c r="AO9453"/>
      <c r="AP9453"/>
      <c r="AQ9453"/>
      <c r="AR9453"/>
      <c r="AS9453"/>
      <c r="AT9453"/>
      <c r="AU9453"/>
      <c r="AV9453"/>
    </row>
    <row r="9454" spans="41:48" x14ac:dyDescent="0.35">
      <c r="AO9454"/>
      <c r="AP9454"/>
      <c r="AQ9454"/>
      <c r="AR9454"/>
      <c r="AS9454"/>
      <c r="AT9454"/>
      <c r="AU9454"/>
      <c r="AV9454"/>
    </row>
    <row r="9455" spans="41:48" x14ac:dyDescent="0.35">
      <c r="AO9455"/>
      <c r="AP9455"/>
      <c r="AQ9455"/>
      <c r="AR9455"/>
      <c r="AS9455"/>
      <c r="AT9455"/>
      <c r="AU9455"/>
      <c r="AV9455"/>
    </row>
    <row r="9456" spans="41:48" x14ac:dyDescent="0.35">
      <c r="AO9456"/>
      <c r="AP9456"/>
      <c r="AQ9456"/>
      <c r="AR9456"/>
      <c r="AS9456"/>
      <c r="AT9456"/>
      <c r="AU9456"/>
      <c r="AV9456"/>
    </row>
    <row r="9457" spans="41:48" x14ac:dyDescent="0.35">
      <c r="AO9457"/>
      <c r="AP9457"/>
      <c r="AQ9457"/>
      <c r="AR9457"/>
      <c r="AS9457"/>
      <c r="AT9457"/>
      <c r="AU9457"/>
      <c r="AV9457"/>
    </row>
    <row r="9458" spans="41:48" x14ac:dyDescent="0.35">
      <c r="AO9458"/>
      <c r="AP9458"/>
      <c r="AQ9458"/>
      <c r="AR9458"/>
      <c r="AS9458"/>
      <c r="AT9458"/>
      <c r="AU9458"/>
      <c r="AV9458"/>
    </row>
    <row r="9459" spans="41:48" x14ac:dyDescent="0.35">
      <c r="AO9459"/>
      <c r="AP9459"/>
      <c r="AQ9459"/>
      <c r="AR9459"/>
      <c r="AS9459"/>
      <c r="AT9459"/>
      <c r="AU9459"/>
      <c r="AV9459"/>
    </row>
    <row r="9460" spans="41:48" x14ac:dyDescent="0.35">
      <c r="AO9460"/>
      <c r="AP9460"/>
      <c r="AQ9460"/>
      <c r="AR9460"/>
      <c r="AS9460"/>
      <c r="AT9460"/>
      <c r="AU9460"/>
      <c r="AV9460"/>
    </row>
    <row r="9461" spans="41:48" x14ac:dyDescent="0.35">
      <c r="AO9461"/>
      <c r="AP9461"/>
      <c r="AQ9461"/>
      <c r="AR9461"/>
      <c r="AS9461"/>
      <c r="AT9461"/>
      <c r="AU9461"/>
      <c r="AV9461"/>
    </row>
    <row r="9462" spans="41:48" x14ac:dyDescent="0.35">
      <c r="AO9462"/>
      <c r="AP9462"/>
      <c r="AQ9462"/>
      <c r="AR9462"/>
      <c r="AS9462"/>
      <c r="AT9462"/>
      <c r="AU9462"/>
      <c r="AV9462"/>
    </row>
    <row r="9463" spans="41:48" x14ac:dyDescent="0.35">
      <c r="AO9463"/>
      <c r="AP9463"/>
      <c r="AQ9463"/>
      <c r="AR9463"/>
      <c r="AS9463"/>
      <c r="AT9463"/>
      <c r="AU9463"/>
      <c r="AV9463"/>
    </row>
    <row r="9464" spans="41:48" x14ac:dyDescent="0.35">
      <c r="AO9464"/>
      <c r="AP9464"/>
      <c r="AQ9464"/>
      <c r="AR9464"/>
      <c r="AS9464"/>
      <c r="AT9464"/>
      <c r="AU9464"/>
      <c r="AV9464"/>
    </row>
    <row r="9465" spans="41:48" x14ac:dyDescent="0.35">
      <c r="AO9465"/>
      <c r="AP9465"/>
      <c r="AQ9465"/>
      <c r="AR9465"/>
      <c r="AS9465"/>
      <c r="AT9465"/>
      <c r="AU9465"/>
      <c r="AV9465"/>
    </row>
    <row r="9466" spans="41:48" x14ac:dyDescent="0.35">
      <c r="AO9466"/>
      <c r="AP9466"/>
      <c r="AQ9466"/>
      <c r="AR9466"/>
      <c r="AS9466"/>
      <c r="AT9466"/>
      <c r="AU9466"/>
      <c r="AV9466"/>
    </row>
    <row r="9467" spans="41:48" x14ac:dyDescent="0.35">
      <c r="AO9467"/>
      <c r="AP9467"/>
      <c r="AQ9467"/>
      <c r="AR9467"/>
      <c r="AS9467"/>
      <c r="AT9467"/>
      <c r="AU9467"/>
      <c r="AV9467"/>
    </row>
    <row r="9468" spans="41:48" x14ac:dyDescent="0.35">
      <c r="AO9468"/>
      <c r="AP9468"/>
      <c r="AQ9468"/>
      <c r="AR9468"/>
      <c r="AS9468"/>
      <c r="AT9468"/>
      <c r="AU9468"/>
      <c r="AV9468"/>
    </row>
    <row r="9469" spans="41:48" x14ac:dyDescent="0.35">
      <c r="AO9469"/>
      <c r="AP9469"/>
      <c r="AQ9469"/>
      <c r="AR9469"/>
      <c r="AS9469"/>
      <c r="AT9469"/>
      <c r="AU9469"/>
      <c r="AV9469"/>
    </row>
    <row r="9470" spans="41:48" x14ac:dyDescent="0.35">
      <c r="AO9470"/>
      <c r="AP9470"/>
      <c r="AQ9470"/>
      <c r="AR9470"/>
      <c r="AS9470"/>
      <c r="AT9470"/>
      <c r="AU9470"/>
      <c r="AV9470"/>
    </row>
    <row r="9471" spans="41:48" x14ac:dyDescent="0.35">
      <c r="AO9471"/>
      <c r="AP9471"/>
      <c r="AQ9471"/>
      <c r="AR9471"/>
      <c r="AS9471"/>
      <c r="AT9471"/>
      <c r="AU9471"/>
      <c r="AV9471"/>
    </row>
    <row r="9472" spans="41:48" x14ac:dyDescent="0.35">
      <c r="AO9472"/>
      <c r="AP9472"/>
      <c r="AQ9472"/>
      <c r="AR9472"/>
      <c r="AS9472"/>
      <c r="AT9472"/>
      <c r="AU9472"/>
      <c r="AV9472"/>
    </row>
    <row r="9473" spans="41:48" x14ac:dyDescent="0.35">
      <c r="AO9473"/>
      <c r="AP9473"/>
      <c r="AQ9473"/>
      <c r="AR9473"/>
      <c r="AS9473"/>
      <c r="AT9473"/>
      <c r="AU9473"/>
      <c r="AV9473"/>
    </row>
    <row r="9474" spans="41:48" x14ac:dyDescent="0.35">
      <c r="AO9474"/>
      <c r="AP9474"/>
      <c r="AQ9474"/>
      <c r="AR9474"/>
      <c r="AS9474"/>
      <c r="AT9474"/>
      <c r="AU9474"/>
      <c r="AV9474"/>
    </row>
    <row r="9475" spans="41:48" x14ac:dyDescent="0.35">
      <c r="AO9475"/>
      <c r="AP9475"/>
      <c r="AQ9475"/>
      <c r="AR9475"/>
      <c r="AS9475"/>
      <c r="AT9475"/>
      <c r="AU9475"/>
      <c r="AV9475"/>
    </row>
    <row r="9476" spans="41:48" x14ac:dyDescent="0.35">
      <c r="AO9476"/>
      <c r="AP9476"/>
      <c r="AQ9476"/>
      <c r="AR9476"/>
      <c r="AS9476"/>
      <c r="AT9476"/>
      <c r="AU9476"/>
      <c r="AV9476"/>
    </row>
    <row r="9477" spans="41:48" x14ac:dyDescent="0.35">
      <c r="AO9477"/>
      <c r="AP9477"/>
      <c r="AQ9477"/>
      <c r="AR9477"/>
      <c r="AS9477"/>
      <c r="AT9477"/>
      <c r="AU9477"/>
      <c r="AV9477"/>
    </row>
    <row r="9478" spans="41:48" x14ac:dyDescent="0.35">
      <c r="AO9478"/>
      <c r="AP9478"/>
      <c r="AQ9478"/>
      <c r="AR9478"/>
      <c r="AS9478"/>
      <c r="AT9478"/>
      <c r="AU9478"/>
      <c r="AV9478"/>
    </row>
    <row r="9479" spans="41:48" x14ac:dyDescent="0.35">
      <c r="AO9479"/>
      <c r="AP9479"/>
      <c r="AQ9479"/>
      <c r="AR9479"/>
      <c r="AS9479"/>
      <c r="AT9479"/>
      <c r="AU9479"/>
      <c r="AV9479"/>
    </row>
    <row r="9480" spans="41:48" x14ac:dyDescent="0.35">
      <c r="AO9480"/>
      <c r="AP9480"/>
      <c r="AQ9480"/>
      <c r="AR9480"/>
      <c r="AS9480"/>
      <c r="AT9480"/>
      <c r="AU9480"/>
      <c r="AV9480"/>
    </row>
    <row r="9481" spans="41:48" x14ac:dyDescent="0.35">
      <c r="AO9481"/>
      <c r="AP9481"/>
      <c r="AQ9481"/>
      <c r="AR9481"/>
      <c r="AS9481"/>
      <c r="AT9481"/>
      <c r="AU9481"/>
      <c r="AV9481"/>
    </row>
    <row r="9482" spans="41:48" x14ac:dyDescent="0.35">
      <c r="AO9482"/>
      <c r="AP9482"/>
      <c r="AQ9482"/>
      <c r="AR9482"/>
      <c r="AS9482"/>
      <c r="AT9482"/>
      <c r="AU9482"/>
      <c r="AV9482"/>
    </row>
    <row r="9483" spans="41:48" x14ac:dyDescent="0.35">
      <c r="AO9483"/>
      <c r="AP9483"/>
      <c r="AQ9483"/>
      <c r="AR9483"/>
      <c r="AS9483"/>
      <c r="AT9483"/>
      <c r="AU9483"/>
      <c r="AV9483"/>
    </row>
    <row r="9484" spans="41:48" x14ac:dyDescent="0.35">
      <c r="AO9484"/>
      <c r="AP9484"/>
      <c r="AQ9484"/>
      <c r="AR9484"/>
      <c r="AS9484"/>
      <c r="AT9484"/>
      <c r="AU9484"/>
      <c r="AV9484"/>
    </row>
    <row r="9485" spans="41:48" x14ac:dyDescent="0.35">
      <c r="AO9485"/>
      <c r="AP9485"/>
      <c r="AQ9485"/>
      <c r="AR9485"/>
      <c r="AS9485"/>
      <c r="AT9485"/>
      <c r="AU9485"/>
      <c r="AV9485"/>
    </row>
    <row r="9486" spans="41:48" x14ac:dyDescent="0.35">
      <c r="AO9486"/>
      <c r="AP9486"/>
      <c r="AQ9486"/>
      <c r="AR9486"/>
      <c r="AS9486"/>
      <c r="AT9486"/>
      <c r="AU9486"/>
      <c r="AV9486"/>
    </row>
    <row r="9487" spans="41:48" x14ac:dyDescent="0.35">
      <c r="AO9487"/>
      <c r="AP9487"/>
      <c r="AQ9487"/>
      <c r="AR9487"/>
      <c r="AS9487"/>
      <c r="AT9487"/>
      <c r="AU9487"/>
      <c r="AV9487"/>
    </row>
    <row r="9488" spans="41:48" x14ac:dyDescent="0.35">
      <c r="AO9488"/>
      <c r="AP9488"/>
      <c r="AQ9488"/>
      <c r="AR9488"/>
      <c r="AS9488"/>
      <c r="AT9488"/>
      <c r="AU9488"/>
      <c r="AV9488"/>
    </row>
    <row r="9489" spans="41:48" x14ac:dyDescent="0.35">
      <c r="AO9489"/>
      <c r="AP9489"/>
      <c r="AQ9489"/>
      <c r="AR9489"/>
      <c r="AS9489"/>
      <c r="AT9489"/>
      <c r="AU9489"/>
      <c r="AV9489"/>
    </row>
    <row r="9490" spans="41:48" x14ac:dyDescent="0.35">
      <c r="AO9490"/>
      <c r="AP9490"/>
      <c r="AQ9490"/>
      <c r="AR9490"/>
      <c r="AS9490"/>
      <c r="AT9490"/>
      <c r="AU9490"/>
      <c r="AV9490"/>
    </row>
    <row r="9491" spans="41:48" x14ac:dyDescent="0.35">
      <c r="AO9491"/>
      <c r="AP9491"/>
      <c r="AQ9491"/>
      <c r="AR9491"/>
      <c r="AS9491"/>
      <c r="AT9491"/>
      <c r="AU9491"/>
      <c r="AV9491"/>
    </row>
    <row r="9492" spans="41:48" x14ac:dyDescent="0.35">
      <c r="AO9492"/>
      <c r="AP9492"/>
      <c r="AQ9492"/>
      <c r="AR9492"/>
      <c r="AS9492"/>
      <c r="AT9492"/>
      <c r="AU9492"/>
      <c r="AV9492"/>
    </row>
    <row r="9493" spans="41:48" x14ac:dyDescent="0.35">
      <c r="AO9493"/>
      <c r="AP9493"/>
      <c r="AQ9493"/>
      <c r="AR9493"/>
      <c r="AS9493"/>
      <c r="AT9493"/>
      <c r="AU9493"/>
      <c r="AV9493"/>
    </row>
    <row r="9494" spans="41:48" x14ac:dyDescent="0.35">
      <c r="AO9494"/>
      <c r="AP9494"/>
      <c r="AQ9494"/>
      <c r="AR9494"/>
      <c r="AS9494"/>
      <c r="AT9494"/>
      <c r="AU9494"/>
      <c r="AV9494"/>
    </row>
    <row r="9495" spans="41:48" x14ac:dyDescent="0.35">
      <c r="AO9495"/>
      <c r="AP9495"/>
      <c r="AQ9495"/>
      <c r="AR9495"/>
      <c r="AS9495"/>
      <c r="AT9495"/>
      <c r="AU9495"/>
      <c r="AV9495"/>
    </row>
    <row r="9496" spans="41:48" x14ac:dyDescent="0.35">
      <c r="AO9496"/>
      <c r="AP9496"/>
      <c r="AQ9496"/>
      <c r="AR9496"/>
      <c r="AS9496"/>
      <c r="AT9496"/>
      <c r="AU9496"/>
      <c r="AV9496"/>
    </row>
    <row r="9497" spans="41:48" x14ac:dyDescent="0.35">
      <c r="AO9497"/>
      <c r="AP9497"/>
      <c r="AQ9497"/>
      <c r="AR9497"/>
      <c r="AS9497"/>
      <c r="AT9497"/>
      <c r="AU9497"/>
      <c r="AV9497"/>
    </row>
    <row r="9498" spans="41:48" x14ac:dyDescent="0.35">
      <c r="AO9498"/>
      <c r="AP9498"/>
      <c r="AQ9498"/>
      <c r="AR9498"/>
      <c r="AS9498"/>
      <c r="AT9498"/>
      <c r="AU9498"/>
      <c r="AV9498"/>
    </row>
    <row r="9499" spans="41:48" x14ac:dyDescent="0.35">
      <c r="AO9499"/>
      <c r="AP9499"/>
      <c r="AQ9499"/>
      <c r="AR9499"/>
      <c r="AS9499"/>
      <c r="AT9499"/>
      <c r="AU9499"/>
      <c r="AV9499"/>
    </row>
    <row r="9500" spans="41:48" x14ac:dyDescent="0.35">
      <c r="AO9500"/>
      <c r="AP9500"/>
      <c r="AQ9500"/>
      <c r="AR9500"/>
      <c r="AS9500"/>
      <c r="AT9500"/>
      <c r="AU9500"/>
      <c r="AV9500"/>
    </row>
    <row r="9501" spans="41:48" x14ac:dyDescent="0.35">
      <c r="AO9501"/>
      <c r="AP9501"/>
      <c r="AQ9501"/>
      <c r="AR9501"/>
      <c r="AS9501"/>
      <c r="AT9501"/>
      <c r="AU9501"/>
      <c r="AV9501"/>
    </row>
    <row r="9502" spans="41:48" x14ac:dyDescent="0.35">
      <c r="AO9502"/>
      <c r="AP9502"/>
      <c r="AQ9502"/>
      <c r="AR9502"/>
      <c r="AS9502"/>
      <c r="AT9502"/>
      <c r="AU9502"/>
      <c r="AV9502"/>
    </row>
    <row r="9503" spans="41:48" x14ac:dyDescent="0.35">
      <c r="AO9503"/>
      <c r="AP9503"/>
      <c r="AQ9503"/>
      <c r="AR9503"/>
      <c r="AS9503"/>
      <c r="AT9503"/>
      <c r="AU9503"/>
      <c r="AV9503"/>
    </row>
    <row r="9504" spans="41:48" x14ac:dyDescent="0.35">
      <c r="AO9504"/>
      <c r="AP9504"/>
      <c r="AQ9504"/>
      <c r="AR9504"/>
      <c r="AS9504"/>
      <c r="AT9504"/>
      <c r="AU9504"/>
      <c r="AV9504"/>
    </row>
    <row r="9505" spans="41:48" x14ac:dyDescent="0.35">
      <c r="AO9505"/>
      <c r="AP9505"/>
      <c r="AQ9505"/>
      <c r="AR9505"/>
      <c r="AS9505"/>
      <c r="AT9505"/>
      <c r="AU9505"/>
      <c r="AV9505"/>
    </row>
    <row r="9506" spans="41:48" x14ac:dyDescent="0.35">
      <c r="AO9506"/>
      <c r="AP9506"/>
      <c r="AQ9506"/>
      <c r="AR9506"/>
      <c r="AS9506"/>
      <c r="AT9506"/>
      <c r="AU9506"/>
      <c r="AV9506"/>
    </row>
    <row r="9507" spans="41:48" x14ac:dyDescent="0.35">
      <c r="AO9507"/>
      <c r="AP9507"/>
      <c r="AQ9507"/>
      <c r="AR9507"/>
      <c r="AS9507"/>
      <c r="AT9507"/>
      <c r="AU9507"/>
      <c r="AV9507"/>
    </row>
    <row r="9508" spans="41:48" x14ac:dyDescent="0.35">
      <c r="AO9508"/>
      <c r="AP9508"/>
      <c r="AQ9508"/>
      <c r="AR9508"/>
      <c r="AS9508"/>
      <c r="AT9508"/>
      <c r="AU9508"/>
      <c r="AV9508"/>
    </row>
    <row r="9509" spans="41:48" x14ac:dyDescent="0.35">
      <c r="AO9509"/>
      <c r="AP9509"/>
      <c r="AQ9509"/>
      <c r="AR9509"/>
      <c r="AS9509"/>
      <c r="AT9509"/>
      <c r="AU9509"/>
      <c r="AV9509"/>
    </row>
    <row r="9510" spans="41:48" x14ac:dyDescent="0.35">
      <c r="AO9510"/>
      <c r="AP9510"/>
      <c r="AQ9510"/>
      <c r="AR9510"/>
      <c r="AS9510"/>
      <c r="AT9510"/>
      <c r="AU9510"/>
      <c r="AV9510"/>
    </row>
    <row r="9511" spans="41:48" x14ac:dyDescent="0.35">
      <c r="AO9511"/>
      <c r="AP9511"/>
      <c r="AQ9511"/>
      <c r="AR9511"/>
      <c r="AS9511"/>
      <c r="AT9511"/>
      <c r="AU9511"/>
      <c r="AV9511"/>
    </row>
    <row r="9512" spans="41:48" x14ac:dyDescent="0.35">
      <c r="AO9512"/>
      <c r="AP9512"/>
      <c r="AQ9512"/>
      <c r="AR9512"/>
      <c r="AS9512"/>
      <c r="AT9512"/>
      <c r="AU9512"/>
      <c r="AV9512"/>
    </row>
    <row r="9513" spans="41:48" x14ac:dyDescent="0.35">
      <c r="AO9513"/>
      <c r="AP9513"/>
      <c r="AQ9513"/>
      <c r="AR9513"/>
      <c r="AS9513"/>
      <c r="AT9513"/>
      <c r="AU9513"/>
      <c r="AV9513"/>
    </row>
    <row r="9514" spans="41:48" x14ac:dyDescent="0.35">
      <c r="AO9514"/>
      <c r="AP9514"/>
      <c r="AQ9514"/>
      <c r="AR9514"/>
      <c r="AS9514"/>
      <c r="AT9514"/>
      <c r="AU9514"/>
      <c r="AV9514"/>
    </row>
    <row r="9515" spans="41:48" x14ac:dyDescent="0.35">
      <c r="AO9515"/>
      <c r="AP9515"/>
      <c r="AQ9515"/>
      <c r="AR9515"/>
      <c r="AS9515"/>
      <c r="AT9515"/>
      <c r="AU9515"/>
      <c r="AV9515"/>
    </row>
    <row r="9516" spans="41:48" x14ac:dyDescent="0.35">
      <c r="AO9516"/>
      <c r="AP9516"/>
      <c r="AQ9516"/>
      <c r="AR9516"/>
      <c r="AS9516"/>
      <c r="AT9516"/>
      <c r="AU9516"/>
      <c r="AV9516"/>
    </row>
    <row r="9517" spans="41:48" x14ac:dyDescent="0.35">
      <c r="AO9517"/>
      <c r="AP9517"/>
      <c r="AQ9517"/>
      <c r="AR9517"/>
      <c r="AS9517"/>
      <c r="AT9517"/>
      <c r="AU9517"/>
      <c r="AV9517"/>
    </row>
    <row r="9518" spans="41:48" x14ac:dyDescent="0.35">
      <c r="AO9518"/>
      <c r="AP9518"/>
      <c r="AQ9518"/>
      <c r="AR9518"/>
      <c r="AS9518"/>
      <c r="AT9518"/>
      <c r="AU9518"/>
      <c r="AV9518"/>
    </row>
    <row r="9519" spans="41:48" x14ac:dyDescent="0.35">
      <c r="AO9519"/>
      <c r="AP9519"/>
      <c r="AQ9519"/>
      <c r="AR9519"/>
      <c r="AS9519"/>
      <c r="AT9519"/>
      <c r="AU9519"/>
      <c r="AV9519"/>
    </row>
    <row r="9520" spans="41:48" x14ac:dyDescent="0.35">
      <c r="AO9520"/>
      <c r="AP9520"/>
      <c r="AQ9520"/>
      <c r="AR9520"/>
      <c r="AS9520"/>
      <c r="AT9520"/>
      <c r="AU9520"/>
      <c r="AV9520"/>
    </row>
    <row r="9521" spans="41:48" x14ac:dyDescent="0.35">
      <c r="AO9521"/>
      <c r="AP9521"/>
      <c r="AQ9521"/>
      <c r="AR9521"/>
      <c r="AS9521"/>
      <c r="AT9521"/>
      <c r="AU9521"/>
      <c r="AV9521"/>
    </row>
    <row r="9522" spans="41:48" x14ac:dyDescent="0.35">
      <c r="AO9522"/>
      <c r="AP9522"/>
      <c r="AQ9522"/>
      <c r="AR9522"/>
      <c r="AS9522"/>
      <c r="AT9522"/>
      <c r="AU9522"/>
      <c r="AV9522"/>
    </row>
    <row r="9523" spans="41:48" x14ac:dyDescent="0.35">
      <c r="AO9523"/>
      <c r="AP9523"/>
      <c r="AQ9523"/>
      <c r="AR9523"/>
      <c r="AS9523"/>
      <c r="AT9523"/>
      <c r="AU9523"/>
      <c r="AV9523"/>
    </row>
    <row r="9524" spans="41:48" x14ac:dyDescent="0.35">
      <c r="AO9524"/>
      <c r="AP9524"/>
      <c r="AQ9524"/>
      <c r="AR9524"/>
      <c r="AS9524"/>
      <c r="AT9524"/>
      <c r="AU9524"/>
      <c r="AV9524"/>
    </row>
    <row r="9525" spans="41:48" x14ac:dyDescent="0.35">
      <c r="AO9525"/>
      <c r="AP9525"/>
      <c r="AQ9525"/>
      <c r="AR9525"/>
      <c r="AS9525"/>
      <c r="AT9525"/>
      <c r="AU9525"/>
      <c r="AV9525"/>
    </row>
    <row r="9526" spans="41:48" x14ac:dyDescent="0.35">
      <c r="AO9526"/>
      <c r="AP9526"/>
      <c r="AQ9526"/>
      <c r="AR9526"/>
      <c r="AS9526"/>
      <c r="AT9526"/>
      <c r="AU9526"/>
      <c r="AV9526"/>
    </row>
    <row r="9527" spans="41:48" x14ac:dyDescent="0.35">
      <c r="AO9527"/>
      <c r="AP9527"/>
      <c r="AQ9527"/>
      <c r="AR9527"/>
      <c r="AS9527"/>
      <c r="AT9527"/>
      <c r="AU9527"/>
      <c r="AV9527"/>
    </row>
    <row r="9528" spans="41:48" x14ac:dyDescent="0.35">
      <c r="AO9528"/>
      <c r="AP9528"/>
      <c r="AQ9528"/>
      <c r="AR9528"/>
      <c r="AS9528"/>
      <c r="AT9528"/>
      <c r="AU9528"/>
      <c r="AV9528"/>
    </row>
    <row r="9529" spans="41:48" x14ac:dyDescent="0.35">
      <c r="AO9529"/>
      <c r="AP9529"/>
      <c r="AQ9529"/>
      <c r="AR9529"/>
      <c r="AS9529"/>
      <c r="AT9529"/>
      <c r="AU9529"/>
      <c r="AV9529"/>
    </row>
    <row r="9530" spans="41:48" x14ac:dyDescent="0.35">
      <c r="AO9530"/>
      <c r="AP9530"/>
      <c r="AQ9530"/>
      <c r="AR9530"/>
      <c r="AS9530"/>
      <c r="AT9530"/>
      <c r="AU9530"/>
      <c r="AV9530"/>
    </row>
    <row r="9531" spans="41:48" x14ac:dyDescent="0.35">
      <c r="AO9531"/>
      <c r="AP9531"/>
      <c r="AQ9531"/>
      <c r="AR9531"/>
      <c r="AS9531"/>
      <c r="AT9531"/>
      <c r="AU9531"/>
      <c r="AV9531"/>
    </row>
    <row r="9532" spans="41:48" x14ac:dyDescent="0.35">
      <c r="AO9532"/>
      <c r="AP9532"/>
      <c r="AQ9532"/>
      <c r="AR9532"/>
      <c r="AS9532"/>
      <c r="AT9532"/>
      <c r="AU9532"/>
      <c r="AV9532"/>
    </row>
    <row r="9533" spans="41:48" x14ac:dyDescent="0.35">
      <c r="AO9533"/>
      <c r="AP9533"/>
      <c r="AQ9533"/>
      <c r="AR9533"/>
      <c r="AS9533"/>
      <c r="AT9533"/>
      <c r="AU9533"/>
      <c r="AV9533"/>
    </row>
    <row r="9534" spans="41:48" x14ac:dyDescent="0.35">
      <c r="AO9534"/>
      <c r="AP9534"/>
      <c r="AQ9534"/>
      <c r="AR9534"/>
      <c r="AS9534"/>
      <c r="AT9534"/>
      <c r="AU9534"/>
      <c r="AV9534"/>
    </row>
    <row r="9535" spans="41:48" x14ac:dyDescent="0.35">
      <c r="AO9535"/>
      <c r="AP9535"/>
      <c r="AQ9535"/>
      <c r="AR9535"/>
      <c r="AS9535"/>
      <c r="AT9535"/>
      <c r="AU9535"/>
      <c r="AV9535"/>
    </row>
    <row r="9536" spans="41:48" x14ac:dyDescent="0.35">
      <c r="AO9536"/>
      <c r="AP9536"/>
      <c r="AQ9536"/>
      <c r="AR9536"/>
      <c r="AS9536"/>
      <c r="AT9536"/>
      <c r="AU9536"/>
      <c r="AV9536"/>
    </row>
    <row r="9537" spans="41:48" x14ac:dyDescent="0.35">
      <c r="AO9537"/>
      <c r="AP9537"/>
      <c r="AQ9537"/>
      <c r="AR9537"/>
      <c r="AS9537"/>
      <c r="AT9537"/>
      <c r="AU9537"/>
      <c r="AV9537"/>
    </row>
    <row r="9538" spans="41:48" x14ac:dyDescent="0.35">
      <c r="AO9538"/>
      <c r="AP9538"/>
      <c r="AQ9538"/>
      <c r="AR9538"/>
      <c r="AS9538"/>
      <c r="AT9538"/>
      <c r="AU9538"/>
      <c r="AV9538"/>
    </row>
    <row r="9539" spans="41:48" x14ac:dyDescent="0.35">
      <c r="AO9539"/>
      <c r="AP9539"/>
      <c r="AQ9539"/>
      <c r="AR9539"/>
      <c r="AS9539"/>
      <c r="AT9539"/>
      <c r="AU9539"/>
      <c r="AV9539"/>
    </row>
    <row r="9540" spans="41:48" x14ac:dyDescent="0.35">
      <c r="AO9540"/>
      <c r="AP9540"/>
      <c r="AQ9540"/>
      <c r="AR9540"/>
      <c r="AS9540"/>
      <c r="AT9540"/>
      <c r="AU9540"/>
      <c r="AV9540"/>
    </row>
    <row r="9541" spans="41:48" x14ac:dyDescent="0.35">
      <c r="AO9541"/>
      <c r="AP9541"/>
      <c r="AQ9541"/>
      <c r="AR9541"/>
      <c r="AS9541"/>
      <c r="AT9541"/>
      <c r="AU9541"/>
      <c r="AV9541"/>
    </row>
    <row r="9542" spans="41:48" x14ac:dyDescent="0.35">
      <c r="AO9542"/>
      <c r="AP9542"/>
      <c r="AQ9542"/>
      <c r="AR9542"/>
      <c r="AS9542"/>
      <c r="AT9542"/>
      <c r="AU9542"/>
      <c r="AV9542"/>
    </row>
    <row r="9543" spans="41:48" x14ac:dyDescent="0.35">
      <c r="AO9543"/>
      <c r="AP9543"/>
      <c r="AQ9543"/>
      <c r="AR9543"/>
      <c r="AS9543"/>
      <c r="AT9543"/>
      <c r="AU9543"/>
      <c r="AV9543"/>
    </row>
    <row r="9544" spans="41:48" x14ac:dyDescent="0.35">
      <c r="AO9544"/>
      <c r="AP9544"/>
      <c r="AQ9544"/>
      <c r="AR9544"/>
      <c r="AS9544"/>
      <c r="AT9544"/>
      <c r="AU9544"/>
      <c r="AV9544"/>
    </row>
    <row r="9545" spans="41:48" x14ac:dyDescent="0.35">
      <c r="AO9545"/>
      <c r="AP9545"/>
      <c r="AQ9545"/>
      <c r="AR9545"/>
      <c r="AS9545"/>
      <c r="AT9545"/>
      <c r="AU9545"/>
      <c r="AV9545"/>
    </row>
    <row r="9546" spans="41:48" x14ac:dyDescent="0.35">
      <c r="AO9546"/>
      <c r="AP9546"/>
      <c r="AQ9546"/>
      <c r="AR9546"/>
      <c r="AS9546"/>
      <c r="AT9546"/>
      <c r="AU9546"/>
      <c r="AV9546"/>
    </row>
    <row r="9547" spans="41:48" x14ac:dyDescent="0.35">
      <c r="AO9547"/>
      <c r="AP9547"/>
      <c r="AQ9547"/>
      <c r="AR9547"/>
      <c r="AS9547"/>
      <c r="AT9547"/>
      <c r="AU9547"/>
      <c r="AV9547"/>
    </row>
    <row r="9548" spans="41:48" x14ac:dyDescent="0.35">
      <c r="AO9548"/>
      <c r="AP9548"/>
      <c r="AQ9548"/>
      <c r="AR9548"/>
      <c r="AS9548"/>
      <c r="AT9548"/>
      <c r="AU9548"/>
      <c r="AV9548"/>
    </row>
    <row r="9549" spans="41:48" x14ac:dyDescent="0.35">
      <c r="AO9549"/>
      <c r="AP9549"/>
      <c r="AQ9549"/>
      <c r="AR9549"/>
      <c r="AS9549"/>
      <c r="AT9549"/>
      <c r="AU9549"/>
      <c r="AV9549"/>
    </row>
    <row r="9550" spans="41:48" x14ac:dyDescent="0.35">
      <c r="AO9550"/>
      <c r="AP9550"/>
      <c r="AQ9550"/>
      <c r="AR9550"/>
      <c r="AS9550"/>
      <c r="AT9550"/>
      <c r="AU9550"/>
      <c r="AV9550"/>
    </row>
    <row r="9551" spans="41:48" x14ac:dyDescent="0.35">
      <c r="AO9551"/>
      <c r="AP9551"/>
      <c r="AQ9551"/>
      <c r="AR9551"/>
      <c r="AS9551"/>
      <c r="AT9551"/>
      <c r="AU9551"/>
      <c r="AV9551"/>
    </row>
    <row r="9552" spans="41:48" x14ac:dyDescent="0.35">
      <c r="AO9552"/>
      <c r="AP9552"/>
      <c r="AQ9552"/>
      <c r="AR9552"/>
      <c r="AS9552"/>
      <c r="AT9552"/>
      <c r="AU9552"/>
      <c r="AV9552"/>
    </row>
    <row r="9553" spans="41:48" x14ac:dyDescent="0.35">
      <c r="AO9553"/>
      <c r="AP9553"/>
      <c r="AQ9553"/>
      <c r="AR9553"/>
      <c r="AS9553"/>
      <c r="AT9553"/>
      <c r="AU9553"/>
      <c r="AV9553"/>
    </row>
    <row r="9554" spans="41:48" x14ac:dyDescent="0.35">
      <c r="AO9554"/>
      <c r="AP9554"/>
      <c r="AQ9554"/>
      <c r="AR9554"/>
      <c r="AS9554"/>
      <c r="AT9554"/>
      <c r="AU9554"/>
      <c r="AV9554"/>
    </row>
    <row r="9555" spans="41:48" x14ac:dyDescent="0.35">
      <c r="AO9555"/>
      <c r="AP9555"/>
      <c r="AQ9555"/>
      <c r="AR9555"/>
      <c r="AS9555"/>
      <c r="AT9555"/>
      <c r="AU9555"/>
      <c r="AV9555"/>
    </row>
    <row r="9556" spans="41:48" x14ac:dyDescent="0.35">
      <c r="AO9556"/>
      <c r="AP9556"/>
      <c r="AQ9556"/>
      <c r="AR9556"/>
      <c r="AS9556"/>
      <c r="AT9556"/>
      <c r="AU9556"/>
      <c r="AV9556"/>
    </row>
    <row r="9557" spans="41:48" x14ac:dyDescent="0.35">
      <c r="AO9557"/>
      <c r="AP9557"/>
      <c r="AQ9557"/>
      <c r="AR9557"/>
      <c r="AS9557"/>
      <c r="AT9557"/>
      <c r="AU9557"/>
      <c r="AV9557"/>
    </row>
    <row r="9558" spans="41:48" x14ac:dyDescent="0.35">
      <c r="AO9558"/>
      <c r="AP9558"/>
      <c r="AQ9558"/>
      <c r="AR9558"/>
      <c r="AS9558"/>
      <c r="AT9558"/>
      <c r="AU9558"/>
      <c r="AV9558"/>
    </row>
    <row r="9559" spans="41:48" x14ac:dyDescent="0.35">
      <c r="AO9559"/>
      <c r="AP9559"/>
      <c r="AQ9559"/>
      <c r="AR9559"/>
      <c r="AS9559"/>
      <c r="AT9559"/>
      <c r="AU9559"/>
      <c r="AV9559"/>
    </row>
    <row r="9560" spans="41:48" x14ac:dyDescent="0.35">
      <c r="AO9560"/>
      <c r="AP9560"/>
      <c r="AQ9560"/>
      <c r="AR9560"/>
      <c r="AS9560"/>
      <c r="AT9560"/>
      <c r="AU9560"/>
      <c r="AV9560"/>
    </row>
    <row r="9561" spans="41:48" x14ac:dyDescent="0.35">
      <c r="AO9561"/>
      <c r="AP9561"/>
      <c r="AQ9561"/>
      <c r="AR9561"/>
      <c r="AS9561"/>
      <c r="AT9561"/>
      <c r="AU9561"/>
      <c r="AV9561"/>
    </row>
    <row r="9562" spans="41:48" x14ac:dyDescent="0.35">
      <c r="AO9562"/>
      <c r="AP9562"/>
      <c r="AQ9562"/>
      <c r="AR9562"/>
      <c r="AS9562"/>
      <c r="AT9562"/>
      <c r="AU9562"/>
      <c r="AV9562"/>
    </row>
    <row r="9563" spans="41:48" x14ac:dyDescent="0.35">
      <c r="AO9563"/>
      <c r="AP9563"/>
      <c r="AQ9563"/>
      <c r="AR9563"/>
      <c r="AS9563"/>
      <c r="AT9563"/>
      <c r="AU9563"/>
      <c r="AV9563"/>
    </row>
    <row r="9564" spans="41:48" x14ac:dyDescent="0.35">
      <c r="AO9564"/>
      <c r="AP9564"/>
      <c r="AQ9564"/>
      <c r="AR9564"/>
      <c r="AS9564"/>
      <c r="AT9564"/>
      <c r="AU9564"/>
      <c r="AV9564"/>
    </row>
    <row r="9565" spans="41:48" x14ac:dyDescent="0.35">
      <c r="AO9565"/>
      <c r="AP9565"/>
      <c r="AQ9565"/>
      <c r="AR9565"/>
      <c r="AS9565"/>
      <c r="AT9565"/>
      <c r="AU9565"/>
      <c r="AV9565"/>
    </row>
    <row r="9566" spans="41:48" x14ac:dyDescent="0.35">
      <c r="AO9566"/>
      <c r="AP9566"/>
      <c r="AQ9566"/>
      <c r="AR9566"/>
      <c r="AS9566"/>
      <c r="AT9566"/>
      <c r="AU9566"/>
      <c r="AV9566"/>
    </row>
    <row r="9567" spans="41:48" x14ac:dyDescent="0.35">
      <c r="AO9567"/>
      <c r="AP9567"/>
      <c r="AQ9567"/>
      <c r="AR9567"/>
      <c r="AS9567"/>
      <c r="AT9567"/>
      <c r="AU9567"/>
      <c r="AV9567"/>
    </row>
    <row r="9568" spans="41:48" x14ac:dyDescent="0.35">
      <c r="AO9568"/>
      <c r="AP9568"/>
      <c r="AQ9568"/>
      <c r="AR9568"/>
      <c r="AS9568"/>
      <c r="AT9568"/>
      <c r="AU9568"/>
      <c r="AV9568"/>
    </row>
    <row r="9569" spans="41:48" x14ac:dyDescent="0.35">
      <c r="AO9569"/>
      <c r="AP9569"/>
      <c r="AQ9569"/>
      <c r="AR9569"/>
      <c r="AS9569"/>
      <c r="AT9569"/>
      <c r="AU9569"/>
      <c r="AV9569"/>
    </row>
    <row r="9570" spans="41:48" x14ac:dyDescent="0.35">
      <c r="AO9570"/>
      <c r="AP9570"/>
      <c r="AQ9570"/>
      <c r="AR9570"/>
      <c r="AS9570"/>
      <c r="AT9570"/>
      <c r="AU9570"/>
      <c r="AV9570"/>
    </row>
    <row r="9571" spans="41:48" x14ac:dyDescent="0.35">
      <c r="AO9571"/>
      <c r="AP9571"/>
      <c r="AQ9571"/>
      <c r="AR9571"/>
      <c r="AS9571"/>
      <c r="AT9571"/>
      <c r="AU9571"/>
      <c r="AV9571"/>
    </row>
    <row r="9572" spans="41:48" x14ac:dyDescent="0.35">
      <c r="AO9572"/>
      <c r="AP9572"/>
      <c r="AQ9572"/>
      <c r="AR9572"/>
      <c r="AS9572"/>
      <c r="AT9572"/>
      <c r="AU9572"/>
      <c r="AV9572"/>
    </row>
    <row r="9573" spans="41:48" x14ac:dyDescent="0.35">
      <c r="AO9573"/>
      <c r="AP9573"/>
      <c r="AQ9573"/>
      <c r="AR9573"/>
      <c r="AS9573"/>
      <c r="AT9573"/>
      <c r="AU9573"/>
      <c r="AV9573"/>
    </row>
    <row r="9574" spans="41:48" x14ac:dyDescent="0.35">
      <c r="AO9574"/>
      <c r="AP9574"/>
      <c r="AQ9574"/>
      <c r="AR9574"/>
      <c r="AS9574"/>
      <c r="AT9574"/>
      <c r="AU9574"/>
      <c r="AV9574"/>
    </row>
    <row r="9575" spans="41:48" x14ac:dyDescent="0.35">
      <c r="AO9575"/>
      <c r="AP9575"/>
      <c r="AQ9575"/>
      <c r="AR9575"/>
      <c r="AS9575"/>
      <c r="AT9575"/>
      <c r="AU9575"/>
      <c r="AV9575"/>
    </row>
    <row r="9576" spans="41:48" x14ac:dyDescent="0.35">
      <c r="AO9576"/>
      <c r="AP9576"/>
      <c r="AQ9576"/>
      <c r="AR9576"/>
      <c r="AS9576"/>
      <c r="AT9576"/>
      <c r="AU9576"/>
      <c r="AV9576"/>
    </row>
    <row r="9577" spans="41:48" x14ac:dyDescent="0.35">
      <c r="AO9577"/>
      <c r="AP9577"/>
      <c r="AQ9577"/>
      <c r="AR9577"/>
      <c r="AS9577"/>
      <c r="AT9577"/>
      <c r="AU9577"/>
      <c r="AV9577"/>
    </row>
    <row r="9578" spans="41:48" x14ac:dyDescent="0.35">
      <c r="AO9578"/>
      <c r="AP9578"/>
      <c r="AQ9578"/>
      <c r="AR9578"/>
      <c r="AS9578"/>
      <c r="AT9578"/>
      <c r="AU9578"/>
      <c r="AV9578"/>
    </row>
    <row r="9579" spans="41:48" x14ac:dyDescent="0.35">
      <c r="AO9579"/>
      <c r="AP9579"/>
      <c r="AQ9579"/>
      <c r="AR9579"/>
      <c r="AS9579"/>
      <c r="AT9579"/>
      <c r="AU9579"/>
      <c r="AV9579"/>
    </row>
    <row r="9580" spans="41:48" x14ac:dyDescent="0.35">
      <c r="AO9580"/>
      <c r="AP9580"/>
      <c r="AQ9580"/>
      <c r="AR9580"/>
      <c r="AS9580"/>
      <c r="AT9580"/>
      <c r="AU9580"/>
      <c r="AV9580"/>
    </row>
    <row r="9581" spans="41:48" x14ac:dyDescent="0.35">
      <c r="AO9581"/>
      <c r="AP9581"/>
      <c r="AQ9581"/>
      <c r="AR9581"/>
      <c r="AS9581"/>
      <c r="AT9581"/>
      <c r="AU9581"/>
      <c r="AV9581"/>
    </row>
    <row r="9582" spans="41:48" x14ac:dyDescent="0.35">
      <c r="AO9582"/>
      <c r="AP9582"/>
      <c r="AQ9582"/>
      <c r="AR9582"/>
      <c r="AS9582"/>
      <c r="AT9582"/>
      <c r="AU9582"/>
      <c r="AV9582"/>
    </row>
    <row r="9583" spans="41:48" x14ac:dyDescent="0.35">
      <c r="AO9583"/>
      <c r="AP9583"/>
      <c r="AQ9583"/>
      <c r="AR9583"/>
      <c r="AS9583"/>
      <c r="AT9583"/>
      <c r="AU9583"/>
      <c r="AV9583"/>
    </row>
    <row r="9584" spans="41:48" x14ac:dyDescent="0.35">
      <c r="AO9584"/>
      <c r="AP9584"/>
      <c r="AQ9584"/>
      <c r="AR9584"/>
      <c r="AS9584"/>
      <c r="AT9584"/>
      <c r="AU9584"/>
      <c r="AV9584"/>
    </row>
    <row r="9585" spans="41:48" x14ac:dyDescent="0.35">
      <c r="AO9585"/>
      <c r="AP9585"/>
      <c r="AQ9585"/>
      <c r="AR9585"/>
      <c r="AS9585"/>
      <c r="AT9585"/>
      <c r="AU9585"/>
      <c r="AV9585"/>
    </row>
    <row r="9586" spans="41:48" x14ac:dyDescent="0.35">
      <c r="AO9586"/>
      <c r="AP9586"/>
      <c r="AQ9586"/>
      <c r="AR9586"/>
      <c r="AS9586"/>
      <c r="AT9586"/>
      <c r="AU9586"/>
      <c r="AV9586"/>
    </row>
    <row r="9587" spans="41:48" x14ac:dyDescent="0.35">
      <c r="AO9587"/>
      <c r="AP9587"/>
      <c r="AQ9587"/>
      <c r="AR9587"/>
      <c r="AS9587"/>
      <c r="AT9587"/>
      <c r="AU9587"/>
      <c r="AV9587"/>
    </row>
    <row r="9588" spans="41:48" x14ac:dyDescent="0.35">
      <c r="AO9588"/>
      <c r="AP9588"/>
      <c r="AQ9588"/>
      <c r="AR9588"/>
      <c r="AS9588"/>
      <c r="AT9588"/>
      <c r="AU9588"/>
      <c r="AV9588"/>
    </row>
    <row r="9589" spans="41:48" x14ac:dyDescent="0.35">
      <c r="AO9589"/>
      <c r="AP9589"/>
      <c r="AQ9589"/>
      <c r="AR9589"/>
      <c r="AS9589"/>
      <c r="AT9589"/>
      <c r="AU9589"/>
      <c r="AV9589"/>
    </row>
    <row r="9590" spans="41:48" x14ac:dyDescent="0.35">
      <c r="AO9590"/>
      <c r="AP9590"/>
      <c r="AQ9590"/>
      <c r="AR9590"/>
      <c r="AS9590"/>
      <c r="AT9590"/>
      <c r="AU9590"/>
      <c r="AV9590"/>
    </row>
    <row r="9591" spans="41:48" x14ac:dyDescent="0.35">
      <c r="AO9591"/>
      <c r="AP9591"/>
      <c r="AQ9591"/>
      <c r="AR9591"/>
      <c r="AS9591"/>
      <c r="AT9591"/>
      <c r="AU9591"/>
      <c r="AV9591"/>
    </row>
    <row r="9592" spans="41:48" x14ac:dyDescent="0.35">
      <c r="AO9592"/>
      <c r="AP9592"/>
      <c r="AQ9592"/>
      <c r="AR9592"/>
      <c r="AS9592"/>
      <c r="AT9592"/>
      <c r="AU9592"/>
      <c r="AV9592"/>
    </row>
    <row r="9593" spans="41:48" x14ac:dyDescent="0.35">
      <c r="AO9593"/>
      <c r="AP9593"/>
      <c r="AQ9593"/>
      <c r="AR9593"/>
      <c r="AS9593"/>
      <c r="AT9593"/>
      <c r="AU9593"/>
      <c r="AV9593"/>
    </row>
    <row r="9594" spans="41:48" x14ac:dyDescent="0.35">
      <c r="AO9594"/>
      <c r="AP9594"/>
      <c r="AQ9594"/>
      <c r="AR9594"/>
      <c r="AS9594"/>
      <c r="AT9594"/>
      <c r="AU9594"/>
      <c r="AV9594"/>
    </row>
    <row r="9595" spans="41:48" x14ac:dyDescent="0.35">
      <c r="AO9595"/>
      <c r="AP9595"/>
      <c r="AQ9595"/>
      <c r="AR9595"/>
      <c r="AS9595"/>
      <c r="AT9595"/>
      <c r="AU9595"/>
      <c r="AV9595"/>
    </row>
    <row r="9596" spans="41:48" x14ac:dyDescent="0.35">
      <c r="AO9596"/>
      <c r="AP9596"/>
      <c r="AQ9596"/>
      <c r="AR9596"/>
      <c r="AS9596"/>
      <c r="AT9596"/>
      <c r="AU9596"/>
      <c r="AV9596"/>
    </row>
    <row r="9597" spans="41:48" x14ac:dyDescent="0.35">
      <c r="AO9597"/>
      <c r="AP9597"/>
      <c r="AQ9597"/>
      <c r="AR9597"/>
      <c r="AS9597"/>
      <c r="AT9597"/>
      <c r="AU9597"/>
      <c r="AV9597"/>
    </row>
    <row r="9598" spans="41:48" x14ac:dyDescent="0.35">
      <c r="AO9598"/>
      <c r="AP9598"/>
      <c r="AQ9598"/>
      <c r="AR9598"/>
      <c r="AS9598"/>
      <c r="AT9598"/>
      <c r="AU9598"/>
      <c r="AV9598"/>
    </row>
    <row r="9599" spans="41:48" x14ac:dyDescent="0.35">
      <c r="AO9599"/>
      <c r="AP9599"/>
      <c r="AQ9599"/>
      <c r="AR9599"/>
      <c r="AS9599"/>
      <c r="AT9599"/>
      <c r="AU9599"/>
      <c r="AV9599"/>
    </row>
    <row r="9600" spans="41:48" x14ac:dyDescent="0.35">
      <c r="AO9600"/>
      <c r="AP9600"/>
      <c r="AQ9600"/>
      <c r="AR9600"/>
      <c r="AS9600"/>
      <c r="AT9600"/>
      <c r="AU9600"/>
      <c r="AV9600"/>
    </row>
    <row r="9601" spans="41:48" x14ac:dyDescent="0.35">
      <c r="AO9601"/>
      <c r="AP9601"/>
      <c r="AQ9601"/>
      <c r="AR9601"/>
      <c r="AS9601"/>
      <c r="AT9601"/>
      <c r="AU9601"/>
      <c r="AV9601"/>
    </row>
    <row r="9602" spans="41:48" x14ac:dyDescent="0.35">
      <c r="AO9602"/>
      <c r="AP9602"/>
      <c r="AQ9602"/>
      <c r="AR9602"/>
      <c r="AS9602"/>
      <c r="AT9602"/>
      <c r="AU9602"/>
      <c r="AV9602"/>
    </row>
    <row r="9603" spans="41:48" x14ac:dyDescent="0.35">
      <c r="AO9603"/>
      <c r="AP9603"/>
      <c r="AQ9603"/>
      <c r="AR9603"/>
      <c r="AS9603"/>
      <c r="AT9603"/>
      <c r="AU9603"/>
      <c r="AV9603"/>
    </row>
    <row r="9604" spans="41:48" x14ac:dyDescent="0.35">
      <c r="AO9604"/>
      <c r="AP9604"/>
      <c r="AQ9604"/>
      <c r="AR9604"/>
      <c r="AS9604"/>
      <c r="AT9604"/>
      <c r="AU9604"/>
      <c r="AV9604"/>
    </row>
    <row r="9605" spans="41:48" x14ac:dyDescent="0.35">
      <c r="AO9605"/>
      <c r="AP9605"/>
      <c r="AQ9605"/>
      <c r="AR9605"/>
      <c r="AS9605"/>
      <c r="AT9605"/>
      <c r="AU9605"/>
      <c r="AV9605"/>
    </row>
    <row r="9606" spans="41:48" x14ac:dyDescent="0.35">
      <c r="AO9606"/>
      <c r="AP9606"/>
      <c r="AQ9606"/>
      <c r="AR9606"/>
      <c r="AS9606"/>
      <c r="AT9606"/>
      <c r="AU9606"/>
      <c r="AV9606"/>
    </row>
    <row r="9607" spans="41:48" x14ac:dyDescent="0.35">
      <c r="AO9607"/>
      <c r="AP9607"/>
      <c r="AQ9607"/>
      <c r="AR9607"/>
      <c r="AS9607"/>
      <c r="AT9607"/>
      <c r="AU9607"/>
      <c r="AV9607"/>
    </row>
    <row r="9608" spans="41:48" x14ac:dyDescent="0.35">
      <c r="AO9608"/>
      <c r="AP9608"/>
      <c r="AQ9608"/>
      <c r="AR9608"/>
      <c r="AS9608"/>
      <c r="AT9608"/>
      <c r="AU9608"/>
      <c r="AV9608"/>
    </row>
    <row r="9609" spans="41:48" x14ac:dyDescent="0.35">
      <c r="AO9609"/>
      <c r="AP9609"/>
      <c r="AQ9609"/>
      <c r="AR9609"/>
      <c r="AS9609"/>
      <c r="AT9609"/>
      <c r="AU9609"/>
      <c r="AV9609"/>
    </row>
    <row r="9610" spans="41:48" x14ac:dyDescent="0.35">
      <c r="AO9610"/>
      <c r="AP9610"/>
      <c r="AQ9610"/>
      <c r="AR9610"/>
      <c r="AS9610"/>
      <c r="AT9610"/>
      <c r="AU9610"/>
      <c r="AV9610"/>
    </row>
    <row r="9611" spans="41:48" x14ac:dyDescent="0.35">
      <c r="AO9611"/>
      <c r="AP9611"/>
      <c r="AQ9611"/>
      <c r="AR9611"/>
      <c r="AS9611"/>
      <c r="AT9611"/>
      <c r="AU9611"/>
      <c r="AV9611"/>
    </row>
    <row r="9612" spans="41:48" x14ac:dyDescent="0.35">
      <c r="AO9612"/>
      <c r="AP9612"/>
      <c r="AQ9612"/>
      <c r="AR9612"/>
      <c r="AS9612"/>
      <c r="AT9612"/>
      <c r="AU9612"/>
      <c r="AV9612"/>
    </row>
    <row r="9613" spans="41:48" x14ac:dyDescent="0.35">
      <c r="AO9613"/>
      <c r="AP9613"/>
      <c r="AQ9613"/>
      <c r="AR9613"/>
      <c r="AS9613"/>
      <c r="AT9613"/>
      <c r="AU9613"/>
      <c r="AV9613"/>
    </row>
    <row r="9614" spans="41:48" x14ac:dyDescent="0.35">
      <c r="AO9614"/>
      <c r="AP9614"/>
      <c r="AQ9614"/>
      <c r="AR9614"/>
      <c r="AS9614"/>
      <c r="AT9614"/>
      <c r="AU9614"/>
      <c r="AV9614"/>
    </row>
    <row r="9615" spans="41:48" x14ac:dyDescent="0.35">
      <c r="AO9615"/>
      <c r="AP9615"/>
      <c r="AQ9615"/>
      <c r="AR9615"/>
      <c r="AS9615"/>
      <c r="AT9615"/>
      <c r="AU9615"/>
      <c r="AV9615"/>
    </row>
    <row r="9616" spans="41:48" x14ac:dyDescent="0.35">
      <c r="AO9616"/>
      <c r="AP9616"/>
      <c r="AQ9616"/>
      <c r="AR9616"/>
      <c r="AS9616"/>
      <c r="AT9616"/>
      <c r="AU9616"/>
      <c r="AV9616"/>
    </row>
    <row r="9617" spans="41:48" x14ac:dyDescent="0.35">
      <c r="AO9617"/>
      <c r="AP9617"/>
      <c r="AQ9617"/>
      <c r="AR9617"/>
      <c r="AS9617"/>
      <c r="AT9617"/>
      <c r="AU9617"/>
      <c r="AV9617"/>
    </row>
    <row r="9618" spans="41:48" x14ac:dyDescent="0.35">
      <c r="AO9618"/>
      <c r="AP9618"/>
      <c r="AQ9618"/>
      <c r="AR9618"/>
      <c r="AS9618"/>
      <c r="AT9618"/>
      <c r="AU9618"/>
      <c r="AV9618"/>
    </row>
    <row r="9619" spans="41:48" x14ac:dyDescent="0.35">
      <c r="AO9619"/>
      <c r="AP9619"/>
      <c r="AQ9619"/>
      <c r="AR9619"/>
      <c r="AS9619"/>
      <c r="AT9619"/>
      <c r="AU9619"/>
      <c r="AV9619"/>
    </row>
    <row r="9620" spans="41:48" x14ac:dyDescent="0.35">
      <c r="AO9620"/>
      <c r="AP9620"/>
      <c r="AQ9620"/>
      <c r="AR9620"/>
      <c r="AS9620"/>
      <c r="AT9620"/>
      <c r="AU9620"/>
      <c r="AV9620"/>
    </row>
    <row r="9621" spans="41:48" x14ac:dyDescent="0.35">
      <c r="AO9621"/>
      <c r="AP9621"/>
      <c r="AQ9621"/>
      <c r="AR9621"/>
      <c r="AS9621"/>
      <c r="AT9621"/>
      <c r="AU9621"/>
      <c r="AV9621"/>
    </row>
    <row r="9622" spans="41:48" x14ac:dyDescent="0.35">
      <c r="AO9622"/>
      <c r="AP9622"/>
      <c r="AQ9622"/>
      <c r="AR9622"/>
      <c r="AS9622"/>
      <c r="AT9622"/>
      <c r="AU9622"/>
      <c r="AV9622"/>
    </row>
    <row r="9623" spans="41:48" x14ac:dyDescent="0.35">
      <c r="AO9623"/>
      <c r="AP9623"/>
      <c r="AQ9623"/>
      <c r="AR9623"/>
      <c r="AS9623"/>
      <c r="AT9623"/>
      <c r="AU9623"/>
      <c r="AV9623"/>
    </row>
    <row r="9624" spans="41:48" x14ac:dyDescent="0.35">
      <c r="AO9624"/>
      <c r="AP9624"/>
      <c r="AQ9624"/>
      <c r="AR9624"/>
      <c r="AS9624"/>
      <c r="AT9624"/>
      <c r="AU9624"/>
      <c r="AV9624"/>
    </row>
    <row r="9625" spans="41:48" x14ac:dyDescent="0.35">
      <c r="AO9625"/>
      <c r="AP9625"/>
      <c r="AQ9625"/>
      <c r="AR9625"/>
      <c r="AS9625"/>
      <c r="AT9625"/>
      <c r="AU9625"/>
      <c r="AV9625"/>
    </row>
    <row r="9626" spans="41:48" x14ac:dyDescent="0.35">
      <c r="AO9626"/>
      <c r="AP9626"/>
      <c r="AQ9626"/>
      <c r="AR9626"/>
      <c r="AS9626"/>
      <c r="AT9626"/>
      <c r="AU9626"/>
      <c r="AV9626"/>
    </row>
    <row r="9627" spans="41:48" x14ac:dyDescent="0.35">
      <c r="AO9627"/>
      <c r="AP9627"/>
      <c r="AQ9627"/>
      <c r="AR9627"/>
      <c r="AS9627"/>
      <c r="AT9627"/>
      <c r="AU9627"/>
      <c r="AV9627"/>
    </row>
    <row r="9628" spans="41:48" x14ac:dyDescent="0.35">
      <c r="AO9628"/>
      <c r="AP9628"/>
      <c r="AQ9628"/>
      <c r="AR9628"/>
      <c r="AS9628"/>
      <c r="AT9628"/>
      <c r="AU9628"/>
      <c r="AV9628"/>
    </row>
    <row r="9629" spans="41:48" x14ac:dyDescent="0.35">
      <c r="AO9629"/>
      <c r="AP9629"/>
      <c r="AQ9629"/>
      <c r="AR9629"/>
      <c r="AS9629"/>
      <c r="AT9629"/>
      <c r="AU9629"/>
      <c r="AV9629"/>
    </row>
    <row r="9630" spans="41:48" x14ac:dyDescent="0.35">
      <c r="AO9630"/>
      <c r="AP9630"/>
      <c r="AQ9630"/>
      <c r="AR9630"/>
      <c r="AS9630"/>
      <c r="AT9630"/>
      <c r="AU9630"/>
      <c r="AV9630"/>
    </row>
    <row r="9631" spans="41:48" x14ac:dyDescent="0.35">
      <c r="AO9631"/>
      <c r="AP9631"/>
      <c r="AQ9631"/>
      <c r="AR9631"/>
      <c r="AS9631"/>
      <c r="AT9631"/>
      <c r="AU9631"/>
      <c r="AV9631"/>
    </row>
    <row r="9632" spans="41:48" x14ac:dyDescent="0.35">
      <c r="AO9632"/>
      <c r="AP9632"/>
      <c r="AQ9632"/>
      <c r="AR9632"/>
      <c r="AS9632"/>
      <c r="AT9632"/>
      <c r="AU9632"/>
      <c r="AV9632"/>
    </row>
    <row r="9633" spans="41:48" x14ac:dyDescent="0.35">
      <c r="AO9633"/>
      <c r="AP9633"/>
      <c r="AQ9633"/>
      <c r="AR9633"/>
      <c r="AS9633"/>
      <c r="AT9633"/>
      <c r="AU9633"/>
      <c r="AV9633"/>
    </row>
    <row r="9634" spans="41:48" x14ac:dyDescent="0.35">
      <c r="AO9634"/>
      <c r="AP9634"/>
      <c r="AQ9634"/>
      <c r="AR9634"/>
      <c r="AS9634"/>
      <c r="AT9634"/>
      <c r="AU9634"/>
      <c r="AV9634"/>
    </row>
    <row r="9635" spans="41:48" x14ac:dyDescent="0.35">
      <c r="AO9635"/>
      <c r="AP9635"/>
      <c r="AQ9635"/>
      <c r="AR9635"/>
      <c r="AS9635"/>
      <c r="AT9635"/>
      <c r="AU9635"/>
      <c r="AV9635"/>
    </row>
    <row r="9636" spans="41:48" x14ac:dyDescent="0.35">
      <c r="AO9636"/>
      <c r="AP9636"/>
      <c r="AQ9636"/>
      <c r="AR9636"/>
      <c r="AS9636"/>
      <c r="AT9636"/>
      <c r="AU9636"/>
      <c r="AV9636"/>
    </row>
    <row r="9637" spans="41:48" x14ac:dyDescent="0.35">
      <c r="AO9637"/>
      <c r="AP9637"/>
      <c r="AQ9637"/>
      <c r="AR9637"/>
      <c r="AS9637"/>
      <c r="AT9637"/>
      <c r="AU9637"/>
      <c r="AV9637"/>
    </row>
    <row r="9638" spans="41:48" x14ac:dyDescent="0.35">
      <c r="AO9638"/>
      <c r="AP9638"/>
      <c r="AQ9638"/>
      <c r="AR9638"/>
      <c r="AS9638"/>
      <c r="AT9638"/>
      <c r="AU9638"/>
      <c r="AV9638"/>
    </row>
    <row r="9639" spans="41:48" x14ac:dyDescent="0.35">
      <c r="AO9639"/>
      <c r="AP9639"/>
      <c r="AQ9639"/>
      <c r="AR9639"/>
      <c r="AS9639"/>
      <c r="AT9639"/>
      <c r="AU9639"/>
      <c r="AV9639"/>
    </row>
    <row r="9640" spans="41:48" x14ac:dyDescent="0.35">
      <c r="AO9640"/>
      <c r="AP9640"/>
      <c r="AQ9640"/>
      <c r="AR9640"/>
      <c r="AS9640"/>
      <c r="AT9640"/>
      <c r="AU9640"/>
      <c r="AV9640"/>
    </row>
    <row r="9641" spans="41:48" x14ac:dyDescent="0.35">
      <c r="AO9641"/>
      <c r="AP9641"/>
      <c r="AQ9641"/>
      <c r="AR9641"/>
      <c r="AS9641"/>
      <c r="AT9641"/>
      <c r="AU9641"/>
      <c r="AV9641"/>
    </row>
    <row r="9642" spans="41:48" x14ac:dyDescent="0.35">
      <c r="AO9642"/>
      <c r="AP9642"/>
      <c r="AQ9642"/>
      <c r="AR9642"/>
      <c r="AS9642"/>
      <c r="AT9642"/>
      <c r="AU9642"/>
      <c r="AV9642"/>
    </row>
    <row r="9643" spans="41:48" x14ac:dyDescent="0.35">
      <c r="AO9643"/>
      <c r="AP9643"/>
      <c r="AQ9643"/>
      <c r="AR9643"/>
      <c r="AS9643"/>
      <c r="AT9643"/>
      <c r="AU9643"/>
      <c r="AV9643"/>
    </row>
    <row r="9644" spans="41:48" x14ac:dyDescent="0.35">
      <c r="AO9644"/>
      <c r="AP9644"/>
      <c r="AQ9644"/>
      <c r="AR9644"/>
      <c r="AS9644"/>
      <c r="AT9644"/>
      <c r="AU9644"/>
      <c r="AV9644"/>
    </row>
    <row r="9645" spans="41:48" x14ac:dyDescent="0.35">
      <c r="AO9645"/>
      <c r="AP9645"/>
      <c r="AQ9645"/>
      <c r="AR9645"/>
      <c r="AS9645"/>
      <c r="AT9645"/>
      <c r="AU9645"/>
      <c r="AV9645"/>
    </row>
    <row r="9646" spans="41:48" x14ac:dyDescent="0.35">
      <c r="AO9646"/>
      <c r="AP9646"/>
      <c r="AQ9646"/>
      <c r="AR9646"/>
      <c r="AS9646"/>
      <c r="AT9646"/>
      <c r="AU9646"/>
      <c r="AV9646"/>
    </row>
    <row r="9647" spans="41:48" x14ac:dyDescent="0.35">
      <c r="AO9647"/>
      <c r="AP9647"/>
      <c r="AQ9647"/>
      <c r="AR9647"/>
      <c r="AS9647"/>
      <c r="AT9647"/>
      <c r="AU9647"/>
      <c r="AV9647"/>
    </row>
    <row r="9648" spans="41:48" x14ac:dyDescent="0.35">
      <c r="AO9648"/>
      <c r="AP9648"/>
      <c r="AQ9648"/>
      <c r="AR9648"/>
      <c r="AS9648"/>
      <c r="AT9648"/>
      <c r="AU9648"/>
      <c r="AV9648"/>
    </row>
    <row r="9649" spans="41:48" x14ac:dyDescent="0.35">
      <c r="AO9649"/>
      <c r="AP9649"/>
      <c r="AQ9649"/>
      <c r="AR9649"/>
      <c r="AS9649"/>
      <c r="AT9649"/>
      <c r="AU9649"/>
      <c r="AV9649"/>
    </row>
    <row r="9650" spans="41:48" x14ac:dyDescent="0.35">
      <c r="AO9650"/>
      <c r="AP9650"/>
      <c r="AQ9650"/>
      <c r="AR9650"/>
      <c r="AS9650"/>
      <c r="AT9650"/>
      <c r="AU9650"/>
      <c r="AV9650"/>
    </row>
    <row r="9651" spans="41:48" x14ac:dyDescent="0.35">
      <c r="AO9651"/>
      <c r="AP9651"/>
      <c r="AQ9651"/>
      <c r="AR9651"/>
      <c r="AS9651"/>
      <c r="AT9651"/>
      <c r="AU9651"/>
      <c r="AV9651"/>
    </row>
    <row r="9652" spans="41:48" x14ac:dyDescent="0.35">
      <c r="AO9652"/>
      <c r="AP9652"/>
      <c r="AQ9652"/>
      <c r="AR9652"/>
      <c r="AS9652"/>
      <c r="AT9652"/>
      <c r="AU9652"/>
      <c r="AV9652"/>
    </row>
    <row r="9653" spans="41:48" x14ac:dyDescent="0.35">
      <c r="AO9653"/>
      <c r="AP9653"/>
      <c r="AQ9653"/>
      <c r="AR9653"/>
      <c r="AS9653"/>
      <c r="AT9653"/>
      <c r="AU9653"/>
      <c r="AV9653"/>
    </row>
    <row r="9654" spans="41:48" x14ac:dyDescent="0.35">
      <c r="AO9654"/>
      <c r="AP9654"/>
      <c r="AQ9654"/>
      <c r="AR9654"/>
      <c r="AS9654"/>
      <c r="AT9654"/>
      <c r="AU9654"/>
      <c r="AV9654"/>
    </row>
    <row r="9655" spans="41:48" x14ac:dyDescent="0.35">
      <c r="AO9655"/>
      <c r="AP9655"/>
      <c r="AQ9655"/>
      <c r="AR9655"/>
      <c r="AS9655"/>
      <c r="AT9655"/>
      <c r="AU9655"/>
      <c r="AV9655"/>
    </row>
    <row r="9656" spans="41:48" x14ac:dyDescent="0.35">
      <c r="AO9656"/>
      <c r="AP9656"/>
      <c r="AQ9656"/>
      <c r="AR9656"/>
      <c r="AS9656"/>
      <c r="AT9656"/>
      <c r="AU9656"/>
      <c r="AV9656"/>
    </row>
    <row r="9657" spans="41:48" x14ac:dyDescent="0.35">
      <c r="AO9657"/>
      <c r="AP9657"/>
      <c r="AQ9657"/>
      <c r="AR9657"/>
      <c r="AS9657"/>
      <c r="AT9657"/>
      <c r="AU9657"/>
      <c r="AV9657"/>
    </row>
    <row r="9658" spans="41:48" x14ac:dyDescent="0.35">
      <c r="AO9658"/>
      <c r="AP9658"/>
      <c r="AQ9658"/>
      <c r="AR9658"/>
      <c r="AS9658"/>
      <c r="AT9658"/>
      <c r="AU9658"/>
      <c r="AV9658"/>
    </row>
    <row r="9659" spans="41:48" x14ac:dyDescent="0.35">
      <c r="AO9659"/>
      <c r="AP9659"/>
      <c r="AQ9659"/>
      <c r="AR9659"/>
      <c r="AS9659"/>
      <c r="AT9659"/>
      <c r="AU9659"/>
      <c r="AV9659"/>
    </row>
    <row r="9660" spans="41:48" x14ac:dyDescent="0.35">
      <c r="AO9660"/>
      <c r="AP9660"/>
      <c r="AQ9660"/>
      <c r="AR9660"/>
      <c r="AS9660"/>
      <c r="AT9660"/>
      <c r="AU9660"/>
      <c r="AV9660"/>
    </row>
    <row r="9661" spans="41:48" x14ac:dyDescent="0.35">
      <c r="AO9661"/>
      <c r="AP9661"/>
      <c r="AQ9661"/>
      <c r="AR9661"/>
      <c r="AS9661"/>
      <c r="AT9661"/>
      <c r="AU9661"/>
      <c r="AV9661"/>
    </row>
    <row r="9662" spans="41:48" x14ac:dyDescent="0.35">
      <c r="AO9662"/>
      <c r="AP9662"/>
      <c r="AQ9662"/>
      <c r="AR9662"/>
      <c r="AS9662"/>
      <c r="AT9662"/>
      <c r="AU9662"/>
      <c r="AV9662"/>
    </row>
    <row r="9663" spans="41:48" x14ac:dyDescent="0.35">
      <c r="AO9663"/>
      <c r="AP9663"/>
      <c r="AQ9663"/>
      <c r="AR9663"/>
      <c r="AS9663"/>
      <c r="AT9663"/>
      <c r="AU9663"/>
      <c r="AV9663"/>
    </row>
    <row r="9664" spans="41:48" x14ac:dyDescent="0.35">
      <c r="AO9664"/>
      <c r="AP9664"/>
      <c r="AQ9664"/>
      <c r="AR9664"/>
      <c r="AS9664"/>
      <c r="AT9664"/>
      <c r="AU9664"/>
      <c r="AV9664"/>
    </row>
    <row r="9665" spans="41:48" x14ac:dyDescent="0.35">
      <c r="AO9665"/>
      <c r="AP9665"/>
      <c r="AQ9665"/>
      <c r="AR9665"/>
      <c r="AS9665"/>
      <c r="AT9665"/>
      <c r="AU9665"/>
      <c r="AV9665"/>
    </row>
    <row r="9666" spans="41:48" x14ac:dyDescent="0.35">
      <c r="AO9666"/>
      <c r="AP9666"/>
      <c r="AQ9666"/>
      <c r="AR9666"/>
      <c r="AS9666"/>
      <c r="AT9666"/>
      <c r="AU9666"/>
      <c r="AV9666"/>
    </row>
    <row r="9667" spans="41:48" x14ac:dyDescent="0.35">
      <c r="AO9667"/>
      <c r="AP9667"/>
      <c r="AQ9667"/>
      <c r="AR9667"/>
      <c r="AS9667"/>
      <c r="AT9667"/>
      <c r="AU9667"/>
      <c r="AV9667"/>
    </row>
    <row r="9668" spans="41:48" x14ac:dyDescent="0.35">
      <c r="AO9668"/>
      <c r="AP9668"/>
      <c r="AQ9668"/>
      <c r="AR9668"/>
      <c r="AS9668"/>
      <c r="AT9668"/>
      <c r="AU9668"/>
      <c r="AV9668"/>
    </row>
    <row r="9669" spans="41:48" x14ac:dyDescent="0.35">
      <c r="AO9669"/>
      <c r="AP9669"/>
      <c r="AQ9669"/>
      <c r="AR9669"/>
      <c r="AS9669"/>
      <c r="AT9669"/>
      <c r="AU9669"/>
      <c r="AV9669"/>
    </row>
    <row r="9670" spans="41:48" x14ac:dyDescent="0.35">
      <c r="AO9670"/>
      <c r="AP9670"/>
      <c r="AQ9670"/>
      <c r="AR9670"/>
      <c r="AS9670"/>
      <c r="AT9670"/>
      <c r="AU9670"/>
      <c r="AV9670"/>
    </row>
    <row r="9671" spans="41:48" x14ac:dyDescent="0.35">
      <c r="AO9671"/>
      <c r="AP9671"/>
      <c r="AQ9671"/>
      <c r="AR9671"/>
      <c r="AS9671"/>
      <c r="AT9671"/>
      <c r="AU9671"/>
      <c r="AV9671"/>
    </row>
    <row r="9672" spans="41:48" x14ac:dyDescent="0.35">
      <c r="AO9672"/>
      <c r="AP9672"/>
      <c r="AQ9672"/>
      <c r="AR9672"/>
      <c r="AS9672"/>
      <c r="AT9672"/>
      <c r="AU9672"/>
      <c r="AV9672"/>
    </row>
    <row r="9673" spans="41:48" x14ac:dyDescent="0.35">
      <c r="AO9673"/>
      <c r="AP9673"/>
      <c r="AQ9673"/>
      <c r="AR9673"/>
      <c r="AS9673"/>
      <c r="AT9673"/>
      <c r="AU9673"/>
      <c r="AV9673"/>
    </row>
    <row r="9674" spans="41:48" x14ac:dyDescent="0.35">
      <c r="AO9674"/>
      <c r="AP9674"/>
      <c r="AQ9674"/>
      <c r="AR9674"/>
      <c r="AS9674"/>
      <c r="AT9674"/>
      <c r="AU9674"/>
      <c r="AV9674"/>
    </row>
    <row r="9675" spans="41:48" x14ac:dyDescent="0.35">
      <c r="AO9675"/>
      <c r="AP9675"/>
      <c r="AQ9675"/>
      <c r="AR9675"/>
      <c r="AS9675"/>
      <c r="AT9675"/>
      <c r="AU9675"/>
      <c r="AV9675"/>
    </row>
    <row r="9676" spans="41:48" x14ac:dyDescent="0.35">
      <c r="AO9676"/>
      <c r="AP9676"/>
      <c r="AQ9676"/>
      <c r="AR9676"/>
      <c r="AS9676"/>
      <c r="AT9676"/>
      <c r="AU9676"/>
      <c r="AV9676"/>
    </row>
    <row r="9677" spans="41:48" x14ac:dyDescent="0.35">
      <c r="AO9677"/>
      <c r="AP9677"/>
      <c r="AQ9677"/>
      <c r="AR9677"/>
      <c r="AS9677"/>
      <c r="AT9677"/>
      <c r="AU9677"/>
      <c r="AV9677"/>
    </row>
    <row r="9678" spans="41:48" x14ac:dyDescent="0.35">
      <c r="AO9678"/>
      <c r="AP9678"/>
      <c r="AQ9678"/>
      <c r="AR9678"/>
      <c r="AS9678"/>
      <c r="AT9678"/>
      <c r="AU9678"/>
      <c r="AV9678"/>
    </row>
    <row r="9679" spans="41:48" x14ac:dyDescent="0.35">
      <c r="AO9679"/>
      <c r="AP9679"/>
      <c r="AQ9679"/>
      <c r="AR9679"/>
      <c r="AS9679"/>
      <c r="AT9679"/>
      <c r="AU9679"/>
      <c r="AV9679"/>
    </row>
    <row r="9680" spans="41:48" x14ac:dyDescent="0.35">
      <c r="AO9680"/>
      <c r="AP9680"/>
      <c r="AQ9680"/>
      <c r="AR9680"/>
      <c r="AS9680"/>
      <c r="AT9680"/>
      <c r="AU9680"/>
      <c r="AV9680"/>
    </row>
    <row r="9681" spans="41:48" x14ac:dyDescent="0.35">
      <c r="AO9681"/>
      <c r="AP9681"/>
      <c r="AQ9681"/>
      <c r="AR9681"/>
      <c r="AS9681"/>
      <c r="AT9681"/>
      <c r="AU9681"/>
      <c r="AV9681"/>
    </row>
    <row r="9682" spans="41:48" x14ac:dyDescent="0.35">
      <c r="AO9682"/>
      <c r="AP9682"/>
      <c r="AQ9682"/>
      <c r="AR9682"/>
      <c r="AS9682"/>
      <c r="AT9682"/>
      <c r="AU9682"/>
      <c r="AV9682"/>
    </row>
    <row r="9683" spans="41:48" x14ac:dyDescent="0.35">
      <c r="AO9683"/>
      <c r="AP9683"/>
      <c r="AQ9683"/>
      <c r="AR9683"/>
      <c r="AS9683"/>
      <c r="AT9683"/>
      <c r="AU9683"/>
      <c r="AV9683"/>
    </row>
    <row r="9684" spans="41:48" x14ac:dyDescent="0.35">
      <c r="AO9684"/>
      <c r="AP9684"/>
      <c r="AQ9684"/>
      <c r="AR9684"/>
      <c r="AS9684"/>
      <c r="AT9684"/>
      <c r="AU9684"/>
      <c r="AV9684"/>
    </row>
    <row r="9685" spans="41:48" x14ac:dyDescent="0.35">
      <c r="AO9685"/>
      <c r="AP9685"/>
      <c r="AQ9685"/>
      <c r="AR9685"/>
      <c r="AS9685"/>
      <c r="AT9685"/>
      <c r="AU9685"/>
      <c r="AV9685"/>
    </row>
    <row r="9686" spans="41:48" x14ac:dyDescent="0.35">
      <c r="AO9686"/>
      <c r="AP9686"/>
      <c r="AQ9686"/>
      <c r="AR9686"/>
      <c r="AS9686"/>
      <c r="AT9686"/>
      <c r="AU9686"/>
      <c r="AV9686"/>
    </row>
    <row r="9687" spans="41:48" x14ac:dyDescent="0.35">
      <c r="AO9687"/>
      <c r="AP9687"/>
      <c r="AQ9687"/>
      <c r="AR9687"/>
      <c r="AS9687"/>
      <c r="AT9687"/>
      <c r="AU9687"/>
      <c r="AV9687"/>
    </row>
    <row r="9688" spans="41:48" x14ac:dyDescent="0.35">
      <c r="AO9688"/>
      <c r="AP9688"/>
      <c r="AQ9688"/>
      <c r="AR9688"/>
      <c r="AS9688"/>
      <c r="AT9688"/>
      <c r="AU9688"/>
      <c r="AV9688"/>
    </row>
    <row r="9689" spans="41:48" x14ac:dyDescent="0.35">
      <c r="AO9689"/>
      <c r="AP9689"/>
      <c r="AQ9689"/>
      <c r="AR9689"/>
      <c r="AS9689"/>
      <c r="AT9689"/>
      <c r="AU9689"/>
      <c r="AV9689"/>
    </row>
    <row r="9690" spans="41:48" x14ac:dyDescent="0.35">
      <c r="AO9690"/>
      <c r="AP9690"/>
      <c r="AQ9690"/>
      <c r="AR9690"/>
      <c r="AS9690"/>
      <c r="AT9690"/>
      <c r="AU9690"/>
      <c r="AV9690"/>
    </row>
    <row r="9691" spans="41:48" x14ac:dyDescent="0.35">
      <c r="AO9691"/>
      <c r="AP9691"/>
      <c r="AQ9691"/>
      <c r="AR9691"/>
      <c r="AS9691"/>
      <c r="AT9691"/>
      <c r="AU9691"/>
      <c r="AV9691"/>
    </row>
    <row r="9692" spans="41:48" x14ac:dyDescent="0.35">
      <c r="AO9692"/>
      <c r="AP9692"/>
      <c r="AQ9692"/>
      <c r="AR9692"/>
      <c r="AS9692"/>
      <c r="AT9692"/>
      <c r="AU9692"/>
      <c r="AV9692"/>
    </row>
    <row r="9693" spans="41:48" x14ac:dyDescent="0.35">
      <c r="AO9693"/>
      <c r="AP9693"/>
      <c r="AQ9693"/>
      <c r="AR9693"/>
      <c r="AS9693"/>
      <c r="AT9693"/>
      <c r="AU9693"/>
      <c r="AV9693"/>
    </row>
    <row r="9694" spans="41:48" x14ac:dyDescent="0.35">
      <c r="AO9694"/>
      <c r="AP9694"/>
      <c r="AQ9694"/>
      <c r="AR9694"/>
      <c r="AS9694"/>
      <c r="AT9694"/>
      <c r="AU9694"/>
      <c r="AV9694"/>
    </row>
    <row r="9695" spans="41:48" x14ac:dyDescent="0.35">
      <c r="AO9695"/>
      <c r="AP9695"/>
      <c r="AQ9695"/>
      <c r="AR9695"/>
      <c r="AS9695"/>
      <c r="AT9695"/>
      <c r="AU9695"/>
      <c r="AV9695"/>
    </row>
    <row r="9696" spans="41:48" x14ac:dyDescent="0.35">
      <c r="AO9696"/>
      <c r="AP9696"/>
      <c r="AQ9696"/>
      <c r="AR9696"/>
      <c r="AS9696"/>
      <c r="AT9696"/>
      <c r="AU9696"/>
      <c r="AV9696"/>
    </row>
    <row r="9697" spans="41:48" x14ac:dyDescent="0.35">
      <c r="AO9697"/>
      <c r="AP9697"/>
      <c r="AQ9697"/>
      <c r="AR9697"/>
      <c r="AS9697"/>
      <c r="AT9697"/>
      <c r="AU9697"/>
      <c r="AV9697"/>
    </row>
    <row r="9698" spans="41:48" x14ac:dyDescent="0.35">
      <c r="AO9698"/>
      <c r="AP9698"/>
      <c r="AQ9698"/>
      <c r="AR9698"/>
      <c r="AS9698"/>
      <c r="AT9698"/>
      <c r="AU9698"/>
      <c r="AV9698"/>
    </row>
    <row r="9699" spans="41:48" x14ac:dyDescent="0.35">
      <c r="AO9699"/>
      <c r="AP9699"/>
      <c r="AQ9699"/>
      <c r="AR9699"/>
      <c r="AS9699"/>
      <c r="AT9699"/>
      <c r="AU9699"/>
      <c r="AV9699"/>
    </row>
    <row r="9700" spans="41:48" x14ac:dyDescent="0.35">
      <c r="AO9700"/>
      <c r="AP9700"/>
      <c r="AQ9700"/>
      <c r="AR9700"/>
      <c r="AS9700"/>
      <c r="AT9700"/>
      <c r="AU9700"/>
      <c r="AV9700"/>
    </row>
    <row r="9701" spans="41:48" x14ac:dyDescent="0.35">
      <c r="AO9701"/>
      <c r="AP9701"/>
      <c r="AQ9701"/>
      <c r="AR9701"/>
      <c r="AS9701"/>
      <c r="AT9701"/>
      <c r="AU9701"/>
      <c r="AV9701"/>
    </row>
    <row r="9702" spans="41:48" x14ac:dyDescent="0.35">
      <c r="AO9702"/>
      <c r="AP9702"/>
      <c r="AQ9702"/>
      <c r="AR9702"/>
      <c r="AS9702"/>
      <c r="AT9702"/>
      <c r="AU9702"/>
      <c r="AV9702"/>
    </row>
    <row r="9703" spans="41:48" x14ac:dyDescent="0.35">
      <c r="AO9703"/>
      <c r="AP9703"/>
      <c r="AQ9703"/>
      <c r="AR9703"/>
      <c r="AS9703"/>
      <c r="AT9703"/>
      <c r="AU9703"/>
      <c r="AV9703"/>
    </row>
    <row r="9704" spans="41:48" x14ac:dyDescent="0.35">
      <c r="AO9704"/>
      <c r="AP9704"/>
      <c r="AQ9704"/>
      <c r="AR9704"/>
      <c r="AS9704"/>
      <c r="AT9704"/>
      <c r="AU9704"/>
      <c r="AV9704"/>
    </row>
    <row r="9705" spans="41:48" x14ac:dyDescent="0.35">
      <c r="AO9705"/>
      <c r="AP9705"/>
      <c r="AQ9705"/>
      <c r="AR9705"/>
      <c r="AS9705"/>
      <c r="AT9705"/>
      <c r="AU9705"/>
      <c r="AV9705"/>
    </row>
    <row r="9706" spans="41:48" x14ac:dyDescent="0.35">
      <c r="AO9706"/>
      <c r="AP9706"/>
      <c r="AQ9706"/>
      <c r="AR9706"/>
      <c r="AS9706"/>
      <c r="AT9706"/>
      <c r="AU9706"/>
      <c r="AV9706"/>
    </row>
    <row r="9707" spans="41:48" x14ac:dyDescent="0.35">
      <c r="AO9707"/>
      <c r="AP9707"/>
      <c r="AQ9707"/>
      <c r="AR9707"/>
      <c r="AS9707"/>
      <c r="AT9707"/>
      <c r="AU9707"/>
      <c r="AV9707"/>
    </row>
    <row r="9708" spans="41:48" x14ac:dyDescent="0.35">
      <c r="AO9708"/>
      <c r="AP9708"/>
      <c r="AQ9708"/>
      <c r="AR9708"/>
      <c r="AS9708"/>
      <c r="AT9708"/>
      <c r="AU9708"/>
      <c r="AV9708"/>
    </row>
    <row r="9709" spans="41:48" x14ac:dyDescent="0.35">
      <c r="AO9709"/>
      <c r="AP9709"/>
      <c r="AQ9709"/>
      <c r="AR9709"/>
      <c r="AS9709"/>
      <c r="AT9709"/>
      <c r="AU9709"/>
      <c r="AV9709"/>
    </row>
    <row r="9710" spans="41:48" x14ac:dyDescent="0.35">
      <c r="AO9710"/>
      <c r="AP9710"/>
      <c r="AQ9710"/>
      <c r="AR9710"/>
      <c r="AS9710"/>
      <c r="AT9710"/>
      <c r="AU9710"/>
      <c r="AV9710"/>
    </row>
    <row r="9711" spans="41:48" x14ac:dyDescent="0.35">
      <c r="AO9711"/>
      <c r="AP9711"/>
      <c r="AQ9711"/>
      <c r="AR9711"/>
      <c r="AS9711"/>
      <c r="AT9711"/>
      <c r="AU9711"/>
      <c r="AV9711"/>
    </row>
    <row r="9712" spans="41:48" x14ac:dyDescent="0.35">
      <c r="AO9712"/>
      <c r="AP9712"/>
      <c r="AQ9712"/>
      <c r="AR9712"/>
      <c r="AS9712"/>
      <c r="AT9712"/>
      <c r="AU9712"/>
      <c r="AV9712"/>
    </row>
    <row r="9713" spans="41:48" x14ac:dyDescent="0.35">
      <c r="AO9713"/>
      <c r="AP9713"/>
      <c r="AQ9713"/>
      <c r="AR9713"/>
      <c r="AS9713"/>
      <c r="AT9713"/>
      <c r="AU9713"/>
      <c r="AV9713"/>
    </row>
    <row r="9714" spans="41:48" x14ac:dyDescent="0.35">
      <c r="AO9714"/>
      <c r="AP9714"/>
      <c r="AQ9714"/>
      <c r="AR9714"/>
      <c r="AS9714"/>
      <c r="AT9714"/>
      <c r="AU9714"/>
      <c r="AV9714"/>
    </row>
    <row r="9715" spans="41:48" x14ac:dyDescent="0.35">
      <c r="AO9715"/>
      <c r="AP9715"/>
      <c r="AQ9715"/>
      <c r="AR9715"/>
      <c r="AS9715"/>
      <c r="AT9715"/>
      <c r="AU9715"/>
      <c r="AV9715"/>
    </row>
    <row r="9716" spans="41:48" x14ac:dyDescent="0.35">
      <c r="AO9716"/>
      <c r="AP9716"/>
      <c r="AQ9716"/>
      <c r="AR9716"/>
      <c r="AS9716"/>
      <c r="AT9716"/>
      <c r="AU9716"/>
      <c r="AV9716"/>
    </row>
    <row r="9717" spans="41:48" x14ac:dyDescent="0.35">
      <c r="AO9717"/>
      <c r="AP9717"/>
      <c r="AQ9717"/>
      <c r="AR9717"/>
      <c r="AS9717"/>
      <c r="AT9717"/>
      <c r="AU9717"/>
      <c r="AV9717"/>
    </row>
    <row r="9718" spans="41:48" x14ac:dyDescent="0.35">
      <c r="AO9718"/>
      <c r="AP9718"/>
      <c r="AQ9718"/>
      <c r="AR9718"/>
      <c r="AS9718"/>
      <c r="AT9718"/>
      <c r="AU9718"/>
      <c r="AV9718"/>
    </row>
    <row r="9719" spans="41:48" x14ac:dyDescent="0.35">
      <c r="AO9719"/>
      <c r="AP9719"/>
      <c r="AQ9719"/>
      <c r="AR9719"/>
      <c r="AS9719"/>
      <c r="AT9719"/>
      <c r="AU9719"/>
      <c r="AV9719"/>
    </row>
    <row r="9720" spans="41:48" x14ac:dyDescent="0.35">
      <c r="AO9720"/>
      <c r="AP9720"/>
      <c r="AQ9720"/>
      <c r="AR9720"/>
      <c r="AS9720"/>
      <c r="AT9720"/>
      <c r="AU9720"/>
      <c r="AV9720"/>
    </row>
    <row r="9721" spans="41:48" x14ac:dyDescent="0.35">
      <c r="AO9721"/>
      <c r="AP9721"/>
      <c r="AQ9721"/>
      <c r="AR9721"/>
      <c r="AS9721"/>
      <c r="AT9721"/>
      <c r="AU9721"/>
      <c r="AV9721"/>
    </row>
    <row r="9722" spans="41:48" x14ac:dyDescent="0.35">
      <c r="AO9722"/>
      <c r="AP9722"/>
      <c r="AQ9722"/>
      <c r="AR9722"/>
      <c r="AS9722"/>
      <c r="AT9722"/>
      <c r="AU9722"/>
      <c r="AV9722"/>
    </row>
    <row r="9723" spans="41:48" x14ac:dyDescent="0.35">
      <c r="AO9723"/>
      <c r="AP9723"/>
      <c r="AQ9723"/>
      <c r="AR9723"/>
      <c r="AS9723"/>
      <c r="AT9723"/>
      <c r="AU9723"/>
      <c r="AV9723"/>
    </row>
    <row r="9724" spans="41:48" x14ac:dyDescent="0.35">
      <c r="AO9724"/>
      <c r="AP9724"/>
      <c r="AQ9724"/>
      <c r="AR9724"/>
      <c r="AS9724"/>
      <c r="AT9724"/>
      <c r="AU9724"/>
      <c r="AV9724"/>
    </row>
    <row r="9725" spans="41:48" x14ac:dyDescent="0.35">
      <c r="AO9725"/>
      <c r="AP9725"/>
      <c r="AQ9725"/>
      <c r="AR9725"/>
      <c r="AS9725"/>
      <c r="AT9725"/>
      <c r="AU9725"/>
      <c r="AV9725"/>
    </row>
    <row r="9726" spans="41:48" x14ac:dyDescent="0.35">
      <c r="AO9726"/>
      <c r="AP9726"/>
      <c r="AQ9726"/>
      <c r="AR9726"/>
      <c r="AS9726"/>
      <c r="AT9726"/>
      <c r="AU9726"/>
      <c r="AV9726"/>
    </row>
    <row r="9727" spans="41:48" x14ac:dyDescent="0.35">
      <c r="AO9727"/>
      <c r="AP9727"/>
      <c r="AQ9727"/>
      <c r="AR9727"/>
      <c r="AS9727"/>
      <c r="AT9727"/>
      <c r="AU9727"/>
      <c r="AV9727"/>
    </row>
    <row r="9728" spans="41:48" x14ac:dyDescent="0.35">
      <c r="AO9728"/>
      <c r="AP9728"/>
      <c r="AQ9728"/>
      <c r="AR9728"/>
      <c r="AS9728"/>
      <c r="AT9728"/>
      <c r="AU9728"/>
      <c r="AV9728"/>
    </row>
    <row r="9729" spans="41:48" x14ac:dyDescent="0.35">
      <c r="AO9729"/>
      <c r="AP9729"/>
      <c r="AQ9729"/>
      <c r="AR9729"/>
      <c r="AS9729"/>
      <c r="AT9729"/>
      <c r="AU9729"/>
      <c r="AV9729"/>
    </row>
    <row r="9730" spans="41:48" x14ac:dyDescent="0.35">
      <c r="AO9730"/>
      <c r="AP9730"/>
      <c r="AQ9730"/>
      <c r="AR9730"/>
      <c r="AS9730"/>
      <c r="AT9730"/>
      <c r="AU9730"/>
      <c r="AV9730"/>
    </row>
    <row r="9731" spans="41:48" x14ac:dyDescent="0.35">
      <c r="AO9731"/>
      <c r="AP9731"/>
      <c r="AQ9731"/>
      <c r="AR9731"/>
      <c r="AS9731"/>
      <c r="AT9731"/>
      <c r="AU9731"/>
      <c r="AV9731"/>
    </row>
    <row r="9732" spans="41:48" x14ac:dyDescent="0.35">
      <c r="AO9732"/>
      <c r="AP9732"/>
      <c r="AQ9732"/>
      <c r="AR9732"/>
      <c r="AS9732"/>
      <c r="AT9732"/>
      <c r="AU9732"/>
      <c r="AV9732"/>
    </row>
    <row r="9733" spans="41:48" x14ac:dyDescent="0.35">
      <c r="AO9733"/>
      <c r="AP9733"/>
      <c r="AQ9733"/>
      <c r="AR9733"/>
      <c r="AS9733"/>
      <c r="AT9733"/>
      <c r="AU9733"/>
      <c r="AV9733"/>
    </row>
    <row r="9734" spans="41:48" x14ac:dyDescent="0.35">
      <c r="AO9734"/>
      <c r="AP9734"/>
      <c r="AQ9734"/>
      <c r="AR9734"/>
      <c r="AS9734"/>
      <c r="AT9734"/>
      <c r="AU9734"/>
      <c r="AV9734"/>
    </row>
    <row r="9735" spans="41:48" x14ac:dyDescent="0.35">
      <c r="AO9735"/>
      <c r="AP9735"/>
      <c r="AQ9735"/>
      <c r="AR9735"/>
      <c r="AS9735"/>
      <c r="AT9735"/>
      <c r="AU9735"/>
      <c r="AV9735"/>
    </row>
    <row r="9736" spans="41:48" x14ac:dyDescent="0.35">
      <c r="AO9736"/>
      <c r="AP9736"/>
      <c r="AQ9736"/>
      <c r="AR9736"/>
      <c r="AS9736"/>
      <c r="AT9736"/>
      <c r="AU9736"/>
      <c r="AV9736"/>
    </row>
    <row r="9737" spans="41:48" x14ac:dyDescent="0.35">
      <c r="AO9737"/>
      <c r="AP9737"/>
      <c r="AQ9737"/>
      <c r="AR9737"/>
      <c r="AS9737"/>
      <c r="AT9737"/>
      <c r="AU9737"/>
      <c r="AV9737"/>
    </row>
    <row r="9738" spans="41:48" x14ac:dyDescent="0.35">
      <c r="AO9738"/>
      <c r="AP9738"/>
      <c r="AQ9738"/>
      <c r="AR9738"/>
      <c r="AS9738"/>
      <c r="AT9738"/>
      <c r="AU9738"/>
      <c r="AV9738"/>
    </row>
    <row r="9739" spans="41:48" x14ac:dyDescent="0.35">
      <c r="AO9739"/>
      <c r="AP9739"/>
      <c r="AQ9739"/>
      <c r="AR9739"/>
      <c r="AS9739"/>
      <c r="AT9739"/>
      <c r="AU9739"/>
      <c r="AV9739"/>
    </row>
    <row r="9740" spans="41:48" x14ac:dyDescent="0.35">
      <c r="AO9740"/>
      <c r="AP9740"/>
      <c r="AQ9740"/>
      <c r="AR9740"/>
      <c r="AS9740"/>
      <c r="AT9740"/>
      <c r="AU9740"/>
      <c r="AV9740"/>
    </row>
    <row r="9741" spans="41:48" x14ac:dyDescent="0.35">
      <c r="AO9741"/>
      <c r="AP9741"/>
      <c r="AQ9741"/>
      <c r="AR9741"/>
      <c r="AS9741"/>
      <c r="AT9741"/>
      <c r="AU9741"/>
      <c r="AV9741"/>
    </row>
    <row r="9742" spans="41:48" x14ac:dyDescent="0.35">
      <c r="AO9742"/>
      <c r="AP9742"/>
      <c r="AQ9742"/>
      <c r="AR9742"/>
      <c r="AS9742"/>
      <c r="AT9742"/>
      <c r="AU9742"/>
      <c r="AV9742"/>
    </row>
    <row r="9743" spans="41:48" x14ac:dyDescent="0.35">
      <c r="AO9743"/>
      <c r="AP9743"/>
      <c r="AQ9743"/>
      <c r="AR9743"/>
      <c r="AS9743"/>
      <c r="AT9743"/>
      <c r="AU9743"/>
      <c r="AV9743"/>
    </row>
    <row r="9744" spans="41:48" x14ac:dyDescent="0.35">
      <c r="AO9744"/>
      <c r="AP9744"/>
      <c r="AQ9744"/>
      <c r="AR9744"/>
      <c r="AS9744"/>
      <c r="AT9744"/>
      <c r="AU9744"/>
      <c r="AV9744"/>
    </row>
    <row r="9745" spans="41:48" x14ac:dyDescent="0.35">
      <c r="AO9745"/>
      <c r="AP9745"/>
      <c r="AQ9745"/>
      <c r="AR9745"/>
      <c r="AS9745"/>
      <c r="AT9745"/>
      <c r="AU9745"/>
      <c r="AV9745"/>
    </row>
    <row r="9746" spans="41:48" x14ac:dyDescent="0.35">
      <c r="AO9746"/>
      <c r="AP9746"/>
      <c r="AQ9746"/>
      <c r="AR9746"/>
      <c r="AS9746"/>
      <c r="AT9746"/>
      <c r="AU9746"/>
      <c r="AV9746"/>
    </row>
    <row r="9747" spans="41:48" x14ac:dyDescent="0.35">
      <c r="AO9747"/>
      <c r="AP9747"/>
      <c r="AQ9747"/>
      <c r="AR9747"/>
      <c r="AS9747"/>
      <c r="AT9747"/>
      <c r="AU9747"/>
      <c r="AV9747"/>
    </row>
    <row r="9748" spans="41:48" x14ac:dyDescent="0.35">
      <c r="AO9748"/>
      <c r="AP9748"/>
      <c r="AQ9748"/>
      <c r="AR9748"/>
      <c r="AS9748"/>
      <c r="AT9748"/>
      <c r="AU9748"/>
      <c r="AV9748"/>
    </row>
    <row r="9749" spans="41:48" x14ac:dyDescent="0.35">
      <c r="AO9749"/>
      <c r="AP9749"/>
      <c r="AQ9749"/>
      <c r="AR9749"/>
      <c r="AS9749"/>
      <c r="AT9749"/>
      <c r="AU9749"/>
      <c r="AV9749"/>
    </row>
    <row r="9750" spans="41:48" x14ac:dyDescent="0.35">
      <c r="AO9750"/>
      <c r="AP9750"/>
      <c r="AQ9750"/>
      <c r="AR9750"/>
      <c r="AS9750"/>
      <c r="AT9750"/>
      <c r="AU9750"/>
      <c r="AV9750"/>
    </row>
    <row r="9751" spans="41:48" x14ac:dyDescent="0.35">
      <c r="AO9751"/>
      <c r="AP9751"/>
      <c r="AQ9751"/>
      <c r="AR9751"/>
      <c r="AS9751"/>
      <c r="AT9751"/>
      <c r="AU9751"/>
      <c r="AV9751"/>
    </row>
    <row r="9752" spans="41:48" x14ac:dyDescent="0.35">
      <c r="AO9752"/>
      <c r="AP9752"/>
      <c r="AQ9752"/>
      <c r="AR9752"/>
      <c r="AS9752"/>
      <c r="AT9752"/>
      <c r="AU9752"/>
      <c r="AV9752"/>
    </row>
    <row r="9753" spans="41:48" x14ac:dyDescent="0.35">
      <c r="AO9753"/>
      <c r="AP9753"/>
      <c r="AQ9753"/>
      <c r="AR9753"/>
      <c r="AS9753"/>
      <c r="AT9753"/>
      <c r="AU9753"/>
      <c r="AV9753"/>
    </row>
    <row r="9754" spans="41:48" x14ac:dyDescent="0.35">
      <c r="AO9754"/>
      <c r="AP9754"/>
      <c r="AQ9754"/>
      <c r="AR9754"/>
      <c r="AS9754"/>
      <c r="AT9754"/>
      <c r="AU9754"/>
      <c r="AV9754"/>
    </row>
    <row r="9755" spans="41:48" x14ac:dyDescent="0.35">
      <c r="AO9755"/>
      <c r="AP9755"/>
      <c r="AQ9755"/>
      <c r="AR9755"/>
      <c r="AS9755"/>
      <c r="AT9755"/>
      <c r="AU9755"/>
      <c r="AV9755"/>
    </row>
    <row r="9756" spans="41:48" x14ac:dyDescent="0.35">
      <c r="AO9756"/>
      <c r="AP9756"/>
      <c r="AQ9756"/>
      <c r="AR9756"/>
      <c r="AS9756"/>
      <c r="AT9756"/>
      <c r="AU9756"/>
      <c r="AV9756"/>
    </row>
    <row r="9757" spans="41:48" x14ac:dyDescent="0.35">
      <c r="AO9757"/>
      <c r="AP9757"/>
      <c r="AQ9757"/>
      <c r="AR9757"/>
      <c r="AS9757"/>
      <c r="AT9757"/>
      <c r="AU9757"/>
      <c r="AV9757"/>
    </row>
    <row r="9758" spans="41:48" x14ac:dyDescent="0.35">
      <c r="AO9758"/>
      <c r="AP9758"/>
      <c r="AQ9758"/>
      <c r="AR9758"/>
      <c r="AS9758"/>
      <c r="AT9758"/>
      <c r="AU9758"/>
      <c r="AV9758"/>
    </row>
    <row r="9759" spans="41:48" x14ac:dyDescent="0.35">
      <c r="AO9759"/>
      <c r="AP9759"/>
      <c r="AQ9759"/>
      <c r="AR9759"/>
      <c r="AS9759"/>
      <c r="AT9759"/>
      <c r="AU9759"/>
      <c r="AV9759"/>
    </row>
    <row r="9760" spans="41:48" x14ac:dyDescent="0.35">
      <c r="AO9760"/>
      <c r="AP9760"/>
      <c r="AQ9760"/>
      <c r="AR9760"/>
      <c r="AS9760"/>
      <c r="AT9760"/>
      <c r="AU9760"/>
      <c r="AV9760"/>
    </row>
    <row r="9761" spans="41:48" x14ac:dyDescent="0.35">
      <c r="AO9761"/>
      <c r="AP9761"/>
      <c r="AQ9761"/>
      <c r="AR9761"/>
      <c r="AS9761"/>
      <c r="AT9761"/>
      <c r="AU9761"/>
      <c r="AV9761"/>
    </row>
    <row r="9762" spans="41:48" x14ac:dyDescent="0.35">
      <c r="AO9762"/>
      <c r="AP9762"/>
      <c r="AQ9762"/>
      <c r="AR9762"/>
      <c r="AS9762"/>
      <c r="AT9762"/>
      <c r="AU9762"/>
      <c r="AV9762"/>
    </row>
    <row r="9763" spans="41:48" x14ac:dyDescent="0.35">
      <c r="AO9763"/>
      <c r="AP9763"/>
      <c r="AQ9763"/>
      <c r="AR9763"/>
      <c r="AS9763"/>
      <c r="AT9763"/>
      <c r="AU9763"/>
      <c r="AV9763"/>
    </row>
    <row r="9764" spans="41:48" x14ac:dyDescent="0.35">
      <c r="AO9764"/>
      <c r="AP9764"/>
      <c r="AQ9764"/>
      <c r="AR9764"/>
      <c r="AS9764"/>
      <c r="AT9764"/>
      <c r="AU9764"/>
      <c r="AV9764"/>
    </row>
    <row r="9765" spans="41:48" x14ac:dyDescent="0.35">
      <c r="AO9765"/>
      <c r="AP9765"/>
      <c r="AQ9765"/>
      <c r="AR9765"/>
      <c r="AS9765"/>
      <c r="AT9765"/>
      <c r="AU9765"/>
      <c r="AV9765"/>
    </row>
    <row r="9766" spans="41:48" x14ac:dyDescent="0.35">
      <c r="AO9766"/>
      <c r="AP9766"/>
      <c r="AQ9766"/>
      <c r="AR9766"/>
      <c r="AS9766"/>
      <c r="AT9766"/>
      <c r="AU9766"/>
      <c r="AV9766"/>
    </row>
    <row r="9767" spans="41:48" x14ac:dyDescent="0.35">
      <c r="AO9767"/>
      <c r="AP9767"/>
      <c r="AQ9767"/>
      <c r="AR9767"/>
      <c r="AS9767"/>
      <c r="AT9767"/>
      <c r="AU9767"/>
      <c r="AV9767"/>
    </row>
    <row r="9768" spans="41:48" x14ac:dyDescent="0.35">
      <c r="AO9768"/>
      <c r="AP9768"/>
      <c r="AQ9768"/>
      <c r="AR9768"/>
      <c r="AS9768"/>
      <c r="AT9768"/>
      <c r="AU9768"/>
      <c r="AV9768"/>
    </row>
    <row r="9769" spans="41:48" x14ac:dyDescent="0.35">
      <c r="AO9769"/>
      <c r="AP9769"/>
      <c r="AQ9769"/>
      <c r="AR9769"/>
      <c r="AS9769"/>
      <c r="AT9769"/>
      <c r="AU9769"/>
      <c r="AV9769"/>
    </row>
    <row r="9770" spans="41:48" x14ac:dyDescent="0.35">
      <c r="AO9770"/>
      <c r="AP9770"/>
      <c r="AQ9770"/>
      <c r="AR9770"/>
      <c r="AS9770"/>
      <c r="AT9770"/>
      <c r="AU9770"/>
      <c r="AV9770"/>
    </row>
    <row r="9771" spans="41:48" x14ac:dyDescent="0.35">
      <c r="AO9771"/>
      <c r="AP9771"/>
      <c r="AQ9771"/>
      <c r="AR9771"/>
      <c r="AS9771"/>
      <c r="AT9771"/>
      <c r="AU9771"/>
      <c r="AV9771"/>
    </row>
    <row r="9772" spans="41:48" x14ac:dyDescent="0.35">
      <c r="AO9772"/>
      <c r="AP9772"/>
      <c r="AQ9772"/>
      <c r="AR9772"/>
      <c r="AS9772"/>
      <c r="AT9772"/>
      <c r="AU9772"/>
      <c r="AV9772"/>
    </row>
    <row r="9773" spans="41:48" x14ac:dyDescent="0.35">
      <c r="AO9773"/>
      <c r="AP9773"/>
      <c r="AQ9773"/>
      <c r="AR9773"/>
      <c r="AS9773"/>
      <c r="AT9773"/>
      <c r="AU9773"/>
      <c r="AV9773"/>
    </row>
    <row r="9774" spans="41:48" x14ac:dyDescent="0.35">
      <c r="AO9774"/>
      <c r="AP9774"/>
      <c r="AQ9774"/>
      <c r="AR9774"/>
      <c r="AS9774"/>
      <c r="AT9774"/>
      <c r="AU9774"/>
      <c r="AV9774"/>
    </row>
    <row r="9775" spans="41:48" x14ac:dyDescent="0.35">
      <c r="AO9775"/>
      <c r="AP9775"/>
      <c r="AQ9775"/>
      <c r="AR9775"/>
      <c r="AS9775"/>
      <c r="AT9775"/>
      <c r="AU9775"/>
      <c r="AV9775"/>
    </row>
    <row r="9776" spans="41:48" x14ac:dyDescent="0.35">
      <c r="AO9776"/>
      <c r="AP9776"/>
      <c r="AQ9776"/>
      <c r="AR9776"/>
      <c r="AS9776"/>
      <c r="AT9776"/>
      <c r="AU9776"/>
      <c r="AV9776"/>
    </row>
    <row r="9777" spans="41:48" x14ac:dyDescent="0.35">
      <c r="AO9777"/>
      <c r="AP9777"/>
      <c r="AQ9777"/>
      <c r="AR9777"/>
      <c r="AS9777"/>
      <c r="AT9777"/>
      <c r="AU9777"/>
      <c r="AV9777"/>
    </row>
    <row r="9778" spans="41:48" x14ac:dyDescent="0.35">
      <c r="AO9778"/>
      <c r="AP9778"/>
      <c r="AQ9778"/>
      <c r="AR9778"/>
      <c r="AS9778"/>
      <c r="AT9778"/>
      <c r="AU9778"/>
      <c r="AV9778"/>
    </row>
    <row r="9779" spans="41:48" x14ac:dyDescent="0.35">
      <c r="AO9779"/>
      <c r="AP9779"/>
      <c r="AQ9779"/>
      <c r="AR9779"/>
      <c r="AS9779"/>
      <c r="AT9779"/>
      <c r="AU9779"/>
      <c r="AV9779"/>
    </row>
    <row r="9780" spans="41:48" x14ac:dyDescent="0.35">
      <c r="AO9780"/>
      <c r="AP9780"/>
      <c r="AQ9780"/>
      <c r="AR9780"/>
      <c r="AS9780"/>
      <c r="AT9780"/>
      <c r="AU9780"/>
      <c r="AV9780"/>
    </row>
    <row r="9781" spans="41:48" x14ac:dyDescent="0.35">
      <c r="AO9781"/>
      <c r="AP9781"/>
      <c r="AQ9781"/>
      <c r="AR9781"/>
      <c r="AS9781"/>
      <c r="AT9781"/>
      <c r="AU9781"/>
      <c r="AV9781"/>
    </row>
    <row r="9782" spans="41:48" x14ac:dyDescent="0.35">
      <c r="AO9782"/>
      <c r="AP9782"/>
      <c r="AQ9782"/>
      <c r="AR9782"/>
      <c r="AS9782"/>
      <c r="AT9782"/>
      <c r="AU9782"/>
      <c r="AV9782"/>
    </row>
    <row r="9783" spans="41:48" x14ac:dyDescent="0.35">
      <c r="AO9783"/>
      <c r="AP9783"/>
      <c r="AQ9783"/>
      <c r="AR9783"/>
      <c r="AS9783"/>
      <c r="AT9783"/>
      <c r="AU9783"/>
      <c r="AV9783"/>
    </row>
    <row r="9784" spans="41:48" x14ac:dyDescent="0.35">
      <c r="AO9784"/>
      <c r="AP9784"/>
      <c r="AQ9784"/>
      <c r="AR9784"/>
      <c r="AS9784"/>
      <c r="AT9784"/>
      <c r="AU9784"/>
      <c r="AV9784"/>
    </row>
    <row r="9785" spans="41:48" x14ac:dyDescent="0.35">
      <c r="AO9785"/>
      <c r="AP9785"/>
      <c r="AQ9785"/>
      <c r="AR9785"/>
      <c r="AS9785"/>
      <c r="AT9785"/>
      <c r="AU9785"/>
      <c r="AV9785"/>
    </row>
    <row r="9786" spans="41:48" x14ac:dyDescent="0.35">
      <c r="AO9786"/>
      <c r="AP9786"/>
      <c r="AQ9786"/>
      <c r="AR9786"/>
      <c r="AS9786"/>
      <c r="AT9786"/>
      <c r="AU9786"/>
      <c r="AV9786"/>
    </row>
    <row r="9787" spans="41:48" x14ac:dyDescent="0.35">
      <c r="AO9787"/>
      <c r="AP9787"/>
      <c r="AQ9787"/>
      <c r="AR9787"/>
      <c r="AS9787"/>
      <c r="AT9787"/>
      <c r="AU9787"/>
      <c r="AV9787"/>
    </row>
    <row r="9788" spans="41:48" x14ac:dyDescent="0.35">
      <c r="AO9788"/>
      <c r="AP9788"/>
      <c r="AQ9788"/>
      <c r="AR9788"/>
      <c r="AS9788"/>
      <c r="AT9788"/>
      <c r="AU9788"/>
      <c r="AV9788"/>
    </row>
    <row r="9789" spans="41:48" x14ac:dyDescent="0.35">
      <c r="AO9789"/>
      <c r="AP9789"/>
      <c r="AQ9789"/>
      <c r="AR9789"/>
      <c r="AS9789"/>
      <c r="AT9789"/>
      <c r="AU9789"/>
      <c r="AV9789"/>
    </row>
    <row r="9790" spans="41:48" x14ac:dyDescent="0.35">
      <c r="AO9790"/>
      <c r="AP9790"/>
      <c r="AQ9790"/>
      <c r="AR9790"/>
      <c r="AS9790"/>
      <c r="AT9790"/>
      <c r="AU9790"/>
      <c r="AV9790"/>
    </row>
    <row r="9791" spans="41:48" x14ac:dyDescent="0.35">
      <c r="AO9791"/>
      <c r="AP9791"/>
      <c r="AQ9791"/>
      <c r="AR9791"/>
      <c r="AS9791"/>
      <c r="AT9791"/>
      <c r="AU9791"/>
      <c r="AV9791"/>
    </row>
    <row r="9792" spans="41:48" x14ac:dyDescent="0.35">
      <c r="AO9792"/>
      <c r="AP9792"/>
      <c r="AQ9792"/>
      <c r="AR9792"/>
      <c r="AS9792"/>
      <c r="AT9792"/>
      <c r="AU9792"/>
      <c r="AV9792"/>
    </row>
    <row r="9793" spans="41:48" x14ac:dyDescent="0.35">
      <c r="AO9793"/>
      <c r="AP9793"/>
      <c r="AQ9793"/>
      <c r="AR9793"/>
      <c r="AS9793"/>
      <c r="AT9793"/>
      <c r="AU9793"/>
      <c r="AV9793"/>
    </row>
    <row r="9794" spans="41:48" x14ac:dyDescent="0.35">
      <c r="AO9794"/>
      <c r="AP9794"/>
      <c r="AQ9794"/>
      <c r="AR9794"/>
      <c r="AS9794"/>
      <c r="AT9794"/>
      <c r="AU9794"/>
      <c r="AV9794"/>
    </row>
    <row r="9795" spans="41:48" x14ac:dyDescent="0.35">
      <c r="AO9795"/>
      <c r="AP9795"/>
      <c r="AQ9795"/>
      <c r="AR9795"/>
      <c r="AS9795"/>
      <c r="AT9795"/>
      <c r="AU9795"/>
      <c r="AV9795"/>
    </row>
    <row r="9796" spans="41:48" x14ac:dyDescent="0.35">
      <c r="AO9796"/>
      <c r="AP9796"/>
      <c r="AQ9796"/>
      <c r="AR9796"/>
      <c r="AS9796"/>
      <c r="AT9796"/>
      <c r="AU9796"/>
      <c r="AV9796"/>
    </row>
    <row r="9797" spans="41:48" x14ac:dyDescent="0.35">
      <c r="AO9797"/>
      <c r="AP9797"/>
      <c r="AQ9797"/>
      <c r="AR9797"/>
      <c r="AS9797"/>
      <c r="AT9797"/>
      <c r="AU9797"/>
      <c r="AV9797"/>
    </row>
    <row r="9798" spans="41:48" x14ac:dyDescent="0.35">
      <c r="AO9798"/>
      <c r="AP9798"/>
      <c r="AQ9798"/>
      <c r="AR9798"/>
      <c r="AS9798"/>
      <c r="AT9798"/>
      <c r="AU9798"/>
      <c r="AV9798"/>
    </row>
    <row r="9799" spans="41:48" x14ac:dyDescent="0.35">
      <c r="AO9799"/>
      <c r="AP9799"/>
      <c r="AQ9799"/>
      <c r="AR9799"/>
      <c r="AS9799"/>
      <c r="AT9799"/>
      <c r="AU9799"/>
      <c r="AV9799"/>
    </row>
    <row r="9800" spans="41:48" x14ac:dyDescent="0.35">
      <c r="AO9800"/>
      <c r="AP9800"/>
      <c r="AQ9800"/>
      <c r="AR9800"/>
      <c r="AS9800"/>
      <c r="AT9800"/>
      <c r="AU9800"/>
      <c r="AV9800"/>
    </row>
    <row r="9801" spans="41:48" x14ac:dyDescent="0.35">
      <c r="AO9801"/>
      <c r="AP9801"/>
      <c r="AQ9801"/>
      <c r="AR9801"/>
      <c r="AS9801"/>
      <c r="AT9801"/>
      <c r="AU9801"/>
      <c r="AV9801"/>
    </row>
    <row r="9802" spans="41:48" x14ac:dyDescent="0.35">
      <c r="AO9802"/>
      <c r="AP9802"/>
      <c r="AQ9802"/>
      <c r="AR9802"/>
      <c r="AS9802"/>
      <c r="AT9802"/>
      <c r="AU9802"/>
      <c r="AV9802"/>
    </row>
    <row r="9803" spans="41:48" x14ac:dyDescent="0.35">
      <c r="AO9803"/>
      <c r="AP9803"/>
      <c r="AQ9803"/>
      <c r="AR9803"/>
      <c r="AS9803"/>
      <c r="AT9803"/>
      <c r="AU9803"/>
      <c r="AV9803"/>
    </row>
    <row r="9804" spans="41:48" x14ac:dyDescent="0.35">
      <c r="AO9804"/>
      <c r="AP9804"/>
      <c r="AQ9804"/>
      <c r="AR9804"/>
      <c r="AS9804"/>
      <c r="AT9804"/>
      <c r="AU9804"/>
      <c r="AV9804"/>
    </row>
    <row r="9805" spans="41:48" x14ac:dyDescent="0.35">
      <c r="AO9805"/>
      <c r="AP9805"/>
      <c r="AQ9805"/>
      <c r="AR9805"/>
      <c r="AS9805"/>
      <c r="AT9805"/>
      <c r="AU9805"/>
      <c r="AV9805"/>
    </row>
    <row r="9806" spans="41:48" x14ac:dyDescent="0.35">
      <c r="AO9806"/>
      <c r="AP9806"/>
      <c r="AQ9806"/>
      <c r="AR9806"/>
      <c r="AS9806"/>
      <c r="AT9806"/>
      <c r="AU9806"/>
      <c r="AV9806"/>
    </row>
    <row r="9807" spans="41:48" x14ac:dyDescent="0.35">
      <c r="AO9807"/>
      <c r="AP9807"/>
      <c r="AQ9807"/>
      <c r="AR9807"/>
      <c r="AS9807"/>
      <c r="AT9807"/>
      <c r="AU9807"/>
      <c r="AV9807"/>
    </row>
    <row r="9808" spans="41:48" x14ac:dyDescent="0.35">
      <c r="AO9808"/>
      <c r="AP9808"/>
      <c r="AQ9808"/>
      <c r="AR9808"/>
      <c r="AS9808"/>
      <c r="AT9808"/>
      <c r="AU9808"/>
      <c r="AV9808"/>
    </row>
    <row r="9809" spans="41:48" x14ac:dyDescent="0.35">
      <c r="AO9809"/>
      <c r="AP9809"/>
      <c r="AQ9809"/>
      <c r="AR9809"/>
      <c r="AS9809"/>
      <c r="AT9809"/>
      <c r="AU9809"/>
      <c r="AV9809"/>
    </row>
    <row r="9810" spans="41:48" x14ac:dyDescent="0.35">
      <c r="AO9810"/>
      <c r="AP9810"/>
      <c r="AQ9810"/>
      <c r="AR9810"/>
      <c r="AS9810"/>
      <c r="AT9810"/>
      <c r="AU9810"/>
      <c r="AV9810"/>
    </row>
    <row r="9811" spans="41:48" x14ac:dyDescent="0.35">
      <c r="AO9811"/>
      <c r="AP9811"/>
      <c r="AQ9811"/>
      <c r="AR9811"/>
      <c r="AS9811"/>
      <c r="AT9811"/>
      <c r="AU9811"/>
      <c r="AV9811"/>
    </row>
    <row r="9812" spans="41:48" x14ac:dyDescent="0.35">
      <c r="AO9812"/>
      <c r="AP9812"/>
      <c r="AQ9812"/>
      <c r="AR9812"/>
      <c r="AS9812"/>
      <c r="AT9812"/>
      <c r="AU9812"/>
      <c r="AV9812"/>
    </row>
    <row r="9813" spans="41:48" x14ac:dyDescent="0.35">
      <c r="AO9813"/>
      <c r="AP9813"/>
      <c r="AQ9813"/>
      <c r="AR9813"/>
      <c r="AS9813"/>
      <c r="AT9813"/>
      <c r="AU9813"/>
      <c r="AV9813"/>
    </row>
    <row r="9814" spans="41:48" x14ac:dyDescent="0.35">
      <c r="AO9814"/>
      <c r="AP9814"/>
      <c r="AQ9814"/>
      <c r="AR9814"/>
      <c r="AS9814"/>
      <c r="AT9814"/>
      <c r="AU9814"/>
      <c r="AV9814"/>
    </row>
    <row r="9815" spans="41:48" x14ac:dyDescent="0.35">
      <c r="AO9815"/>
      <c r="AP9815"/>
      <c r="AQ9815"/>
      <c r="AR9815"/>
      <c r="AS9815"/>
      <c r="AT9815"/>
      <c r="AU9815"/>
      <c r="AV9815"/>
    </row>
    <row r="9816" spans="41:48" x14ac:dyDescent="0.35">
      <c r="AO9816"/>
      <c r="AP9816"/>
      <c r="AQ9816"/>
      <c r="AR9816"/>
      <c r="AS9816"/>
      <c r="AT9816"/>
      <c r="AU9816"/>
      <c r="AV9816"/>
    </row>
    <row r="9817" spans="41:48" x14ac:dyDescent="0.35">
      <c r="AO9817"/>
      <c r="AP9817"/>
      <c r="AQ9817"/>
      <c r="AR9817"/>
      <c r="AS9817"/>
      <c r="AT9817"/>
      <c r="AU9817"/>
      <c r="AV9817"/>
    </row>
    <row r="9818" spans="41:48" x14ac:dyDescent="0.35">
      <c r="AO9818"/>
      <c r="AP9818"/>
      <c r="AQ9818"/>
      <c r="AR9818"/>
      <c r="AS9818"/>
      <c r="AT9818"/>
      <c r="AU9818"/>
      <c r="AV9818"/>
    </row>
    <row r="9819" spans="41:48" x14ac:dyDescent="0.35">
      <c r="AO9819"/>
      <c r="AP9819"/>
      <c r="AQ9819"/>
      <c r="AR9819"/>
      <c r="AS9819"/>
      <c r="AT9819"/>
      <c r="AU9819"/>
      <c r="AV9819"/>
    </row>
    <row r="9820" spans="41:48" x14ac:dyDescent="0.35">
      <c r="AO9820"/>
      <c r="AP9820"/>
      <c r="AQ9820"/>
      <c r="AR9820"/>
      <c r="AS9820"/>
      <c r="AT9820"/>
      <c r="AU9820"/>
      <c r="AV9820"/>
    </row>
    <row r="9821" spans="41:48" x14ac:dyDescent="0.35">
      <c r="AO9821"/>
      <c r="AP9821"/>
      <c r="AQ9821"/>
      <c r="AR9821"/>
      <c r="AS9821"/>
      <c r="AT9821"/>
      <c r="AU9821"/>
      <c r="AV9821"/>
    </row>
    <row r="9822" spans="41:48" x14ac:dyDescent="0.35">
      <c r="AO9822"/>
      <c r="AP9822"/>
      <c r="AQ9822"/>
      <c r="AR9822"/>
      <c r="AS9822"/>
      <c r="AT9822"/>
      <c r="AU9822"/>
      <c r="AV9822"/>
    </row>
    <row r="9823" spans="41:48" x14ac:dyDescent="0.35">
      <c r="AO9823"/>
      <c r="AP9823"/>
      <c r="AQ9823"/>
      <c r="AR9823"/>
      <c r="AS9823"/>
      <c r="AT9823"/>
      <c r="AU9823"/>
      <c r="AV9823"/>
    </row>
    <row r="9824" spans="41:48" x14ac:dyDescent="0.35">
      <c r="AO9824"/>
      <c r="AP9824"/>
      <c r="AQ9824"/>
      <c r="AR9824"/>
      <c r="AS9824"/>
      <c r="AT9824"/>
      <c r="AU9824"/>
      <c r="AV9824"/>
    </row>
    <row r="9825" spans="41:48" x14ac:dyDescent="0.35">
      <c r="AO9825"/>
      <c r="AP9825"/>
      <c r="AQ9825"/>
      <c r="AR9825"/>
      <c r="AS9825"/>
      <c r="AT9825"/>
      <c r="AU9825"/>
      <c r="AV9825"/>
    </row>
    <row r="9826" spans="41:48" x14ac:dyDescent="0.35">
      <c r="AO9826"/>
      <c r="AP9826"/>
      <c r="AQ9826"/>
      <c r="AR9826"/>
      <c r="AS9826"/>
      <c r="AT9826"/>
      <c r="AU9826"/>
      <c r="AV9826"/>
    </row>
    <row r="9827" spans="41:48" x14ac:dyDescent="0.35">
      <c r="AO9827"/>
      <c r="AP9827"/>
      <c r="AQ9827"/>
      <c r="AR9827"/>
      <c r="AS9827"/>
      <c r="AT9827"/>
      <c r="AU9827"/>
      <c r="AV9827"/>
    </row>
    <row r="9828" spans="41:48" x14ac:dyDescent="0.35">
      <c r="AO9828"/>
      <c r="AP9828"/>
      <c r="AQ9828"/>
      <c r="AR9828"/>
      <c r="AS9828"/>
      <c r="AT9828"/>
      <c r="AU9828"/>
      <c r="AV9828"/>
    </row>
    <row r="9829" spans="41:48" x14ac:dyDescent="0.35">
      <c r="AO9829"/>
      <c r="AP9829"/>
      <c r="AQ9829"/>
      <c r="AR9829"/>
      <c r="AS9829"/>
      <c r="AT9829"/>
      <c r="AU9829"/>
      <c r="AV9829"/>
    </row>
    <row r="9830" spans="41:48" x14ac:dyDescent="0.35">
      <c r="AO9830"/>
      <c r="AP9830"/>
      <c r="AQ9830"/>
      <c r="AR9830"/>
      <c r="AS9830"/>
      <c r="AT9830"/>
      <c r="AU9830"/>
      <c r="AV9830"/>
    </row>
    <row r="9831" spans="41:48" x14ac:dyDescent="0.35">
      <c r="AO9831"/>
      <c r="AP9831"/>
      <c r="AQ9831"/>
      <c r="AR9831"/>
      <c r="AS9831"/>
      <c r="AT9831"/>
      <c r="AU9831"/>
      <c r="AV9831"/>
    </row>
    <row r="9832" spans="41:48" x14ac:dyDescent="0.35">
      <c r="AO9832"/>
      <c r="AP9832"/>
      <c r="AQ9832"/>
      <c r="AR9832"/>
      <c r="AS9832"/>
      <c r="AT9832"/>
      <c r="AU9832"/>
      <c r="AV9832"/>
    </row>
    <row r="9833" spans="41:48" x14ac:dyDescent="0.35">
      <c r="AO9833"/>
      <c r="AP9833"/>
      <c r="AQ9833"/>
      <c r="AR9833"/>
      <c r="AS9833"/>
      <c r="AT9833"/>
      <c r="AU9833"/>
      <c r="AV9833"/>
    </row>
    <row r="9834" spans="41:48" x14ac:dyDescent="0.35">
      <c r="AO9834"/>
      <c r="AP9834"/>
      <c r="AQ9834"/>
      <c r="AR9834"/>
      <c r="AS9834"/>
      <c r="AT9834"/>
      <c r="AU9834"/>
      <c r="AV9834"/>
    </row>
    <row r="9835" spans="41:48" x14ac:dyDescent="0.35">
      <c r="AO9835"/>
      <c r="AP9835"/>
      <c r="AQ9835"/>
      <c r="AR9835"/>
      <c r="AS9835"/>
      <c r="AT9835"/>
      <c r="AU9835"/>
      <c r="AV9835"/>
    </row>
    <row r="9836" spans="41:48" x14ac:dyDescent="0.35">
      <c r="AO9836"/>
      <c r="AP9836"/>
      <c r="AQ9836"/>
      <c r="AR9836"/>
      <c r="AS9836"/>
      <c r="AT9836"/>
      <c r="AU9836"/>
      <c r="AV9836"/>
    </row>
    <row r="9837" spans="41:48" x14ac:dyDescent="0.35">
      <c r="AO9837"/>
      <c r="AP9837"/>
      <c r="AQ9837"/>
      <c r="AR9837"/>
      <c r="AS9837"/>
      <c r="AT9837"/>
      <c r="AU9837"/>
      <c r="AV9837"/>
    </row>
    <row r="9838" spans="41:48" x14ac:dyDescent="0.35">
      <c r="AO9838"/>
      <c r="AP9838"/>
      <c r="AQ9838"/>
      <c r="AR9838"/>
      <c r="AS9838"/>
      <c r="AT9838"/>
      <c r="AU9838"/>
      <c r="AV9838"/>
    </row>
    <row r="9839" spans="41:48" x14ac:dyDescent="0.35">
      <c r="AO9839"/>
      <c r="AP9839"/>
      <c r="AQ9839"/>
      <c r="AR9839"/>
      <c r="AS9839"/>
      <c r="AT9839"/>
      <c r="AU9839"/>
      <c r="AV9839"/>
    </row>
    <row r="9840" spans="41:48" x14ac:dyDescent="0.35">
      <c r="AO9840"/>
      <c r="AP9840"/>
      <c r="AQ9840"/>
      <c r="AR9840"/>
      <c r="AS9840"/>
      <c r="AT9840"/>
      <c r="AU9840"/>
      <c r="AV9840"/>
    </row>
    <row r="9841" spans="41:48" x14ac:dyDescent="0.35">
      <c r="AO9841"/>
      <c r="AP9841"/>
      <c r="AQ9841"/>
      <c r="AR9841"/>
      <c r="AS9841"/>
      <c r="AT9841"/>
      <c r="AU9841"/>
      <c r="AV9841"/>
    </row>
    <row r="9842" spans="41:48" x14ac:dyDescent="0.35">
      <c r="AO9842"/>
      <c r="AP9842"/>
      <c r="AQ9842"/>
      <c r="AR9842"/>
      <c r="AS9842"/>
      <c r="AT9842"/>
      <c r="AU9842"/>
      <c r="AV9842"/>
    </row>
    <row r="9843" spans="41:48" x14ac:dyDescent="0.35">
      <c r="AO9843"/>
      <c r="AP9843"/>
      <c r="AQ9843"/>
      <c r="AR9843"/>
      <c r="AS9843"/>
      <c r="AT9843"/>
      <c r="AU9843"/>
      <c r="AV9843"/>
    </row>
    <row r="9844" spans="41:48" x14ac:dyDescent="0.35">
      <c r="AO9844"/>
      <c r="AP9844"/>
      <c r="AQ9844"/>
      <c r="AR9844"/>
      <c r="AS9844"/>
      <c r="AT9844"/>
      <c r="AU9844"/>
      <c r="AV9844"/>
    </row>
    <row r="9845" spans="41:48" x14ac:dyDescent="0.35">
      <c r="AO9845"/>
      <c r="AP9845"/>
      <c r="AQ9845"/>
      <c r="AR9845"/>
      <c r="AS9845"/>
      <c r="AT9845"/>
      <c r="AU9845"/>
      <c r="AV9845"/>
    </row>
    <row r="9846" spans="41:48" x14ac:dyDescent="0.35">
      <c r="AO9846"/>
      <c r="AP9846"/>
      <c r="AQ9846"/>
      <c r="AR9846"/>
      <c r="AS9846"/>
      <c r="AT9846"/>
      <c r="AU9846"/>
      <c r="AV9846"/>
    </row>
    <row r="9847" spans="41:48" x14ac:dyDescent="0.35">
      <c r="AO9847"/>
      <c r="AP9847"/>
      <c r="AQ9847"/>
      <c r="AR9847"/>
      <c r="AS9847"/>
      <c r="AT9847"/>
      <c r="AU9847"/>
      <c r="AV9847"/>
    </row>
    <row r="9848" spans="41:48" x14ac:dyDescent="0.35">
      <c r="AO9848"/>
      <c r="AP9848"/>
      <c r="AQ9848"/>
      <c r="AR9848"/>
      <c r="AS9848"/>
      <c r="AT9848"/>
      <c r="AU9848"/>
      <c r="AV9848"/>
    </row>
    <row r="9849" spans="41:48" x14ac:dyDescent="0.35">
      <c r="AO9849"/>
      <c r="AP9849"/>
      <c r="AQ9849"/>
      <c r="AR9849"/>
      <c r="AS9849"/>
      <c r="AT9849"/>
      <c r="AU9849"/>
      <c r="AV9849"/>
    </row>
    <row r="9850" spans="41:48" x14ac:dyDescent="0.35">
      <c r="AO9850"/>
      <c r="AP9850"/>
      <c r="AQ9850"/>
      <c r="AR9850"/>
      <c r="AS9850"/>
      <c r="AT9850"/>
      <c r="AU9850"/>
      <c r="AV9850"/>
    </row>
    <row r="9851" spans="41:48" x14ac:dyDescent="0.35">
      <c r="AO9851"/>
      <c r="AP9851"/>
      <c r="AQ9851"/>
      <c r="AR9851"/>
      <c r="AS9851"/>
      <c r="AT9851"/>
      <c r="AU9851"/>
      <c r="AV9851"/>
    </row>
    <row r="9852" spans="41:48" x14ac:dyDescent="0.35">
      <c r="AO9852"/>
      <c r="AP9852"/>
      <c r="AQ9852"/>
      <c r="AR9852"/>
      <c r="AS9852"/>
      <c r="AT9852"/>
      <c r="AU9852"/>
      <c r="AV9852"/>
    </row>
    <row r="9853" spans="41:48" x14ac:dyDescent="0.35">
      <c r="AO9853"/>
      <c r="AP9853"/>
      <c r="AQ9853"/>
      <c r="AR9853"/>
      <c r="AS9853"/>
      <c r="AT9853"/>
      <c r="AU9853"/>
      <c r="AV9853"/>
    </row>
    <row r="9854" spans="41:48" x14ac:dyDescent="0.35">
      <c r="AO9854"/>
      <c r="AP9854"/>
      <c r="AQ9854"/>
      <c r="AR9854"/>
      <c r="AS9854"/>
      <c r="AT9854"/>
      <c r="AU9854"/>
      <c r="AV9854"/>
    </row>
    <row r="9855" spans="41:48" x14ac:dyDescent="0.35">
      <c r="AO9855"/>
      <c r="AP9855"/>
      <c r="AQ9855"/>
      <c r="AR9855"/>
      <c r="AS9855"/>
      <c r="AT9855"/>
      <c r="AU9855"/>
      <c r="AV9855"/>
    </row>
    <row r="9856" spans="41:48" x14ac:dyDescent="0.35">
      <c r="AO9856"/>
      <c r="AP9856"/>
      <c r="AQ9856"/>
      <c r="AR9856"/>
      <c r="AS9856"/>
      <c r="AT9856"/>
      <c r="AU9856"/>
      <c r="AV9856"/>
    </row>
    <row r="9857" spans="41:48" x14ac:dyDescent="0.35">
      <c r="AO9857"/>
      <c r="AP9857"/>
      <c r="AQ9857"/>
      <c r="AR9857"/>
      <c r="AS9857"/>
      <c r="AT9857"/>
      <c r="AU9857"/>
      <c r="AV9857"/>
    </row>
    <row r="9858" spans="41:48" x14ac:dyDescent="0.35">
      <c r="AO9858"/>
      <c r="AP9858"/>
      <c r="AQ9858"/>
      <c r="AR9858"/>
      <c r="AS9858"/>
      <c r="AT9858"/>
      <c r="AU9858"/>
      <c r="AV9858"/>
    </row>
    <row r="9859" spans="41:48" x14ac:dyDescent="0.35">
      <c r="AO9859"/>
      <c r="AP9859"/>
      <c r="AQ9859"/>
      <c r="AR9859"/>
      <c r="AS9859"/>
      <c r="AT9859"/>
      <c r="AU9859"/>
      <c r="AV9859"/>
    </row>
    <row r="9860" spans="41:48" x14ac:dyDescent="0.35">
      <c r="AO9860"/>
      <c r="AP9860"/>
      <c r="AQ9860"/>
      <c r="AR9860"/>
      <c r="AS9860"/>
      <c r="AT9860"/>
      <c r="AU9860"/>
      <c r="AV9860"/>
    </row>
    <row r="9861" spans="41:48" x14ac:dyDescent="0.35">
      <c r="AO9861"/>
      <c r="AP9861"/>
      <c r="AQ9861"/>
      <c r="AR9861"/>
      <c r="AS9861"/>
      <c r="AT9861"/>
      <c r="AU9861"/>
      <c r="AV9861"/>
    </row>
    <row r="9862" spans="41:48" x14ac:dyDescent="0.35">
      <c r="AO9862"/>
      <c r="AP9862"/>
      <c r="AQ9862"/>
      <c r="AR9862"/>
      <c r="AS9862"/>
      <c r="AT9862"/>
      <c r="AU9862"/>
      <c r="AV9862"/>
    </row>
    <row r="9863" spans="41:48" x14ac:dyDescent="0.35">
      <c r="AO9863"/>
      <c r="AP9863"/>
      <c r="AQ9863"/>
      <c r="AR9863"/>
      <c r="AS9863"/>
      <c r="AT9863"/>
      <c r="AU9863"/>
      <c r="AV9863"/>
    </row>
    <row r="9864" spans="41:48" x14ac:dyDescent="0.35">
      <c r="AO9864"/>
      <c r="AP9864"/>
      <c r="AQ9864"/>
      <c r="AR9864"/>
      <c r="AS9864"/>
      <c r="AT9864"/>
      <c r="AU9864"/>
      <c r="AV9864"/>
    </row>
    <row r="9865" spans="41:48" x14ac:dyDescent="0.35">
      <c r="AO9865"/>
      <c r="AP9865"/>
      <c r="AQ9865"/>
      <c r="AR9865"/>
      <c r="AS9865"/>
      <c r="AT9865"/>
      <c r="AU9865"/>
      <c r="AV9865"/>
    </row>
    <row r="9866" spans="41:48" x14ac:dyDescent="0.35">
      <c r="AO9866"/>
      <c r="AP9866"/>
      <c r="AQ9866"/>
      <c r="AR9866"/>
      <c r="AS9866"/>
      <c r="AT9866"/>
      <c r="AU9866"/>
      <c r="AV9866"/>
    </row>
    <row r="9867" spans="41:48" x14ac:dyDescent="0.35">
      <c r="AO9867"/>
      <c r="AP9867"/>
      <c r="AQ9867"/>
      <c r="AR9867"/>
      <c r="AS9867"/>
      <c r="AT9867"/>
      <c r="AU9867"/>
      <c r="AV9867"/>
    </row>
    <row r="9868" spans="41:48" x14ac:dyDescent="0.35">
      <c r="AO9868"/>
      <c r="AP9868"/>
      <c r="AQ9868"/>
      <c r="AR9868"/>
      <c r="AS9868"/>
      <c r="AT9868"/>
      <c r="AU9868"/>
      <c r="AV9868"/>
    </row>
    <row r="9869" spans="41:48" x14ac:dyDescent="0.35">
      <c r="AO9869"/>
      <c r="AP9869"/>
      <c r="AQ9869"/>
      <c r="AR9869"/>
      <c r="AS9869"/>
      <c r="AT9869"/>
      <c r="AU9869"/>
      <c r="AV9869"/>
    </row>
    <row r="9870" spans="41:48" x14ac:dyDescent="0.35">
      <c r="AO9870"/>
      <c r="AP9870"/>
      <c r="AQ9870"/>
      <c r="AR9870"/>
      <c r="AS9870"/>
      <c r="AT9870"/>
      <c r="AU9870"/>
      <c r="AV9870"/>
    </row>
    <row r="9871" spans="41:48" x14ac:dyDescent="0.35">
      <c r="AO9871"/>
      <c r="AP9871"/>
      <c r="AQ9871"/>
      <c r="AR9871"/>
      <c r="AS9871"/>
      <c r="AT9871"/>
      <c r="AU9871"/>
      <c r="AV9871"/>
    </row>
    <row r="9872" spans="41:48" x14ac:dyDescent="0.35">
      <c r="AO9872"/>
      <c r="AP9872"/>
      <c r="AQ9872"/>
      <c r="AR9872"/>
      <c r="AS9872"/>
      <c r="AT9872"/>
      <c r="AU9872"/>
      <c r="AV9872"/>
    </row>
    <row r="9873" spans="41:48" x14ac:dyDescent="0.35">
      <c r="AO9873"/>
      <c r="AP9873"/>
      <c r="AQ9873"/>
      <c r="AR9873"/>
      <c r="AS9873"/>
      <c r="AT9873"/>
      <c r="AU9873"/>
      <c r="AV9873"/>
    </row>
    <row r="9874" spans="41:48" x14ac:dyDescent="0.35">
      <c r="AO9874"/>
      <c r="AP9874"/>
      <c r="AQ9874"/>
      <c r="AR9874"/>
      <c r="AS9874"/>
      <c r="AT9874"/>
      <c r="AU9874"/>
      <c r="AV9874"/>
    </row>
    <row r="9875" spans="41:48" x14ac:dyDescent="0.35">
      <c r="AO9875"/>
      <c r="AP9875"/>
      <c r="AQ9875"/>
      <c r="AR9875"/>
      <c r="AS9875"/>
      <c r="AT9875"/>
      <c r="AU9875"/>
      <c r="AV9875"/>
    </row>
    <row r="9876" spans="41:48" x14ac:dyDescent="0.35">
      <c r="AO9876"/>
      <c r="AP9876"/>
      <c r="AQ9876"/>
      <c r="AR9876"/>
      <c r="AS9876"/>
      <c r="AT9876"/>
      <c r="AU9876"/>
      <c r="AV9876"/>
    </row>
    <row r="9877" spans="41:48" x14ac:dyDescent="0.35">
      <c r="AO9877"/>
      <c r="AP9877"/>
      <c r="AQ9877"/>
      <c r="AR9877"/>
      <c r="AS9877"/>
      <c r="AT9877"/>
      <c r="AU9877"/>
      <c r="AV9877"/>
    </row>
    <row r="9878" spans="41:48" x14ac:dyDescent="0.35">
      <c r="AO9878"/>
      <c r="AP9878"/>
      <c r="AQ9878"/>
      <c r="AR9878"/>
      <c r="AS9878"/>
      <c r="AT9878"/>
      <c r="AU9878"/>
      <c r="AV9878"/>
    </row>
    <row r="9879" spans="41:48" x14ac:dyDescent="0.35">
      <c r="AO9879"/>
      <c r="AP9879"/>
      <c r="AQ9879"/>
      <c r="AR9879"/>
      <c r="AS9879"/>
      <c r="AT9879"/>
      <c r="AU9879"/>
      <c r="AV9879"/>
    </row>
    <row r="9880" spans="41:48" x14ac:dyDescent="0.35">
      <c r="AO9880"/>
      <c r="AP9880"/>
      <c r="AQ9880"/>
      <c r="AR9880"/>
      <c r="AS9880"/>
      <c r="AT9880"/>
      <c r="AU9880"/>
      <c r="AV9880"/>
    </row>
    <row r="9881" spans="41:48" x14ac:dyDescent="0.35">
      <c r="AO9881"/>
      <c r="AP9881"/>
      <c r="AQ9881"/>
      <c r="AR9881"/>
      <c r="AS9881"/>
      <c r="AT9881"/>
      <c r="AU9881"/>
      <c r="AV9881"/>
    </row>
    <row r="9882" spans="41:48" x14ac:dyDescent="0.35">
      <c r="AO9882"/>
      <c r="AP9882"/>
      <c r="AQ9882"/>
      <c r="AR9882"/>
      <c r="AS9882"/>
      <c r="AT9882"/>
      <c r="AU9882"/>
      <c r="AV9882"/>
    </row>
    <row r="9883" spans="41:48" x14ac:dyDescent="0.35">
      <c r="AO9883"/>
      <c r="AP9883"/>
      <c r="AQ9883"/>
      <c r="AR9883"/>
      <c r="AS9883"/>
      <c r="AT9883"/>
      <c r="AU9883"/>
      <c r="AV9883"/>
    </row>
    <row r="9884" spans="41:48" x14ac:dyDescent="0.35">
      <c r="AO9884"/>
      <c r="AP9884"/>
      <c r="AQ9884"/>
      <c r="AR9884"/>
      <c r="AS9884"/>
      <c r="AT9884"/>
      <c r="AU9884"/>
      <c r="AV9884"/>
    </row>
    <row r="9885" spans="41:48" x14ac:dyDescent="0.35">
      <c r="AO9885"/>
      <c r="AP9885"/>
      <c r="AQ9885"/>
      <c r="AR9885"/>
      <c r="AS9885"/>
      <c r="AT9885"/>
      <c r="AU9885"/>
      <c r="AV9885"/>
    </row>
    <row r="9886" spans="41:48" x14ac:dyDescent="0.35">
      <c r="AO9886"/>
      <c r="AP9886"/>
      <c r="AQ9886"/>
      <c r="AR9886"/>
      <c r="AS9886"/>
      <c r="AT9886"/>
      <c r="AU9886"/>
      <c r="AV9886"/>
    </row>
    <row r="9887" spans="41:48" x14ac:dyDescent="0.35">
      <c r="AO9887"/>
      <c r="AP9887"/>
      <c r="AQ9887"/>
      <c r="AR9887"/>
      <c r="AS9887"/>
      <c r="AT9887"/>
      <c r="AU9887"/>
      <c r="AV9887"/>
    </row>
    <row r="9888" spans="41:48" x14ac:dyDescent="0.35">
      <c r="AO9888"/>
      <c r="AP9888"/>
      <c r="AQ9888"/>
      <c r="AR9888"/>
      <c r="AS9888"/>
      <c r="AT9888"/>
      <c r="AU9888"/>
      <c r="AV9888"/>
    </row>
    <row r="9889" spans="41:48" x14ac:dyDescent="0.35">
      <c r="AO9889"/>
      <c r="AP9889"/>
      <c r="AQ9889"/>
      <c r="AR9889"/>
      <c r="AS9889"/>
      <c r="AT9889"/>
      <c r="AU9889"/>
      <c r="AV9889"/>
    </row>
    <row r="9890" spans="41:48" x14ac:dyDescent="0.35">
      <c r="AO9890"/>
      <c r="AP9890"/>
      <c r="AQ9890"/>
      <c r="AR9890"/>
      <c r="AS9890"/>
      <c r="AT9890"/>
      <c r="AU9890"/>
      <c r="AV9890"/>
    </row>
    <row r="9891" spans="41:48" x14ac:dyDescent="0.35">
      <c r="AO9891"/>
      <c r="AP9891"/>
      <c r="AQ9891"/>
      <c r="AR9891"/>
      <c r="AS9891"/>
      <c r="AT9891"/>
      <c r="AU9891"/>
      <c r="AV9891"/>
    </row>
    <row r="9892" spans="41:48" x14ac:dyDescent="0.35">
      <c r="AO9892"/>
      <c r="AP9892"/>
      <c r="AQ9892"/>
      <c r="AR9892"/>
      <c r="AS9892"/>
      <c r="AT9892"/>
      <c r="AU9892"/>
      <c r="AV9892"/>
    </row>
    <row r="9893" spans="41:48" x14ac:dyDescent="0.35">
      <c r="AO9893"/>
      <c r="AP9893"/>
      <c r="AQ9893"/>
      <c r="AR9893"/>
      <c r="AS9893"/>
      <c r="AT9893"/>
      <c r="AU9893"/>
      <c r="AV9893"/>
    </row>
    <row r="9894" spans="41:48" x14ac:dyDescent="0.35">
      <c r="AO9894"/>
      <c r="AP9894"/>
      <c r="AQ9894"/>
      <c r="AR9894"/>
      <c r="AS9894"/>
      <c r="AT9894"/>
      <c r="AU9894"/>
      <c r="AV9894"/>
    </row>
    <row r="9895" spans="41:48" x14ac:dyDescent="0.35">
      <c r="AO9895"/>
      <c r="AP9895"/>
      <c r="AQ9895"/>
      <c r="AR9895"/>
      <c r="AS9895"/>
      <c r="AT9895"/>
      <c r="AU9895"/>
      <c r="AV9895"/>
    </row>
    <row r="9896" spans="41:48" x14ac:dyDescent="0.35">
      <c r="AO9896"/>
      <c r="AP9896"/>
      <c r="AQ9896"/>
      <c r="AR9896"/>
      <c r="AS9896"/>
      <c r="AT9896"/>
      <c r="AU9896"/>
      <c r="AV9896"/>
    </row>
    <row r="9897" spans="41:48" x14ac:dyDescent="0.35">
      <c r="AO9897"/>
      <c r="AP9897"/>
      <c r="AQ9897"/>
      <c r="AR9897"/>
      <c r="AS9897"/>
      <c r="AT9897"/>
      <c r="AU9897"/>
      <c r="AV9897"/>
    </row>
    <row r="9898" spans="41:48" x14ac:dyDescent="0.35">
      <c r="AO9898"/>
      <c r="AP9898"/>
      <c r="AQ9898"/>
      <c r="AR9898"/>
      <c r="AS9898"/>
      <c r="AT9898"/>
      <c r="AU9898"/>
      <c r="AV9898"/>
    </row>
    <row r="9899" spans="41:48" x14ac:dyDescent="0.35">
      <c r="AO9899"/>
      <c r="AP9899"/>
      <c r="AQ9899"/>
      <c r="AR9899"/>
      <c r="AS9899"/>
      <c r="AT9899"/>
      <c r="AU9899"/>
      <c r="AV9899"/>
    </row>
    <row r="9900" spans="41:48" x14ac:dyDescent="0.35">
      <c r="AO9900"/>
      <c r="AP9900"/>
      <c r="AQ9900"/>
      <c r="AR9900"/>
      <c r="AS9900"/>
      <c r="AT9900"/>
      <c r="AU9900"/>
      <c r="AV9900"/>
    </row>
    <row r="9901" spans="41:48" x14ac:dyDescent="0.35">
      <c r="AO9901"/>
      <c r="AP9901"/>
      <c r="AQ9901"/>
      <c r="AR9901"/>
      <c r="AS9901"/>
      <c r="AT9901"/>
      <c r="AU9901"/>
      <c r="AV9901"/>
    </row>
    <row r="9902" spans="41:48" x14ac:dyDescent="0.35">
      <c r="AO9902"/>
      <c r="AP9902"/>
      <c r="AQ9902"/>
      <c r="AR9902"/>
      <c r="AS9902"/>
      <c r="AT9902"/>
      <c r="AU9902"/>
      <c r="AV9902"/>
    </row>
    <row r="9903" spans="41:48" x14ac:dyDescent="0.35">
      <c r="AO9903"/>
      <c r="AP9903"/>
      <c r="AQ9903"/>
      <c r="AR9903"/>
      <c r="AS9903"/>
      <c r="AT9903"/>
      <c r="AU9903"/>
      <c r="AV9903"/>
    </row>
    <row r="9904" spans="41:48" x14ac:dyDescent="0.35">
      <c r="AO9904"/>
      <c r="AP9904"/>
      <c r="AQ9904"/>
      <c r="AR9904"/>
      <c r="AS9904"/>
      <c r="AT9904"/>
      <c r="AU9904"/>
      <c r="AV9904"/>
    </row>
    <row r="9905" spans="41:48" x14ac:dyDescent="0.35">
      <c r="AO9905"/>
      <c r="AP9905"/>
      <c r="AQ9905"/>
      <c r="AR9905"/>
      <c r="AS9905"/>
      <c r="AT9905"/>
      <c r="AU9905"/>
      <c r="AV9905"/>
    </row>
    <row r="9906" spans="41:48" x14ac:dyDescent="0.35">
      <c r="AO9906"/>
      <c r="AP9906"/>
      <c r="AQ9906"/>
      <c r="AR9906"/>
      <c r="AS9906"/>
      <c r="AT9906"/>
      <c r="AU9906"/>
      <c r="AV9906"/>
    </row>
    <row r="9907" spans="41:48" x14ac:dyDescent="0.35">
      <c r="AO9907"/>
      <c r="AP9907"/>
      <c r="AQ9907"/>
      <c r="AR9907"/>
      <c r="AS9907"/>
      <c r="AT9907"/>
      <c r="AU9907"/>
      <c r="AV9907"/>
    </row>
    <row r="9908" spans="41:48" x14ac:dyDescent="0.35">
      <c r="AO9908"/>
      <c r="AP9908"/>
      <c r="AQ9908"/>
      <c r="AR9908"/>
      <c r="AS9908"/>
      <c r="AT9908"/>
      <c r="AU9908"/>
      <c r="AV9908"/>
    </row>
    <row r="9909" spans="41:48" x14ac:dyDescent="0.35">
      <c r="AO9909"/>
      <c r="AP9909"/>
      <c r="AQ9909"/>
      <c r="AR9909"/>
      <c r="AS9909"/>
      <c r="AT9909"/>
      <c r="AU9909"/>
      <c r="AV9909"/>
    </row>
    <row r="9910" spans="41:48" x14ac:dyDescent="0.35">
      <c r="AO9910"/>
      <c r="AP9910"/>
      <c r="AQ9910"/>
      <c r="AR9910"/>
      <c r="AS9910"/>
      <c r="AT9910"/>
      <c r="AU9910"/>
      <c r="AV9910"/>
    </row>
    <row r="9911" spans="41:48" x14ac:dyDescent="0.35">
      <c r="AO9911"/>
      <c r="AP9911"/>
      <c r="AQ9911"/>
      <c r="AR9911"/>
      <c r="AS9911"/>
      <c r="AT9911"/>
      <c r="AU9911"/>
      <c r="AV9911"/>
    </row>
    <row r="9912" spans="41:48" x14ac:dyDescent="0.35">
      <c r="AO9912"/>
      <c r="AP9912"/>
      <c r="AQ9912"/>
      <c r="AR9912"/>
      <c r="AS9912"/>
      <c r="AT9912"/>
      <c r="AU9912"/>
      <c r="AV9912"/>
    </row>
    <row r="9913" spans="41:48" x14ac:dyDescent="0.35">
      <c r="AO9913"/>
      <c r="AP9913"/>
      <c r="AQ9913"/>
      <c r="AR9913"/>
      <c r="AS9913"/>
      <c r="AT9913"/>
      <c r="AU9913"/>
      <c r="AV9913"/>
    </row>
    <row r="9914" spans="41:48" x14ac:dyDescent="0.35">
      <c r="AO9914"/>
      <c r="AP9914"/>
      <c r="AQ9914"/>
      <c r="AR9914"/>
      <c r="AS9914"/>
      <c r="AT9914"/>
      <c r="AU9914"/>
      <c r="AV9914"/>
    </row>
    <row r="9915" spans="41:48" x14ac:dyDescent="0.35">
      <c r="AO9915"/>
      <c r="AP9915"/>
      <c r="AQ9915"/>
      <c r="AR9915"/>
      <c r="AS9915"/>
      <c r="AT9915"/>
      <c r="AU9915"/>
      <c r="AV9915"/>
    </row>
    <row r="9916" spans="41:48" x14ac:dyDescent="0.35">
      <c r="AO9916"/>
      <c r="AP9916"/>
      <c r="AQ9916"/>
      <c r="AR9916"/>
      <c r="AS9916"/>
      <c r="AT9916"/>
      <c r="AU9916"/>
      <c r="AV9916"/>
    </row>
    <row r="9917" spans="41:48" x14ac:dyDescent="0.35">
      <c r="AO9917"/>
      <c r="AP9917"/>
      <c r="AQ9917"/>
      <c r="AR9917"/>
      <c r="AS9917"/>
      <c r="AT9917"/>
      <c r="AU9917"/>
      <c r="AV9917"/>
    </row>
    <row r="9918" spans="41:48" x14ac:dyDescent="0.35">
      <c r="AO9918"/>
      <c r="AP9918"/>
      <c r="AQ9918"/>
      <c r="AR9918"/>
      <c r="AS9918"/>
      <c r="AT9918"/>
      <c r="AU9918"/>
      <c r="AV9918"/>
    </row>
    <row r="9919" spans="41:48" x14ac:dyDescent="0.35">
      <c r="AO9919"/>
      <c r="AP9919"/>
      <c r="AQ9919"/>
      <c r="AR9919"/>
      <c r="AS9919"/>
      <c r="AT9919"/>
      <c r="AU9919"/>
      <c r="AV9919"/>
    </row>
    <row r="9920" spans="41:48" x14ac:dyDescent="0.35">
      <c r="AO9920"/>
      <c r="AP9920"/>
      <c r="AQ9920"/>
      <c r="AR9920"/>
      <c r="AS9920"/>
      <c r="AT9920"/>
      <c r="AU9920"/>
      <c r="AV9920"/>
    </row>
    <row r="9921" spans="41:48" x14ac:dyDescent="0.35">
      <c r="AO9921"/>
      <c r="AP9921"/>
      <c r="AQ9921"/>
      <c r="AR9921"/>
      <c r="AS9921"/>
      <c r="AT9921"/>
      <c r="AU9921"/>
      <c r="AV9921"/>
    </row>
    <row r="9922" spans="41:48" x14ac:dyDescent="0.35">
      <c r="AO9922"/>
      <c r="AP9922"/>
      <c r="AQ9922"/>
      <c r="AR9922"/>
      <c r="AS9922"/>
      <c r="AT9922"/>
      <c r="AU9922"/>
      <c r="AV9922"/>
    </row>
    <row r="9923" spans="41:48" x14ac:dyDescent="0.35">
      <c r="AO9923"/>
      <c r="AP9923"/>
      <c r="AQ9923"/>
      <c r="AR9923"/>
      <c r="AS9923"/>
      <c r="AT9923"/>
      <c r="AU9923"/>
      <c r="AV9923"/>
    </row>
    <row r="9924" spans="41:48" x14ac:dyDescent="0.35">
      <c r="AO9924"/>
      <c r="AP9924"/>
      <c r="AQ9924"/>
      <c r="AR9924"/>
      <c r="AS9924"/>
      <c r="AT9924"/>
      <c r="AU9924"/>
      <c r="AV9924"/>
    </row>
    <row r="9925" spans="41:48" x14ac:dyDescent="0.35">
      <c r="AO9925"/>
      <c r="AP9925"/>
      <c r="AQ9925"/>
      <c r="AR9925"/>
      <c r="AS9925"/>
      <c r="AT9925"/>
      <c r="AU9925"/>
      <c r="AV9925"/>
    </row>
    <row r="9926" spans="41:48" x14ac:dyDescent="0.35">
      <c r="AO9926"/>
      <c r="AP9926"/>
      <c r="AQ9926"/>
      <c r="AR9926"/>
      <c r="AS9926"/>
      <c r="AT9926"/>
      <c r="AU9926"/>
      <c r="AV9926"/>
    </row>
    <row r="9927" spans="41:48" x14ac:dyDescent="0.35">
      <c r="AO9927"/>
      <c r="AP9927"/>
      <c r="AQ9927"/>
      <c r="AR9927"/>
      <c r="AS9927"/>
      <c r="AT9927"/>
      <c r="AU9927"/>
      <c r="AV9927"/>
    </row>
    <row r="9928" spans="41:48" x14ac:dyDescent="0.35">
      <c r="AO9928"/>
      <c r="AP9928"/>
      <c r="AQ9928"/>
      <c r="AR9928"/>
      <c r="AS9928"/>
      <c r="AT9928"/>
      <c r="AU9928"/>
      <c r="AV9928"/>
    </row>
    <row r="9929" spans="41:48" x14ac:dyDescent="0.35">
      <c r="AO9929"/>
      <c r="AP9929"/>
      <c r="AQ9929"/>
      <c r="AR9929"/>
      <c r="AS9929"/>
      <c r="AT9929"/>
      <c r="AU9929"/>
      <c r="AV9929"/>
    </row>
    <row r="9930" spans="41:48" x14ac:dyDescent="0.35">
      <c r="AO9930"/>
      <c r="AP9930"/>
      <c r="AQ9930"/>
      <c r="AR9930"/>
      <c r="AS9930"/>
      <c r="AT9930"/>
      <c r="AU9930"/>
      <c r="AV9930"/>
    </row>
    <row r="9931" spans="41:48" x14ac:dyDescent="0.35">
      <c r="AO9931"/>
      <c r="AP9931"/>
      <c r="AQ9931"/>
      <c r="AR9931"/>
      <c r="AS9931"/>
      <c r="AT9931"/>
      <c r="AU9931"/>
      <c r="AV9931"/>
    </row>
    <row r="9932" spans="41:48" x14ac:dyDescent="0.35">
      <c r="AO9932"/>
      <c r="AP9932"/>
      <c r="AQ9932"/>
      <c r="AR9932"/>
      <c r="AS9932"/>
      <c r="AT9932"/>
      <c r="AU9932"/>
      <c r="AV9932"/>
    </row>
    <row r="9933" spans="41:48" x14ac:dyDescent="0.35">
      <c r="AO9933"/>
      <c r="AP9933"/>
      <c r="AQ9933"/>
      <c r="AR9933"/>
      <c r="AS9933"/>
      <c r="AT9933"/>
      <c r="AU9933"/>
      <c r="AV9933"/>
    </row>
    <row r="9934" spans="41:48" x14ac:dyDescent="0.35">
      <c r="AO9934"/>
      <c r="AP9934"/>
      <c r="AQ9934"/>
      <c r="AR9934"/>
      <c r="AS9934"/>
      <c r="AT9934"/>
      <c r="AU9934"/>
      <c r="AV9934"/>
    </row>
    <row r="9935" spans="41:48" x14ac:dyDescent="0.35">
      <c r="AO9935"/>
      <c r="AP9935"/>
      <c r="AQ9935"/>
      <c r="AR9935"/>
      <c r="AS9935"/>
      <c r="AT9935"/>
      <c r="AU9935"/>
      <c r="AV9935"/>
    </row>
    <row r="9936" spans="41:48" x14ac:dyDescent="0.35">
      <c r="AO9936"/>
      <c r="AP9936"/>
      <c r="AQ9936"/>
      <c r="AR9936"/>
      <c r="AS9936"/>
      <c r="AT9936"/>
      <c r="AU9936"/>
      <c r="AV9936"/>
    </row>
    <row r="9937" spans="41:48" x14ac:dyDescent="0.35">
      <c r="AO9937"/>
      <c r="AP9937"/>
      <c r="AQ9937"/>
      <c r="AR9937"/>
      <c r="AS9937"/>
      <c r="AT9937"/>
      <c r="AU9937"/>
      <c r="AV9937"/>
    </row>
    <row r="9938" spans="41:48" x14ac:dyDescent="0.35">
      <c r="AO9938"/>
      <c r="AP9938"/>
      <c r="AQ9938"/>
      <c r="AR9938"/>
      <c r="AS9938"/>
      <c r="AT9938"/>
      <c r="AU9938"/>
      <c r="AV9938"/>
    </row>
    <row r="9939" spans="41:48" x14ac:dyDescent="0.35">
      <c r="AO9939"/>
      <c r="AP9939"/>
      <c r="AQ9939"/>
      <c r="AR9939"/>
      <c r="AS9939"/>
      <c r="AT9939"/>
      <c r="AU9939"/>
      <c r="AV9939"/>
    </row>
    <row r="9940" spans="41:48" x14ac:dyDescent="0.35">
      <c r="AO9940"/>
      <c r="AP9940"/>
      <c r="AQ9940"/>
      <c r="AR9940"/>
      <c r="AS9940"/>
      <c r="AT9940"/>
      <c r="AU9940"/>
      <c r="AV9940"/>
    </row>
    <row r="9941" spans="41:48" x14ac:dyDescent="0.35">
      <c r="AO9941"/>
      <c r="AP9941"/>
      <c r="AQ9941"/>
      <c r="AR9941"/>
      <c r="AS9941"/>
      <c r="AT9941"/>
      <c r="AU9941"/>
      <c r="AV9941"/>
    </row>
    <row r="9942" spans="41:48" x14ac:dyDescent="0.35">
      <c r="AO9942"/>
      <c r="AP9942"/>
      <c r="AQ9942"/>
      <c r="AR9942"/>
      <c r="AS9942"/>
      <c r="AT9942"/>
      <c r="AU9942"/>
      <c r="AV9942"/>
    </row>
    <row r="9943" spans="41:48" x14ac:dyDescent="0.35">
      <c r="AO9943"/>
      <c r="AP9943"/>
      <c r="AQ9943"/>
      <c r="AR9943"/>
      <c r="AS9943"/>
      <c r="AT9943"/>
      <c r="AU9943"/>
      <c r="AV9943"/>
    </row>
    <row r="9944" spans="41:48" x14ac:dyDescent="0.35">
      <c r="AO9944"/>
      <c r="AP9944"/>
      <c r="AQ9944"/>
      <c r="AR9944"/>
      <c r="AS9944"/>
      <c r="AT9944"/>
      <c r="AU9944"/>
      <c r="AV9944"/>
    </row>
    <row r="9945" spans="41:48" x14ac:dyDescent="0.35">
      <c r="AO9945"/>
      <c r="AP9945"/>
      <c r="AQ9945"/>
      <c r="AR9945"/>
      <c r="AS9945"/>
      <c r="AT9945"/>
      <c r="AU9945"/>
      <c r="AV9945"/>
    </row>
    <row r="9946" spans="41:48" x14ac:dyDescent="0.35">
      <c r="AO9946"/>
      <c r="AP9946"/>
      <c r="AQ9946"/>
      <c r="AR9946"/>
      <c r="AS9946"/>
      <c r="AT9946"/>
      <c r="AU9946"/>
      <c r="AV9946"/>
    </row>
    <row r="9947" spans="41:48" x14ac:dyDescent="0.35">
      <c r="AO9947"/>
      <c r="AP9947"/>
      <c r="AQ9947"/>
      <c r="AR9947"/>
      <c r="AS9947"/>
      <c r="AT9947"/>
      <c r="AU9947"/>
      <c r="AV9947"/>
    </row>
    <row r="9948" spans="41:48" x14ac:dyDescent="0.35">
      <c r="AO9948"/>
      <c r="AP9948"/>
      <c r="AQ9948"/>
      <c r="AR9948"/>
      <c r="AS9948"/>
      <c r="AT9948"/>
      <c r="AU9948"/>
      <c r="AV9948"/>
    </row>
    <row r="9949" spans="41:48" x14ac:dyDescent="0.35">
      <c r="AO9949"/>
      <c r="AP9949"/>
      <c r="AQ9949"/>
      <c r="AR9949"/>
      <c r="AS9949"/>
      <c r="AT9949"/>
      <c r="AU9949"/>
      <c r="AV9949"/>
    </row>
    <row r="9950" spans="41:48" x14ac:dyDescent="0.35">
      <c r="AO9950"/>
      <c r="AP9950"/>
      <c r="AQ9950"/>
      <c r="AR9950"/>
      <c r="AS9950"/>
      <c r="AT9950"/>
      <c r="AU9950"/>
      <c r="AV9950"/>
    </row>
    <row r="9951" spans="41:48" x14ac:dyDescent="0.35">
      <c r="AO9951"/>
      <c r="AP9951"/>
      <c r="AQ9951"/>
      <c r="AR9951"/>
      <c r="AS9951"/>
      <c r="AT9951"/>
      <c r="AU9951"/>
      <c r="AV9951"/>
    </row>
    <row r="9952" spans="41:48" x14ac:dyDescent="0.35">
      <c r="AO9952"/>
      <c r="AP9952"/>
      <c r="AQ9952"/>
      <c r="AR9952"/>
      <c r="AS9952"/>
      <c r="AT9952"/>
      <c r="AU9952"/>
      <c r="AV9952"/>
    </row>
    <row r="9953" spans="41:48" x14ac:dyDescent="0.35">
      <c r="AO9953"/>
      <c r="AP9953"/>
      <c r="AQ9953"/>
      <c r="AR9953"/>
      <c r="AS9953"/>
      <c r="AT9953"/>
      <c r="AU9953"/>
      <c r="AV9953"/>
    </row>
    <row r="9954" spans="41:48" x14ac:dyDescent="0.35">
      <c r="AO9954"/>
      <c r="AP9954"/>
      <c r="AQ9954"/>
      <c r="AR9954"/>
      <c r="AS9954"/>
      <c r="AT9954"/>
      <c r="AU9954"/>
      <c r="AV9954"/>
    </row>
    <row r="9955" spans="41:48" x14ac:dyDescent="0.35">
      <c r="AO9955"/>
      <c r="AP9955"/>
      <c r="AQ9955"/>
      <c r="AR9955"/>
      <c r="AS9955"/>
      <c r="AT9955"/>
      <c r="AU9955"/>
      <c r="AV9955"/>
    </row>
    <row r="9956" spans="41:48" x14ac:dyDescent="0.35">
      <c r="AO9956"/>
      <c r="AP9956"/>
      <c r="AQ9956"/>
      <c r="AR9956"/>
      <c r="AS9956"/>
      <c r="AT9956"/>
      <c r="AU9956"/>
      <c r="AV9956"/>
    </row>
    <row r="9957" spans="41:48" x14ac:dyDescent="0.35">
      <c r="AO9957"/>
      <c r="AP9957"/>
      <c r="AQ9957"/>
      <c r="AR9957"/>
      <c r="AS9957"/>
      <c r="AT9957"/>
      <c r="AU9957"/>
      <c r="AV9957"/>
    </row>
    <row r="9958" spans="41:48" x14ac:dyDescent="0.35">
      <c r="AO9958"/>
      <c r="AP9958"/>
      <c r="AQ9958"/>
      <c r="AR9958"/>
      <c r="AS9958"/>
      <c r="AT9958"/>
      <c r="AU9958"/>
      <c r="AV9958"/>
    </row>
    <row r="9959" spans="41:48" x14ac:dyDescent="0.35">
      <c r="AO9959"/>
      <c r="AP9959"/>
      <c r="AQ9959"/>
      <c r="AR9959"/>
      <c r="AS9959"/>
      <c r="AT9959"/>
      <c r="AU9959"/>
      <c r="AV9959"/>
    </row>
    <row r="9960" spans="41:48" x14ac:dyDescent="0.35">
      <c r="AO9960"/>
      <c r="AP9960"/>
      <c r="AQ9960"/>
      <c r="AR9960"/>
      <c r="AS9960"/>
      <c r="AT9960"/>
      <c r="AU9960"/>
      <c r="AV9960"/>
    </row>
    <row r="9961" spans="41:48" x14ac:dyDescent="0.35">
      <c r="AO9961"/>
      <c r="AP9961"/>
      <c r="AQ9961"/>
      <c r="AR9961"/>
      <c r="AS9961"/>
      <c r="AT9961"/>
      <c r="AU9961"/>
      <c r="AV9961"/>
    </row>
    <row r="9962" spans="41:48" x14ac:dyDescent="0.35">
      <c r="AO9962"/>
      <c r="AP9962"/>
      <c r="AQ9962"/>
      <c r="AR9962"/>
      <c r="AS9962"/>
      <c r="AT9962"/>
      <c r="AU9962"/>
      <c r="AV9962"/>
    </row>
    <row r="9963" spans="41:48" x14ac:dyDescent="0.35">
      <c r="AO9963"/>
      <c r="AP9963"/>
      <c r="AQ9963"/>
      <c r="AR9963"/>
      <c r="AS9963"/>
      <c r="AT9963"/>
      <c r="AU9963"/>
      <c r="AV9963"/>
    </row>
    <row r="9964" spans="41:48" x14ac:dyDescent="0.35">
      <c r="AO9964"/>
      <c r="AP9964"/>
      <c r="AQ9964"/>
      <c r="AR9964"/>
      <c r="AS9964"/>
      <c r="AT9964"/>
      <c r="AU9964"/>
      <c r="AV9964"/>
    </row>
    <row r="9965" spans="41:48" x14ac:dyDescent="0.35">
      <c r="AO9965"/>
      <c r="AP9965"/>
      <c r="AQ9965"/>
      <c r="AR9965"/>
      <c r="AS9965"/>
      <c r="AT9965"/>
      <c r="AU9965"/>
      <c r="AV9965"/>
    </row>
    <row r="9966" spans="41:48" x14ac:dyDescent="0.35">
      <c r="AO9966"/>
      <c r="AP9966"/>
      <c r="AQ9966"/>
      <c r="AR9966"/>
      <c r="AS9966"/>
      <c r="AT9966"/>
      <c r="AU9966"/>
      <c r="AV9966"/>
    </row>
    <row r="9967" spans="41:48" x14ac:dyDescent="0.35">
      <c r="AO9967"/>
      <c r="AP9967"/>
      <c r="AQ9967"/>
      <c r="AR9967"/>
      <c r="AS9967"/>
      <c r="AT9967"/>
      <c r="AU9967"/>
      <c r="AV9967"/>
    </row>
    <row r="9968" spans="41:48" x14ac:dyDescent="0.35">
      <c r="AO9968"/>
      <c r="AP9968"/>
      <c r="AQ9968"/>
      <c r="AR9968"/>
      <c r="AS9968"/>
      <c r="AT9968"/>
      <c r="AU9968"/>
      <c r="AV9968"/>
    </row>
    <row r="9969" spans="41:48" x14ac:dyDescent="0.35">
      <c r="AO9969"/>
      <c r="AP9969"/>
      <c r="AQ9969"/>
      <c r="AR9969"/>
      <c r="AS9969"/>
      <c r="AT9969"/>
      <c r="AU9969"/>
      <c r="AV9969"/>
    </row>
    <row r="9970" spans="41:48" x14ac:dyDescent="0.35">
      <c r="AO9970"/>
      <c r="AP9970"/>
      <c r="AQ9970"/>
      <c r="AR9970"/>
      <c r="AS9970"/>
      <c r="AT9970"/>
      <c r="AU9970"/>
      <c r="AV9970"/>
    </row>
    <row r="9971" spans="41:48" x14ac:dyDescent="0.35">
      <c r="AO9971"/>
      <c r="AP9971"/>
      <c r="AQ9971"/>
      <c r="AR9971"/>
      <c r="AS9971"/>
      <c r="AT9971"/>
      <c r="AU9971"/>
      <c r="AV9971"/>
    </row>
    <row r="9972" spans="41:48" x14ac:dyDescent="0.35">
      <c r="AO9972"/>
      <c r="AP9972"/>
      <c r="AQ9972"/>
      <c r="AR9972"/>
      <c r="AS9972"/>
      <c r="AT9972"/>
      <c r="AU9972"/>
      <c r="AV9972"/>
    </row>
    <row r="9973" spans="41:48" x14ac:dyDescent="0.35">
      <c r="AO9973"/>
      <c r="AP9973"/>
      <c r="AQ9973"/>
      <c r="AR9973"/>
      <c r="AS9973"/>
      <c r="AT9973"/>
      <c r="AU9973"/>
      <c r="AV9973"/>
    </row>
    <row r="9974" spans="41:48" x14ac:dyDescent="0.35">
      <c r="AO9974"/>
      <c r="AP9974"/>
      <c r="AQ9974"/>
      <c r="AR9974"/>
      <c r="AS9974"/>
      <c r="AT9974"/>
      <c r="AU9974"/>
      <c r="AV9974"/>
    </row>
    <row r="9975" spans="41:48" x14ac:dyDescent="0.35">
      <c r="AO9975"/>
      <c r="AP9975"/>
      <c r="AQ9975"/>
      <c r="AR9975"/>
      <c r="AS9975"/>
      <c r="AT9975"/>
      <c r="AU9975"/>
      <c r="AV9975"/>
    </row>
    <row r="9976" spans="41:48" x14ac:dyDescent="0.35">
      <c r="AO9976"/>
      <c r="AP9976"/>
      <c r="AQ9976"/>
      <c r="AR9976"/>
      <c r="AS9976"/>
      <c r="AT9976"/>
      <c r="AU9976"/>
      <c r="AV9976"/>
    </row>
    <row r="9977" spans="41:48" x14ac:dyDescent="0.35">
      <c r="AO9977"/>
      <c r="AP9977"/>
      <c r="AQ9977"/>
      <c r="AR9977"/>
      <c r="AS9977"/>
      <c r="AT9977"/>
      <c r="AU9977"/>
      <c r="AV9977"/>
    </row>
    <row r="9978" spans="41:48" x14ac:dyDescent="0.35">
      <c r="AO9978"/>
      <c r="AP9978"/>
      <c r="AQ9978"/>
      <c r="AR9978"/>
      <c r="AS9978"/>
      <c r="AT9978"/>
      <c r="AU9978"/>
      <c r="AV9978"/>
    </row>
    <row r="9979" spans="41:48" x14ac:dyDescent="0.35">
      <c r="AO9979"/>
      <c r="AP9979"/>
      <c r="AQ9979"/>
      <c r="AR9979"/>
      <c r="AS9979"/>
      <c r="AT9979"/>
      <c r="AU9979"/>
      <c r="AV9979"/>
    </row>
    <row r="9980" spans="41:48" x14ac:dyDescent="0.35">
      <c r="AO9980"/>
      <c r="AP9980"/>
      <c r="AQ9980"/>
      <c r="AR9980"/>
      <c r="AS9980"/>
      <c r="AT9980"/>
      <c r="AU9980"/>
      <c r="AV9980"/>
    </row>
    <row r="9981" spans="41:48" x14ac:dyDescent="0.35">
      <c r="AO9981"/>
      <c r="AP9981"/>
      <c r="AQ9981"/>
      <c r="AR9981"/>
      <c r="AS9981"/>
      <c r="AT9981"/>
      <c r="AU9981"/>
      <c r="AV9981"/>
    </row>
    <row r="9982" spans="41:48" x14ac:dyDescent="0.35">
      <c r="AO9982"/>
      <c r="AP9982"/>
      <c r="AQ9982"/>
      <c r="AR9982"/>
      <c r="AS9982"/>
      <c r="AT9982"/>
      <c r="AU9982"/>
      <c r="AV9982"/>
    </row>
    <row r="9983" spans="41:48" x14ac:dyDescent="0.35">
      <c r="AO9983"/>
      <c r="AP9983"/>
      <c r="AQ9983"/>
      <c r="AR9983"/>
      <c r="AS9983"/>
      <c r="AT9983"/>
      <c r="AU9983"/>
      <c r="AV9983"/>
    </row>
    <row r="9984" spans="41:48" x14ac:dyDescent="0.35">
      <c r="AO9984"/>
      <c r="AP9984"/>
      <c r="AQ9984"/>
      <c r="AR9984"/>
      <c r="AS9984"/>
      <c r="AT9984"/>
      <c r="AU9984"/>
      <c r="AV9984"/>
    </row>
    <row r="9985" spans="41:48" x14ac:dyDescent="0.35">
      <c r="AO9985"/>
      <c r="AP9985"/>
      <c r="AQ9985"/>
      <c r="AR9985"/>
      <c r="AS9985"/>
      <c r="AT9985"/>
      <c r="AU9985"/>
      <c r="AV9985"/>
    </row>
    <row r="9986" spans="41:48" x14ac:dyDescent="0.35">
      <c r="AO9986"/>
      <c r="AP9986"/>
      <c r="AQ9986"/>
      <c r="AR9986"/>
      <c r="AS9986"/>
      <c r="AT9986"/>
      <c r="AU9986"/>
      <c r="AV9986"/>
    </row>
    <row r="9987" spans="41:48" x14ac:dyDescent="0.35">
      <c r="AO9987"/>
      <c r="AP9987"/>
      <c r="AQ9987"/>
      <c r="AR9987"/>
      <c r="AS9987"/>
      <c r="AT9987"/>
      <c r="AU9987"/>
      <c r="AV9987"/>
    </row>
    <row r="9988" spans="41:48" x14ac:dyDescent="0.35">
      <c r="AO9988"/>
      <c r="AP9988"/>
      <c r="AQ9988"/>
      <c r="AR9988"/>
      <c r="AS9988"/>
      <c r="AT9988"/>
      <c r="AU9988"/>
      <c r="AV9988"/>
    </row>
    <row r="9989" spans="41:48" x14ac:dyDescent="0.35">
      <c r="AO9989"/>
      <c r="AP9989"/>
      <c r="AQ9989"/>
      <c r="AR9989"/>
      <c r="AS9989"/>
      <c r="AT9989"/>
      <c r="AU9989"/>
      <c r="AV9989"/>
    </row>
    <row r="9990" spans="41:48" x14ac:dyDescent="0.35">
      <c r="AO9990"/>
      <c r="AP9990"/>
      <c r="AQ9990"/>
      <c r="AR9990"/>
      <c r="AS9990"/>
      <c r="AT9990"/>
      <c r="AU9990"/>
      <c r="AV9990"/>
    </row>
    <row r="9991" spans="41:48" x14ac:dyDescent="0.35">
      <c r="AO9991"/>
      <c r="AP9991"/>
      <c r="AQ9991"/>
      <c r="AR9991"/>
      <c r="AS9991"/>
      <c r="AT9991"/>
      <c r="AU9991"/>
      <c r="AV9991"/>
    </row>
    <row r="9992" spans="41:48" x14ac:dyDescent="0.35">
      <c r="AO9992"/>
      <c r="AP9992"/>
      <c r="AQ9992"/>
      <c r="AR9992"/>
      <c r="AS9992"/>
      <c r="AT9992"/>
      <c r="AU9992"/>
      <c r="AV9992"/>
    </row>
    <row r="9993" spans="41:48" x14ac:dyDescent="0.35">
      <c r="AO9993"/>
      <c r="AP9993"/>
      <c r="AQ9993"/>
      <c r="AR9993"/>
      <c r="AS9993"/>
      <c r="AT9993"/>
      <c r="AU9993"/>
      <c r="AV9993"/>
    </row>
    <row r="9994" spans="41:48" x14ac:dyDescent="0.35">
      <c r="AO9994"/>
      <c r="AP9994"/>
      <c r="AQ9994"/>
      <c r="AR9994"/>
      <c r="AS9994"/>
      <c r="AT9994"/>
      <c r="AU9994"/>
      <c r="AV9994"/>
    </row>
    <row r="9995" spans="41:48" x14ac:dyDescent="0.35">
      <c r="AO9995"/>
      <c r="AP9995"/>
      <c r="AQ9995"/>
      <c r="AR9995"/>
      <c r="AS9995"/>
      <c r="AT9995"/>
      <c r="AU9995"/>
      <c r="AV9995"/>
    </row>
    <row r="9996" spans="41:48" x14ac:dyDescent="0.35">
      <c r="AO9996"/>
      <c r="AP9996"/>
      <c r="AQ9996"/>
      <c r="AR9996"/>
      <c r="AS9996"/>
      <c r="AT9996"/>
      <c r="AU9996"/>
      <c r="AV9996"/>
    </row>
    <row r="9997" spans="41:48" x14ac:dyDescent="0.35">
      <c r="AO9997"/>
      <c r="AP9997"/>
      <c r="AQ9997"/>
      <c r="AR9997"/>
      <c r="AS9997"/>
      <c r="AT9997"/>
      <c r="AU9997"/>
      <c r="AV9997"/>
    </row>
    <row r="9998" spans="41:48" x14ac:dyDescent="0.35">
      <c r="AO9998"/>
      <c r="AP9998"/>
      <c r="AQ9998"/>
      <c r="AR9998"/>
      <c r="AS9998"/>
      <c r="AT9998"/>
      <c r="AU9998"/>
      <c r="AV9998"/>
    </row>
    <row r="9999" spans="41:48" x14ac:dyDescent="0.35">
      <c r="AO9999"/>
      <c r="AP9999"/>
      <c r="AQ9999"/>
      <c r="AR9999"/>
      <c r="AS9999"/>
      <c r="AT9999"/>
      <c r="AU9999"/>
      <c r="AV9999"/>
    </row>
    <row r="10000" spans="41:48" x14ac:dyDescent="0.35">
      <c r="AO10000"/>
      <c r="AP10000"/>
      <c r="AQ10000"/>
      <c r="AR10000"/>
      <c r="AS10000"/>
      <c r="AT10000"/>
      <c r="AU10000"/>
      <c r="AV10000"/>
    </row>
    <row r="10001" spans="41:48" x14ac:dyDescent="0.35">
      <c r="AO10001"/>
      <c r="AP10001"/>
      <c r="AQ10001"/>
      <c r="AR10001"/>
      <c r="AS10001"/>
      <c r="AT10001"/>
      <c r="AU10001"/>
      <c r="AV10001"/>
    </row>
    <row r="10002" spans="41:48" x14ac:dyDescent="0.35">
      <c r="AO10002"/>
      <c r="AP10002"/>
      <c r="AQ10002"/>
      <c r="AR10002"/>
      <c r="AS10002"/>
      <c r="AT10002"/>
      <c r="AU10002"/>
      <c r="AV10002"/>
    </row>
    <row r="10003" spans="41:48" x14ac:dyDescent="0.35">
      <c r="AO10003"/>
      <c r="AP10003"/>
      <c r="AQ10003"/>
      <c r="AR10003"/>
      <c r="AS10003"/>
      <c r="AT10003"/>
      <c r="AU10003"/>
      <c r="AV10003"/>
    </row>
    <row r="10004" spans="41:48" x14ac:dyDescent="0.35">
      <c r="AO10004"/>
      <c r="AP10004"/>
      <c r="AQ10004"/>
      <c r="AR10004"/>
      <c r="AS10004"/>
      <c r="AT10004"/>
      <c r="AU10004"/>
      <c r="AV10004"/>
    </row>
    <row r="10005" spans="41:48" x14ac:dyDescent="0.35">
      <c r="AO10005"/>
      <c r="AP10005"/>
      <c r="AQ10005"/>
      <c r="AR10005"/>
      <c r="AS10005"/>
      <c r="AT10005"/>
      <c r="AU10005"/>
      <c r="AV10005"/>
    </row>
  </sheetData>
  <mergeCells count="79">
    <mergeCell ref="K34:L34"/>
    <mergeCell ref="M34:N34"/>
    <mergeCell ref="O12:R12"/>
    <mergeCell ref="O28:R28"/>
    <mergeCell ref="O29:P29"/>
    <mergeCell ref="Q29:R29"/>
    <mergeCell ref="O30:P30"/>
    <mergeCell ref="Q30:R30"/>
    <mergeCell ref="O31:P31"/>
    <mergeCell ref="Q31:R31"/>
    <mergeCell ref="O32:P32"/>
    <mergeCell ref="Q32:R32"/>
    <mergeCell ref="O33:P33"/>
    <mergeCell ref="Q33:R33"/>
    <mergeCell ref="O34:P34"/>
    <mergeCell ref="Q34:R34"/>
    <mergeCell ref="K31:L31"/>
    <mergeCell ref="M31:N31"/>
    <mergeCell ref="K32:L32"/>
    <mergeCell ref="M32:N32"/>
    <mergeCell ref="K33:L33"/>
    <mergeCell ref="M33:N33"/>
    <mergeCell ref="K28:N28"/>
    <mergeCell ref="K29:L29"/>
    <mergeCell ref="M29:N29"/>
    <mergeCell ref="K30:L30"/>
    <mergeCell ref="M30:N30"/>
    <mergeCell ref="C45:D45"/>
    <mergeCell ref="C46:D46"/>
    <mergeCell ref="A41:B41"/>
    <mergeCell ref="C41:D41"/>
    <mergeCell ref="C42:D42"/>
    <mergeCell ref="C43:D43"/>
    <mergeCell ref="C44:D44"/>
    <mergeCell ref="I34:J34"/>
    <mergeCell ref="E34:F34"/>
    <mergeCell ref="E33:F33"/>
    <mergeCell ref="I33:J33"/>
    <mergeCell ref="G34:H34"/>
    <mergeCell ref="A33:B33"/>
    <mergeCell ref="I31:J31"/>
    <mergeCell ref="G33:H33"/>
    <mergeCell ref="G31:H31"/>
    <mergeCell ref="I30:J30"/>
    <mergeCell ref="C32:D32"/>
    <mergeCell ref="C33:D33"/>
    <mergeCell ref="E30:F30"/>
    <mergeCell ref="G32:H32"/>
    <mergeCell ref="E36:G36"/>
    <mergeCell ref="E37:G37"/>
    <mergeCell ref="J36:M36"/>
    <mergeCell ref="J37:M37"/>
    <mergeCell ref="A7:B7"/>
    <mergeCell ref="A12:F12"/>
    <mergeCell ref="B13:C13"/>
    <mergeCell ref="E29:F29"/>
    <mergeCell ref="G12:J12"/>
    <mergeCell ref="A31:B31"/>
    <mergeCell ref="A32:B32"/>
    <mergeCell ref="C31:D31"/>
    <mergeCell ref="E28:F28"/>
    <mergeCell ref="E31:F31"/>
    <mergeCell ref="E32:F32"/>
    <mergeCell ref="I32:J32"/>
    <mergeCell ref="C4:L4"/>
    <mergeCell ref="A29:B29"/>
    <mergeCell ref="A30:B30"/>
    <mergeCell ref="C29:D29"/>
    <mergeCell ref="C30:D30"/>
    <mergeCell ref="A8:B8"/>
    <mergeCell ref="A9:B9"/>
    <mergeCell ref="A10:B10"/>
    <mergeCell ref="A28:D28"/>
    <mergeCell ref="A6:B6"/>
    <mergeCell ref="G28:J28"/>
    <mergeCell ref="G29:H29"/>
    <mergeCell ref="G30:H30"/>
    <mergeCell ref="I29:J29"/>
    <mergeCell ref="K12:N12"/>
  </mergeCells>
  <dataValidations count="10">
    <dataValidation allowBlank="1" showInputMessage="1" showErrorMessage="1" error="Favor de ingresar un número entero o decimal" sqref="I27 Q14:Q25 M14:M25 I14:I25" xr:uid="{00000000-0002-0000-0000-000000000000}"/>
    <dataValidation type="list" allowBlank="1" showInputMessage="1" showErrorMessage="1" sqref="D31 G31 K31 O31" xr:uid="{00000000-0002-0000-0000-000001000000}">
      <formula1>INDIRECT("Tabla8[Condicion de pago]")</formula1>
    </dataValidation>
    <dataValidation type="list" allowBlank="1" showInputMessage="1" showErrorMessage="1" sqref="D32 G32 O14:O25 G14:G25 K32 K14:K25 O32" xr:uid="{00000000-0002-0000-0000-000002000000}">
      <formula1>INDIRECT("Tabla9[T.Entrega]")</formula1>
    </dataValidation>
    <dataValidation type="decimal" allowBlank="1" showInputMessage="1" showErrorMessage="1" error="Favor de ingresar un número entero o decimal" sqref="H27 E27 E14:E25 L14:L25 H14:H25 P14:P25" xr:uid="{00000000-0002-0000-0000-000003000000}">
      <formula1>0</formula1>
      <formula2>10000000000</formula2>
    </dataValidation>
    <dataValidation type="list" allowBlank="1" showInputMessage="1" showErrorMessage="1" sqref="D27 D14:D25" xr:uid="{00000000-0002-0000-0000-000004000000}">
      <formula1>INDIRECT("Tabla1[Sede]")</formula1>
    </dataValidation>
    <dataValidation type="list" allowBlank="1" showInputMessage="1" showErrorMessage="1" sqref="C10" xr:uid="{00000000-0002-0000-0000-000005000000}">
      <formula1>INDIRECT("TABLA4[MONEDA]")</formula1>
    </dataValidation>
    <dataValidation type="list" allowBlank="1" showInputMessage="1" showErrorMessage="1" error="Tienes que escoger un departamento de la lista desplegable. Si el departamento no está, favor de incluirlo al final de la pestaña BD" sqref="C7" xr:uid="{00000000-0002-0000-0000-000007000000}">
      <formula1>INDIRECT("TABLA2[Descripción Departamento]")</formula1>
    </dataValidation>
    <dataValidation type="list" allowBlank="1" showInputMessage="1" showErrorMessage="1" sqref="D33 G33 K33 O33" xr:uid="{00000000-0002-0000-0000-000008000000}">
      <formula1>INDIRECT("Tabla11[Garantia]")</formula1>
    </dataValidation>
    <dataValidation type="list" allowBlank="1" showInputMessage="1" showErrorMessage="1" sqref="G29:H29 K29:L29 O29:P29" xr:uid="{00000000-0002-0000-0000-000009000000}">
      <formula1>INDIRECT("Tabla13[Calidad]")</formula1>
    </dataValidation>
    <dataValidation type="list" allowBlank="1" showInputMessage="1" showErrorMessage="1" sqref="F14:F25" xr:uid="{00000000-0002-0000-0000-00000A000000}">
      <formula1>INDIRECT("Tabla6[Unidad de medida]")</formula1>
    </dataValidation>
  </dataValidations>
  <pageMargins left="0.7" right="0.7" top="0.75" bottom="0.75" header="0.3" footer="0.3"/>
  <pageSetup orientation="portrait" r:id="rId1"/>
  <ignoredErrors>
    <ignoredError sqref="H20 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A66"/>
  <sheetViews>
    <sheetView topLeftCell="F1" workbookViewId="0">
      <selection activeCell="O1" sqref="O1"/>
    </sheetView>
  </sheetViews>
  <sheetFormatPr baseColWidth="10" defaultRowHeight="14.5" x14ac:dyDescent="0.35"/>
  <cols>
    <col min="1" max="1" width="20.54296875" customWidth="1"/>
    <col min="2" max="2" width="17.54296875" bestFit="1" customWidth="1"/>
    <col min="3" max="3" width="27.54296875" bestFit="1" customWidth="1"/>
    <col min="4" max="4" width="17.54296875" customWidth="1"/>
    <col min="6" max="6" width="33.453125" bestFit="1" customWidth="1"/>
    <col min="7" max="7" width="22.453125" customWidth="1"/>
    <col min="9" max="9" width="40.26953125" bestFit="1" customWidth="1"/>
    <col min="13" max="13" width="19.54296875" customWidth="1"/>
    <col min="17" max="17" width="19.453125" customWidth="1"/>
  </cols>
  <sheetData>
    <row r="1" spans="1:27" x14ac:dyDescent="0.35">
      <c r="A1" s="5" t="s">
        <v>24</v>
      </c>
      <c r="B1" s="5" t="s">
        <v>25</v>
      </c>
      <c r="C1" s="5" t="s">
        <v>12</v>
      </c>
      <c r="D1" s="5" t="s">
        <v>26</v>
      </c>
      <c r="F1" s="5" t="s">
        <v>27</v>
      </c>
      <c r="G1" s="5" t="s">
        <v>28</v>
      </c>
      <c r="I1" s="5" t="s">
        <v>29</v>
      </c>
      <c r="K1" t="s">
        <v>7</v>
      </c>
      <c r="M1" t="s">
        <v>30</v>
      </c>
      <c r="O1" t="s">
        <v>17</v>
      </c>
      <c r="Q1" s="3" t="s">
        <v>31</v>
      </c>
      <c r="S1" t="s">
        <v>15</v>
      </c>
      <c r="U1" t="s">
        <v>32</v>
      </c>
      <c r="W1" t="s">
        <v>33</v>
      </c>
      <c r="Y1" t="s">
        <v>258</v>
      </c>
      <c r="AA1" t="s">
        <v>246</v>
      </c>
    </row>
    <row r="2" spans="1:27" x14ac:dyDescent="0.35">
      <c r="A2" t="s">
        <v>34</v>
      </c>
      <c r="B2" t="s">
        <v>35</v>
      </c>
      <c r="C2" t="s">
        <v>36</v>
      </c>
      <c r="D2">
        <v>70110103</v>
      </c>
      <c r="F2" t="s">
        <v>37</v>
      </c>
      <c r="G2" t="s">
        <v>38</v>
      </c>
      <c r="I2" t="s">
        <v>6</v>
      </c>
      <c r="K2" t="s">
        <v>8</v>
      </c>
      <c r="M2" t="s">
        <v>39</v>
      </c>
      <c r="O2" t="s">
        <v>40</v>
      </c>
      <c r="Q2" s="3" t="s">
        <v>41</v>
      </c>
      <c r="S2" t="s">
        <v>249</v>
      </c>
      <c r="U2" t="s">
        <v>42</v>
      </c>
      <c r="W2" t="s">
        <v>253</v>
      </c>
      <c r="Y2">
        <v>1</v>
      </c>
      <c r="AA2" t="s">
        <v>265</v>
      </c>
    </row>
    <row r="3" spans="1:27" x14ac:dyDescent="0.35">
      <c r="A3" t="s">
        <v>43</v>
      </c>
      <c r="B3" t="s">
        <v>35</v>
      </c>
      <c r="C3" t="s">
        <v>44</v>
      </c>
      <c r="D3">
        <v>70110105</v>
      </c>
      <c r="F3" t="s">
        <v>1</v>
      </c>
      <c r="G3" t="s">
        <v>1</v>
      </c>
      <c r="I3" t="s">
        <v>45</v>
      </c>
      <c r="K3" t="s">
        <v>46</v>
      </c>
      <c r="M3" t="s">
        <v>47</v>
      </c>
      <c r="O3" t="s">
        <v>48</v>
      </c>
      <c r="Q3" s="3" t="s">
        <v>49</v>
      </c>
      <c r="S3" t="s">
        <v>250</v>
      </c>
      <c r="U3" t="s">
        <v>50</v>
      </c>
      <c r="W3" t="s">
        <v>89</v>
      </c>
      <c r="Y3">
        <v>2</v>
      </c>
      <c r="AA3" t="s">
        <v>266</v>
      </c>
    </row>
    <row r="4" spans="1:27" x14ac:dyDescent="0.35">
      <c r="A4" t="s">
        <v>51</v>
      </c>
      <c r="B4" t="s">
        <v>35</v>
      </c>
      <c r="C4" t="s">
        <v>52</v>
      </c>
      <c r="D4">
        <v>70110106</v>
      </c>
      <c r="F4" t="s">
        <v>53</v>
      </c>
      <c r="G4" t="s">
        <v>53</v>
      </c>
      <c r="I4" t="s">
        <v>54</v>
      </c>
      <c r="K4" t="s">
        <v>55</v>
      </c>
      <c r="M4" t="s">
        <v>56</v>
      </c>
      <c r="Q4" s="3" t="s">
        <v>57</v>
      </c>
      <c r="S4" t="s">
        <v>251</v>
      </c>
      <c r="U4" t="s">
        <v>58</v>
      </c>
      <c r="W4" t="s">
        <v>121</v>
      </c>
      <c r="Y4">
        <v>3</v>
      </c>
    </row>
    <row r="5" spans="1:27" x14ac:dyDescent="0.35">
      <c r="A5" t="s">
        <v>59</v>
      </c>
      <c r="B5" t="s">
        <v>35</v>
      </c>
      <c r="C5" t="s">
        <v>60</v>
      </c>
      <c r="D5">
        <v>70110101</v>
      </c>
      <c r="F5" t="s">
        <v>61</v>
      </c>
      <c r="G5" t="s">
        <v>38</v>
      </c>
      <c r="I5" t="s">
        <v>62</v>
      </c>
      <c r="M5" t="s">
        <v>63</v>
      </c>
      <c r="Q5" s="3" t="s">
        <v>64</v>
      </c>
      <c r="S5" t="s">
        <v>49</v>
      </c>
      <c r="U5" t="s">
        <v>65</v>
      </c>
      <c r="W5" t="s">
        <v>125</v>
      </c>
      <c r="Y5">
        <v>4</v>
      </c>
    </row>
    <row r="6" spans="1:27" x14ac:dyDescent="0.35">
      <c r="A6" t="s">
        <v>66</v>
      </c>
      <c r="B6" t="s">
        <v>67</v>
      </c>
      <c r="C6" t="s">
        <v>68</v>
      </c>
      <c r="D6">
        <v>10220108</v>
      </c>
      <c r="F6" t="s">
        <v>69</v>
      </c>
      <c r="G6" t="s">
        <v>38</v>
      </c>
      <c r="I6" t="s">
        <v>70</v>
      </c>
      <c r="M6" t="s">
        <v>71</v>
      </c>
      <c r="Q6" s="3" t="s">
        <v>72</v>
      </c>
      <c r="S6" t="s">
        <v>252</v>
      </c>
      <c r="U6" t="s">
        <v>73</v>
      </c>
      <c r="W6" t="s">
        <v>129</v>
      </c>
      <c r="Y6">
        <v>5</v>
      </c>
    </row>
    <row r="7" spans="1:27" x14ac:dyDescent="0.35">
      <c r="A7" t="s">
        <v>74</v>
      </c>
      <c r="B7" t="s">
        <v>75</v>
      </c>
      <c r="C7" t="s">
        <v>76</v>
      </c>
      <c r="D7">
        <v>70120201</v>
      </c>
      <c r="F7" t="s">
        <v>77</v>
      </c>
      <c r="G7" t="s">
        <v>38</v>
      </c>
      <c r="I7" t="s">
        <v>78</v>
      </c>
      <c r="M7" t="s">
        <v>79</v>
      </c>
      <c r="Q7" s="3" t="s">
        <v>80</v>
      </c>
      <c r="S7" t="s">
        <v>57</v>
      </c>
      <c r="U7" t="s">
        <v>81</v>
      </c>
      <c r="W7" t="s">
        <v>254</v>
      </c>
    </row>
    <row r="8" spans="1:27" x14ac:dyDescent="0.35">
      <c r="A8" t="s">
        <v>82</v>
      </c>
      <c r="B8" t="s">
        <v>83</v>
      </c>
      <c r="C8" t="s">
        <v>84</v>
      </c>
      <c r="D8">
        <v>70150101</v>
      </c>
      <c r="F8" t="s">
        <v>85</v>
      </c>
      <c r="G8" t="s">
        <v>38</v>
      </c>
      <c r="I8" t="s">
        <v>86</v>
      </c>
      <c r="M8" t="s">
        <v>87</v>
      </c>
      <c r="Q8" s="3" t="s">
        <v>88</v>
      </c>
      <c r="S8" t="s">
        <v>64</v>
      </c>
      <c r="W8" t="s">
        <v>255</v>
      </c>
    </row>
    <row r="9" spans="1:27" x14ac:dyDescent="0.35">
      <c r="A9" t="s">
        <v>90</v>
      </c>
      <c r="B9" t="s">
        <v>91</v>
      </c>
      <c r="C9" t="s">
        <v>92</v>
      </c>
      <c r="D9">
        <v>70210101</v>
      </c>
      <c r="F9" t="s">
        <v>93</v>
      </c>
      <c r="G9" t="s">
        <v>38</v>
      </c>
      <c r="I9" t="s">
        <v>94</v>
      </c>
      <c r="M9" t="s">
        <v>95</v>
      </c>
      <c r="Q9" s="3" t="s">
        <v>264</v>
      </c>
      <c r="S9" t="s">
        <v>72</v>
      </c>
      <c r="W9" t="s">
        <v>256</v>
      </c>
    </row>
    <row r="10" spans="1:27" x14ac:dyDescent="0.35">
      <c r="A10" t="s">
        <v>96</v>
      </c>
      <c r="B10" t="s">
        <v>97</v>
      </c>
      <c r="C10" t="s">
        <v>98</v>
      </c>
      <c r="D10">
        <v>70190101</v>
      </c>
      <c r="F10" t="s">
        <v>99</v>
      </c>
      <c r="G10" t="s">
        <v>100</v>
      </c>
      <c r="I10" t="s">
        <v>101</v>
      </c>
      <c r="M10" t="s">
        <v>102</v>
      </c>
      <c r="S10" t="s">
        <v>88</v>
      </c>
      <c r="W10" t="s">
        <v>257</v>
      </c>
    </row>
    <row r="11" spans="1:27" x14ac:dyDescent="0.35">
      <c r="A11" t="s">
        <v>103</v>
      </c>
      <c r="B11" t="s">
        <v>104</v>
      </c>
      <c r="C11" t="s">
        <v>105</v>
      </c>
      <c r="D11">
        <v>70160101</v>
      </c>
      <c r="F11" t="s">
        <v>106</v>
      </c>
      <c r="G11" t="s">
        <v>38</v>
      </c>
      <c r="I11" t="s">
        <v>107</v>
      </c>
      <c r="S11" t="s">
        <v>264</v>
      </c>
      <c r="W11" t="s">
        <v>263</v>
      </c>
    </row>
    <row r="12" spans="1:27" x14ac:dyDescent="0.35">
      <c r="A12" t="s">
        <v>108</v>
      </c>
      <c r="B12" t="s">
        <v>109</v>
      </c>
      <c r="C12" t="s">
        <v>110</v>
      </c>
      <c r="D12">
        <v>10110401</v>
      </c>
      <c r="F12" t="s">
        <v>111</v>
      </c>
      <c r="G12" t="s">
        <v>38</v>
      </c>
      <c r="I12" t="s">
        <v>112</v>
      </c>
    </row>
    <row r="13" spans="1:27" x14ac:dyDescent="0.35">
      <c r="A13" t="s">
        <v>113</v>
      </c>
      <c r="B13" t="s">
        <v>109</v>
      </c>
      <c r="C13" t="s">
        <v>114</v>
      </c>
      <c r="D13">
        <v>10110205</v>
      </c>
      <c r="F13" t="s">
        <v>115</v>
      </c>
      <c r="G13" t="s">
        <v>38</v>
      </c>
      <c r="I13" t="s">
        <v>116</v>
      </c>
    </row>
    <row r="14" spans="1:27" x14ac:dyDescent="0.35">
      <c r="A14" t="s">
        <v>117</v>
      </c>
      <c r="B14" t="s">
        <v>109</v>
      </c>
      <c r="C14" t="s">
        <v>118</v>
      </c>
      <c r="D14">
        <v>10110102</v>
      </c>
      <c r="F14" t="s">
        <v>119</v>
      </c>
      <c r="G14" t="s">
        <v>38</v>
      </c>
      <c r="I14" t="s">
        <v>120</v>
      </c>
    </row>
    <row r="15" spans="1:27" x14ac:dyDescent="0.35">
      <c r="A15" t="s">
        <v>122</v>
      </c>
      <c r="B15" t="s">
        <v>109</v>
      </c>
      <c r="C15" t="s">
        <v>123</v>
      </c>
      <c r="D15">
        <v>10110103</v>
      </c>
      <c r="F15" t="s">
        <v>124</v>
      </c>
      <c r="G15" t="s">
        <v>38</v>
      </c>
    </row>
    <row r="16" spans="1:27" x14ac:dyDescent="0.35">
      <c r="A16" t="s">
        <v>126</v>
      </c>
      <c r="B16" t="s">
        <v>109</v>
      </c>
      <c r="C16" t="s">
        <v>127</v>
      </c>
      <c r="D16">
        <v>10110301</v>
      </c>
      <c r="F16" t="s">
        <v>128</v>
      </c>
      <c r="G16" t="s">
        <v>38</v>
      </c>
    </row>
    <row r="17" spans="1:7" x14ac:dyDescent="0.35">
      <c r="A17" t="s">
        <v>130</v>
      </c>
      <c r="B17" t="s">
        <v>109</v>
      </c>
      <c r="C17" t="s">
        <v>131</v>
      </c>
      <c r="D17">
        <v>10110208</v>
      </c>
      <c r="F17" t="s">
        <v>132</v>
      </c>
      <c r="G17" t="s">
        <v>38</v>
      </c>
    </row>
    <row r="18" spans="1:7" x14ac:dyDescent="0.35">
      <c r="A18" t="s">
        <v>133</v>
      </c>
      <c r="B18" t="s">
        <v>109</v>
      </c>
      <c r="C18" t="s">
        <v>134</v>
      </c>
      <c r="D18">
        <v>10110209</v>
      </c>
      <c r="F18" t="s">
        <v>135</v>
      </c>
      <c r="G18" t="s">
        <v>38</v>
      </c>
    </row>
    <row r="19" spans="1:7" x14ac:dyDescent="0.35">
      <c r="A19" t="s">
        <v>136</v>
      </c>
      <c r="B19" t="s">
        <v>109</v>
      </c>
      <c r="C19" t="s">
        <v>137</v>
      </c>
      <c r="D19">
        <v>10110210</v>
      </c>
      <c r="F19" t="s">
        <v>138</v>
      </c>
      <c r="G19" t="s">
        <v>38</v>
      </c>
    </row>
    <row r="20" spans="1:7" x14ac:dyDescent="0.35">
      <c r="A20" t="s">
        <v>139</v>
      </c>
      <c r="B20" t="s">
        <v>109</v>
      </c>
      <c r="C20" t="s">
        <v>140</v>
      </c>
      <c r="D20">
        <v>10110211</v>
      </c>
      <c r="F20" t="s">
        <v>141</v>
      </c>
      <c r="G20" t="s">
        <v>38</v>
      </c>
    </row>
    <row r="21" spans="1:7" x14ac:dyDescent="0.35">
      <c r="A21" t="s">
        <v>142</v>
      </c>
      <c r="B21" t="s">
        <v>109</v>
      </c>
      <c r="C21" t="s">
        <v>143</v>
      </c>
      <c r="D21">
        <v>10110212</v>
      </c>
      <c r="F21" t="s">
        <v>144</v>
      </c>
      <c r="G21" t="s">
        <v>38</v>
      </c>
    </row>
    <row r="22" spans="1:7" x14ac:dyDescent="0.35">
      <c r="A22" t="s">
        <v>145</v>
      </c>
      <c r="B22" t="s">
        <v>109</v>
      </c>
      <c r="C22" t="s">
        <v>146</v>
      </c>
      <c r="D22">
        <v>10110217</v>
      </c>
      <c r="F22" t="s">
        <v>147</v>
      </c>
      <c r="G22" t="s">
        <v>38</v>
      </c>
    </row>
    <row r="23" spans="1:7" x14ac:dyDescent="0.35">
      <c r="A23" t="s">
        <v>148</v>
      </c>
      <c r="B23" t="s">
        <v>109</v>
      </c>
      <c r="C23" t="s">
        <v>149</v>
      </c>
      <c r="D23">
        <v>10110201</v>
      </c>
      <c r="F23" t="s">
        <v>150</v>
      </c>
      <c r="G23" t="s">
        <v>38</v>
      </c>
    </row>
    <row r="24" spans="1:7" x14ac:dyDescent="0.35">
      <c r="A24" t="s">
        <v>151</v>
      </c>
      <c r="B24" t="s">
        <v>109</v>
      </c>
      <c r="C24" t="s">
        <v>149</v>
      </c>
      <c r="D24">
        <v>10110221</v>
      </c>
      <c r="F24" t="s">
        <v>152</v>
      </c>
      <c r="G24" t="s">
        <v>38</v>
      </c>
    </row>
    <row r="25" spans="1:7" x14ac:dyDescent="0.35">
      <c r="A25" t="s">
        <v>153</v>
      </c>
      <c r="B25" t="s">
        <v>109</v>
      </c>
      <c r="C25" t="s">
        <v>154</v>
      </c>
      <c r="D25">
        <v>10110206</v>
      </c>
      <c r="F25" t="s">
        <v>155</v>
      </c>
      <c r="G25" t="s">
        <v>38</v>
      </c>
    </row>
    <row r="26" spans="1:7" x14ac:dyDescent="0.35">
      <c r="A26" t="s">
        <v>156</v>
      </c>
      <c r="B26" t="s">
        <v>109</v>
      </c>
      <c r="C26" t="s">
        <v>157</v>
      </c>
      <c r="D26">
        <v>10110207</v>
      </c>
      <c r="F26" t="s">
        <v>158</v>
      </c>
      <c r="G26" t="s">
        <v>38</v>
      </c>
    </row>
    <row r="27" spans="1:7" x14ac:dyDescent="0.35">
      <c r="A27" t="s">
        <v>159</v>
      </c>
      <c r="B27" t="s">
        <v>109</v>
      </c>
      <c r="C27" t="s">
        <v>160</v>
      </c>
      <c r="D27">
        <v>10110203</v>
      </c>
      <c r="F27" t="s">
        <v>161</v>
      </c>
      <c r="G27" t="s">
        <v>38</v>
      </c>
    </row>
    <row r="28" spans="1:7" x14ac:dyDescent="0.35">
      <c r="A28" t="s">
        <v>162</v>
      </c>
      <c r="B28" t="s">
        <v>109</v>
      </c>
      <c r="C28" t="s">
        <v>163</v>
      </c>
      <c r="D28">
        <v>10110204</v>
      </c>
      <c r="F28" t="s">
        <v>164</v>
      </c>
      <c r="G28" t="s">
        <v>38</v>
      </c>
    </row>
    <row r="29" spans="1:7" x14ac:dyDescent="0.35">
      <c r="A29" t="s">
        <v>165</v>
      </c>
      <c r="B29" t="s">
        <v>109</v>
      </c>
      <c r="C29" t="s">
        <v>166</v>
      </c>
      <c r="D29">
        <v>10110213</v>
      </c>
      <c r="F29" t="s">
        <v>167</v>
      </c>
      <c r="G29" t="s">
        <v>38</v>
      </c>
    </row>
    <row r="30" spans="1:7" x14ac:dyDescent="0.35">
      <c r="A30" t="s">
        <v>168</v>
      </c>
      <c r="B30" t="s">
        <v>109</v>
      </c>
      <c r="C30" t="s">
        <v>169</v>
      </c>
      <c r="D30">
        <v>10110214</v>
      </c>
      <c r="F30" t="s">
        <v>170</v>
      </c>
      <c r="G30" t="s">
        <v>38</v>
      </c>
    </row>
    <row r="31" spans="1:7" x14ac:dyDescent="0.35">
      <c r="A31" t="s">
        <v>171</v>
      </c>
      <c r="B31" t="s">
        <v>109</v>
      </c>
      <c r="C31" t="s">
        <v>172</v>
      </c>
      <c r="D31">
        <v>10110501</v>
      </c>
      <c r="F31" t="s">
        <v>173</v>
      </c>
      <c r="G31" t="s">
        <v>38</v>
      </c>
    </row>
    <row r="32" spans="1:7" x14ac:dyDescent="0.35">
      <c r="A32" t="s">
        <v>174</v>
      </c>
      <c r="B32" t="s">
        <v>109</v>
      </c>
      <c r="C32" t="s">
        <v>175</v>
      </c>
      <c r="D32">
        <v>10110304</v>
      </c>
      <c r="F32" t="s">
        <v>176</v>
      </c>
      <c r="G32" t="s">
        <v>38</v>
      </c>
    </row>
    <row r="33" spans="1:7" x14ac:dyDescent="0.35">
      <c r="A33" t="s">
        <v>177</v>
      </c>
      <c r="B33" t="s">
        <v>178</v>
      </c>
      <c r="C33" t="s">
        <v>179</v>
      </c>
      <c r="D33">
        <v>10220105</v>
      </c>
      <c r="F33" t="s">
        <v>180</v>
      </c>
      <c r="G33" t="s">
        <v>38</v>
      </c>
    </row>
    <row r="34" spans="1:7" x14ac:dyDescent="0.35">
      <c r="A34" t="s">
        <v>181</v>
      </c>
      <c r="B34" t="s">
        <v>178</v>
      </c>
      <c r="C34" t="s">
        <v>182</v>
      </c>
      <c r="D34">
        <v>10220110</v>
      </c>
      <c r="F34" t="s">
        <v>183</v>
      </c>
      <c r="G34" t="s">
        <v>38</v>
      </c>
    </row>
    <row r="35" spans="1:7" x14ac:dyDescent="0.35">
      <c r="A35" t="s">
        <v>184</v>
      </c>
      <c r="B35" t="s">
        <v>185</v>
      </c>
      <c r="C35" t="s">
        <v>186</v>
      </c>
      <c r="D35">
        <v>10220103</v>
      </c>
      <c r="F35" t="s">
        <v>187</v>
      </c>
      <c r="G35" t="s">
        <v>187</v>
      </c>
    </row>
    <row r="36" spans="1:7" x14ac:dyDescent="0.35">
      <c r="A36" t="s">
        <v>188</v>
      </c>
      <c r="B36" t="s">
        <v>189</v>
      </c>
      <c r="C36" t="s">
        <v>190</v>
      </c>
      <c r="D36">
        <v>10220106</v>
      </c>
      <c r="F36" t="s">
        <v>100</v>
      </c>
      <c r="G36" t="s">
        <v>100</v>
      </c>
    </row>
    <row r="37" spans="1:7" x14ac:dyDescent="0.35">
      <c r="A37" t="s">
        <v>191</v>
      </c>
      <c r="B37" t="s">
        <v>192</v>
      </c>
      <c r="C37" t="s">
        <v>192</v>
      </c>
      <c r="D37">
        <v>10110101</v>
      </c>
      <c r="F37" t="s">
        <v>193</v>
      </c>
      <c r="G37" t="s">
        <v>193</v>
      </c>
    </row>
    <row r="38" spans="1:7" x14ac:dyDescent="0.35">
      <c r="A38" t="s">
        <v>194</v>
      </c>
      <c r="B38" t="s">
        <v>195</v>
      </c>
      <c r="C38" t="s">
        <v>196</v>
      </c>
      <c r="D38">
        <v>70170101</v>
      </c>
      <c r="F38" t="s">
        <v>197</v>
      </c>
      <c r="G38" t="s">
        <v>197</v>
      </c>
    </row>
    <row r="39" spans="1:7" x14ac:dyDescent="0.35">
      <c r="A39" t="s">
        <v>198</v>
      </c>
      <c r="B39" t="s">
        <v>199</v>
      </c>
      <c r="C39" t="s">
        <v>200</v>
      </c>
      <c r="D39">
        <v>70200101</v>
      </c>
      <c r="F39" t="s">
        <v>201</v>
      </c>
      <c r="G39" t="s">
        <v>201</v>
      </c>
    </row>
    <row r="40" spans="1:7" x14ac:dyDescent="0.35">
      <c r="A40" t="s">
        <v>202</v>
      </c>
      <c r="B40" t="s">
        <v>203</v>
      </c>
      <c r="C40" t="s">
        <v>204</v>
      </c>
      <c r="D40">
        <v>70180103</v>
      </c>
      <c r="F40" t="s">
        <v>205</v>
      </c>
      <c r="G40" t="s">
        <v>38</v>
      </c>
    </row>
    <row r="41" spans="1:7" x14ac:dyDescent="0.35">
      <c r="F41" t="s">
        <v>206</v>
      </c>
      <c r="G41" t="s">
        <v>206</v>
      </c>
    </row>
    <row r="42" spans="1:7" x14ac:dyDescent="0.35">
      <c r="F42" t="s">
        <v>207</v>
      </c>
      <c r="G42" t="s">
        <v>207</v>
      </c>
    </row>
    <row r="43" spans="1:7" x14ac:dyDescent="0.35">
      <c r="F43" t="s">
        <v>208</v>
      </c>
      <c r="G43" t="s">
        <v>208</v>
      </c>
    </row>
    <row r="44" spans="1:7" x14ac:dyDescent="0.35">
      <c r="F44" t="s">
        <v>209</v>
      </c>
      <c r="G44" t="s">
        <v>209</v>
      </c>
    </row>
    <row r="45" spans="1:7" x14ac:dyDescent="0.35">
      <c r="F45" t="s">
        <v>210</v>
      </c>
      <c r="G45" t="s">
        <v>210</v>
      </c>
    </row>
    <row r="46" spans="1:7" x14ac:dyDescent="0.35">
      <c r="F46" t="s">
        <v>211</v>
      </c>
      <c r="G46" t="s">
        <v>38</v>
      </c>
    </row>
    <row r="47" spans="1:7" x14ac:dyDescent="0.35">
      <c r="F47" t="s">
        <v>212</v>
      </c>
      <c r="G47" t="s">
        <v>212</v>
      </c>
    </row>
    <row r="48" spans="1:7" x14ac:dyDescent="0.35">
      <c r="F48" t="s">
        <v>213</v>
      </c>
      <c r="G48" t="s">
        <v>213</v>
      </c>
    </row>
    <row r="49" spans="6:7" x14ac:dyDescent="0.35">
      <c r="F49" t="s">
        <v>214</v>
      </c>
      <c r="G49" t="s">
        <v>214</v>
      </c>
    </row>
    <row r="50" spans="6:7" x14ac:dyDescent="0.35">
      <c r="F50" t="s">
        <v>3</v>
      </c>
      <c r="G50" t="s">
        <v>3</v>
      </c>
    </row>
    <row r="51" spans="6:7" x14ac:dyDescent="0.35">
      <c r="F51" t="s">
        <v>215</v>
      </c>
      <c r="G51" t="s">
        <v>215</v>
      </c>
    </row>
    <row r="52" spans="6:7" x14ac:dyDescent="0.35">
      <c r="F52" t="s">
        <v>216</v>
      </c>
      <c r="G52" t="s">
        <v>216</v>
      </c>
    </row>
    <row r="53" spans="6:7" x14ac:dyDescent="0.35">
      <c r="F53" t="s">
        <v>217</v>
      </c>
      <c r="G53" t="s">
        <v>38</v>
      </c>
    </row>
    <row r="54" spans="6:7" x14ac:dyDescent="0.35">
      <c r="F54" t="s">
        <v>218</v>
      </c>
      <c r="G54" t="s">
        <v>218</v>
      </c>
    </row>
    <row r="55" spans="6:7" x14ac:dyDescent="0.35">
      <c r="F55" t="s">
        <v>219</v>
      </c>
      <c r="G55" t="s">
        <v>219</v>
      </c>
    </row>
    <row r="56" spans="6:7" x14ac:dyDescent="0.35">
      <c r="F56" t="s">
        <v>220</v>
      </c>
      <c r="G56" t="s">
        <v>38</v>
      </c>
    </row>
    <row r="57" spans="6:7" x14ac:dyDescent="0.35">
      <c r="F57" t="s">
        <v>221</v>
      </c>
      <c r="G57" t="s">
        <v>221</v>
      </c>
    </row>
    <row r="58" spans="6:7" x14ac:dyDescent="0.35">
      <c r="F58" t="s">
        <v>222</v>
      </c>
      <c r="G58" t="s">
        <v>38</v>
      </c>
    </row>
    <row r="59" spans="6:7" x14ac:dyDescent="0.35">
      <c r="F59" t="s">
        <v>223</v>
      </c>
      <c r="G59" t="s">
        <v>38</v>
      </c>
    </row>
    <row r="60" spans="6:7" x14ac:dyDescent="0.35">
      <c r="F60" t="s">
        <v>224</v>
      </c>
      <c r="G60" t="s">
        <v>38</v>
      </c>
    </row>
    <row r="61" spans="6:7" x14ac:dyDescent="0.35">
      <c r="F61" t="s">
        <v>225</v>
      </c>
      <c r="G61" t="s">
        <v>38</v>
      </c>
    </row>
    <row r="62" spans="6:7" x14ac:dyDescent="0.35">
      <c r="F62" t="s">
        <v>226</v>
      </c>
      <c r="G62" t="s">
        <v>38</v>
      </c>
    </row>
    <row r="63" spans="6:7" x14ac:dyDescent="0.35">
      <c r="F63" t="s">
        <v>227</v>
      </c>
      <c r="G63" t="s">
        <v>227</v>
      </c>
    </row>
    <row r="64" spans="6:7" x14ac:dyDescent="0.35">
      <c r="F64" t="s">
        <v>228</v>
      </c>
      <c r="G64" t="s">
        <v>228</v>
      </c>
    </row>
    <row r="65" spans="6:7" x14ac:dyDescent="0.35">
      <c r="F65" t="s">
        <v>229</v>
      </c>
      <c r="G65" t="s">
        <v>229</v>
      </c>
    </row>
    <row r="66" spans="6:7" x14ac:dyDescent="0.35">
      <c r="F66" t="s">
        <v>260</v>
      </c>
      <c r="G66" t="s">
        <v>260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UTP</dc:creator>
  <cp:lastModifiedBy>Miguel Angel Vilela Vargas</cp:lastModifiedBy>
  <dcterms:created xsi:type="dcterms:W3CDTF">2022-09-06T20:19:49Z</dcterms:created>
  <dcterms:modified xsi:type="dcterms:W3CDTF">2025-07-31T03:40:23Z</dcterms:modified>
</cp:coreProperties>
</file>